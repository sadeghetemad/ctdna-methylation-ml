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901"/>
  <workbookPr filterPrivacy="1"/>
  <xr:revisionPtr revIDLastSave="0" documentId="13_ncr:1_{68D524B7-3DF8-4DFC-B90A-3812C8E0F75E}" xr6:coauthVersionLast="46" xr6:coauthVersionMax="46" xr10:uidLastSave="{00000000-0000-0000-0000-000000000000}"/>
  <bookViews>
    <workbookView xWindow="-108" yWindow="-108" windowWidth="16608" windowHeight="8832" xr2:uid="{00000000-000D-0000-FFFF-FFFF00000000}"/>
  </bookViews>
  <sheets>
    <sheet name="Supplementary Table 1" sheetId="1" r:id="rId1"/>
    <sheet name="Supplementary Table 2" sheetId="2" r:id="rId2"/>
    <sheet name="Supplementary Table 3" sheetId="3" r:id="rId3"/>
    <sheet name="Supplementary Table 4" sheetId="4" r:id="rId4"/>
    <sheet name="Supplementary Table 5" sheetId="5" r:id="rId5"/>
    <sheet name="Supplementary Table 6" sheetId="6" r:id="rId6"/>
    <sheet name="Supplementary Table 7" sheetId="7" r:id="rId7"/>
    <sheet name="Supplementary Table 8" sheetId="8" r:id="rId8"/>
    <sheet name="Supplementary Table 9" sheetId="10" r:id="rId9"/>
    <sheet name="Supplementary Table 10" sheetId="9" r:id="rId10"/>
  </sheets>
  <calcPr calcId="181029"/>
</workbook>
</file>

<file path=xl/calcChain.xml><?xml version="1.0" encoding="utf-8"?>
<calcChain xmlns="http://schemas.openxmlformats.org/spreadsheetml/2006/main">
  <c r="J48" i="9" l="1"/>
  <c r="K48" i="9" s="1"/>
  <c r="F48" i="9"/>
  <c r="G48" i="9" s="1"/>
  <c r="F47" i="9"/>
  <c r="G47" i="9" s="1"/>
  <c r="F46" i="9"/>
  <c r="G46" i="9" s="1"/>
  <c r="F45" i="9"/>
  <c r="G45" i="9" s="1"/>
  <c r="J44" i="9"/>
  <c r="K44" i="9" s="1"/>
  <c r="F44" i="9"/>
  <c r="G44" i="9" s="1"/>
  <c r="J43" i="9"/>
  <c r="K43" i="9" s="1"/>
  <c r="F43" i="9"/>
  <c r="G43" i="9" s="1"/>
  <c r="L29" i="4"/>
  <c r="L27" i="4"/>
  <c r="L25" i="4"/>
  <c r="L23" i="4"/>
  <c r="L21" i="4"/>
  <c r="L19" i="4"/>
  <c r="L17" i="4"/>
  <c r="L15" i="4"/>
  <c r="L13" i="4"/>
  <c r="L11" i="4"/>
  <c r="L9" i="4"/>
  <c r="L7" i="4"/>
  <c r="L5" i="4"/>
  <c r="L3" i="4"/>
</calcChain>
</file>

<file path=xl/sharedStrings.xml><?xml version="1.0" encoding="utf-8"?>
<sst xmlns="http://schemas.openxmlformats.org/spreadsheetml/2006/main" count="8954" uniqueCount="2047">
  <si>
    <t>polynucleotide name</t>
    <phoneticPr fontId="1" type="noConversion"/>
  </si>
  <si>
    <t>sequence (5'-3')</t>
    <phoneticPr fontId="1" type="noConversion"/>
  </si>
  <si>
    <t>AGATCGGAAGAGCACACGTCTGAACTCCAGTCAC</t>
  </si>
  <si>
    <t>AGATCGGAAGAGCGTCGTGTAGGGAAAGAGTGT</t>
  </si>
  <si>
    <t>GTGACTGGAGTTCAGACGTGTGCTCTTCCGATC</t>
  </si>
  <si>
    <t>ACACTCTTTCCCTACACGACG</t>
  </si>
  <si>
    <t>GTGACTGGAGTTCAGACGTG</t>
  </si>
  <si>
    <t>ID5A1</t>
  </si>
  <si>
    <t>AATGATACGGCGACCACCGAGATCTACACATAGAGGCACACTCTTTCCCTACACGACG</t>
  </si>
  <si>
    <t>ID5B1</t>
  </si>
  <si>
    <t>AATGATACGGCGACCACCGAGATCTACACCCTATCCTACACTCTTTCCCTACACGACG</t>
  </si>
  <si>
    <t>ID5C1</t>
  </si>
  <si>
    <t>AATGATACGGCGACCACCGAGATCTACACGGCTCTGAACACTCTTTCCCTACACGACG</t>
  </si>
  <si>
    <t>ID5D1</t>
  </si>
  <si>
    <t>AATGATACGGCGACCACCGAGATCTACACAGGCGAAGACACTCTTTCCCTACACGACG</t>
  </si>
  <si>
    <t>ID5E1</t>
  </si>
  <si>
    <t>AATGATACGGCGACCACCGAGATCTACACTAATCTTAACACTCTTTCCCTACACGACG</t>
  </si>
  <si>
    <t>ID5F1</t>
  </si>
  <si>
    <t>AATGATACGGCGACCACCGAGATCTACACCAGGACGTACACTCTTTCCCTACACGACG</t>
  </si>
  <si>
    <t>ID5G1</t>
  </si>
  <si>
    <t>AATGATACGGCGACCACCGAGATCTACACGTACTGACACACTCTTTCCCTACACGACG</t>
  </si>
  <si>
    <t>ID5H1</t>
  </si>
  <si>
    <t>AATGATACGGCGACCACCGAGATCTACACTTCGGATGACACTCTTTCCCTACACGACG</t>
  </si>
  <si>
    <t>ID7A1</t>
  </si>
  <si>
    <t>CAAGCAGAAGACGGCATACGAGATCATAGCCGGTGACTGGAGTTCAGACGTG</t>
  </si>
  <si>
    <t>ID7B1</t>
  </si>
  <si>
    <t>CAAGCAGAAGACGGCATACGAGATACGAATTCGTGACTGGAGTTCAGACGTG</t>
  </si>
  <si>
    <t>ID7C1</t>
  </si>
  <si>
    <t>CAAGCAGAAGACGGCATACGAGATTTCTGAATGTGACTGGAGTTCAGACGTG</t>
  </si>
  <si>
    <t>ID7D1</t>
  </si>
  <si>
    <t>CAAGCAGAAGACGGCATACGAGATGGAATCTCGTGACTGGAGTTCAGACGTG</t>
  </si>
  <si>
    <t>ID7E1</t>
  </si>
  <si>
    <t>CAAGCAGAAGACGGCATACGAGATAATGAGCGGTGACTGGAGTTCAGACGTG</t>
  </si>
  <si>
    <t>ID7F1</t>
  </si>
  <si>
    <t>CAAGCAGAAGACGGCATACGAGATTCTCCGGAGTGACTGGAGTTCAGACGTG</t>
  </si>
  <si>
    <t>ID7G1</t>
  </si>
  <si>
    <t>CAAGCAGAAGACGGCATACGAGATAGCTTCAGGTGACTGGAGTTCAGACGTG</t>
  </si>
  <si>
    <t>ID7H1</t>
  </si>
  <si>
    <t>CAAGCAGAAGACGGCATACGAGATGCGCATTAGTGACTGGAGTTCAGACGTG</t>
  </si>
  <si>
    <t>Amp R1</t>
    <phoneticPr fontId="1" type="noConversion"/>
  </si>
  <si>
    <t>Amp R2</t>
    <phoneticPr fontId="1" type="noConversion"/>
  </si>
  <si>
    <t>PCR-1</t>
    <phoneticPr fontId="1" type="noConversion"/>
  </si>
  <si>
    <t>anchor primer</t>
    <phoneticPr fontId="1" type="noConversion"/>
  </si>
  <si>
    <t>step</t>
    <phoneticPr fontId="1" type="noConversion"/>
  </si>
  <si>
    <t>sequence (5'-&gt;3')</t>
  </si>
  <si>
    <t>KRAS-10N</t>
  </si>
  <si>
    <t>KRASF</t>
  </si>
  <si>
    <t>CTGTATCAAAGAATGGTCCTGC</t>
  </si>
  <si>
    <t>KRASR</t>
  </si>
  <si>
    <t>GGCCTGCTGAAAATGACTG</t>
  </si>
  <si>
    <t>LEF</t>
  </si>
  <si>
    <t>CCTCTATTGTTGGATCATATTCG</t>
  </si>
  <si>
    <t>LER</t>
  </si>
  <si>
    <t>ACTGGAGTTCAGACGTGTGC</t>
  </si>
  <si>
    <t>LER-ATNR1</t>
  </si>
  <si>
    <t>TCTTTCCCTACACGACGCTC</t>
  </si>
  <si>
    <t>KRAS-G13D</t>
  </si>
  <si>
    <t>VIC-CTTGCCTACGCCACCAG-MGBNFQ</t>
  </si>
  <si>
    <t>ACCTCTATTGTTGGATCATATTCGTGACTTGCCTACGCCACCAGCTACAGTCATTTTCAGCAGGCCNNNNNNNNNN</t>
    <phoneticPr fontId="1" type="noConversion"/>
  </si>
  <si>
    <t>pre-amp</t>
    <phoneticPr fontId="1" type="noConversion"/>
  </si>
  <si>
    <t xml:space="preserve">PCR-2 </t>
    <phoneticPr fontId="1" type="noConversion"/>
  </si>
  <si>
    <t>ligation-1</t>
    <phoneticPr fontId="1" type="noConversion"/>
  </si>
  <si>
    <t>ligation-2</t>
    <phoneticPr fontId="1" type="noConversion"/>
  </si>
  <si>
    <t xml:space="preserve">adapter1-bottom </t>
    <phoneticPr fontId="1" type="noConversion"/>
  </si>
  <si>
    <t xml:space="preserve">adapter1-top </t>
    <phoneticPr fontId="1" type="noConversion"/>
  </si>
  <si>
    <t xml:space="preserve">adapter2-top </t>
    <phoneticPr fontId="1" type="noConversion"/>
  </si>
  <si>
    <t xml:space="preserve">adapter2-bottom </t>
    <phoneticPr fontId="1" type="noConversion"/>
  </si>
  <si>
    <t>adapter1-UMI-top</t>
    <phoneticPr fontId="1" type="noConversion"/>
  </si>
  <si>
    <t>adapter1-UMI-bottom</t>
    <phoneticPr fontId="1" type="noConversion"/>
  </si>
  <si>
    <t>GTGACTGGAGTTCAGACGTGTGCTCTTCCGATCTNNNNNN (dG=90%)</t>
    <phoneticPr fontId="1" type="noConversion"/>
  </si>
  <si>
    <t>GTGACTGGAGTTCAGACGTGTGCTCTTCCGATCT-spacer-CTGGATGCATCTNNNNNNNN (dG=90%)</t>
    <phoneticPr fontId="1" type="noConversion"/>
  </si>
  <si>
    <t xml:space="preserve">ACACTCTTTCCCTACACGACGCTCTTCCGATCNNNNNNNN  </t>
    <phoneticPr fontId="1" type="noConversion"/>
  </si>
  <si>
    <t>AGATGCATCCAGNNDDNNAGATCGGAAGAGCACACGTCTGAACTCCAGTCAC (D=A/T/C)</t>
    <phoneticPr fontId="1" type="noConversion"/>
  </si>
  <si>
    <t>sampleName</t>
    <phoneticPr fontId="1" type="noConversion"/>
  </si>
  <si>
    <t>total.reads</t>
    <phoneticPr fontId="1" type="noConversion"/>
  </si>
  <si>
    <t>median.read.depth</t>
    <phoneticPr fontId="1" type="noConversion"/>
  </si>
  <si>
    <t>unique.read.depth</t>
    <phoneticPr fontId="1" type="noConversion"/>
  </si>
  <si>
    <t>median.frag.depth</t>
    <phoneticPr fontId="1" type="noConversion"/>
  </si>
  <si>
    <t>unique.frag.depth</t>
    <phoneticPr fontId="1" type="noConversion"/>
  </si>
  <si>
    <t>NEB</t>
    <phoneticPr fontId="1" type="noConversion"/>
  </si>
  <si>
    <t>ELSA</t>
    <phoneticPr fontId="1" type="noConversion"/>
  </si>
  <si>
    <t>SWT</t>
    <phoneticPr fontId="1" type="noConversion"/>
  </si>
  <si>
    <t>raw_depth</t>
  </si>
  <si>
    <t>error_rate</t>
  </si>
  <si>
    <t>ground_truth</t>
    <phoneticPr fontId="1" type="noConversion"/>
  </si>
  <si>
    <t>fw=0</t>
    <phoneticPr fontId="1" type="noConversion"/>
  </si>
  <si>
    <t>fw=3</t>
    <phoneticPr fontId="1" type="noConversion"/>
  </si>
  <si>
    <t>UMI</t>
    <phoneticPr fontId="1" type="noConversion"/>
  </si>
  <si>
    <t>covered.region.reads</t>
    <phoneticPr fontId="1" type="noConversion"/>
  </si>
  <si>
    <t>unique.read.depth_fw3</t>
    <phoneticPr fontId="1" type="noConversion"/>
  </si>
  <si>
    <t>unique.frag.depth_fw3</t>
    <phoneticPr fontId="1" type="noConversion"/>
  </si>
  <si>
    <t>UMI.read.depth</t>
    <phoneticPr fontId="1" type="noConversion"/>
  </si>
  <si>
    <t>UMI.frag.depth</t>
    <phoneticPr fontId="1" type="noConversion"/>
  </si>
  <si>
    <t>lambda-500</t>
    <phoneticPr fontId="1" type="noConversion"/>
  </si>
  <si>
    <t>lambda-1000</t>
    <phoneticPr fontId="1" type="noConversion"/>
  </si>
  <si>
    <t>lambda-1500</t>
    <phoneticPr fontId="1" type="noConversion"/>
  </si>
  <si>
    <t>lambda-2000</t>
    <phoneticPr fontId="1" type="noConversion"/>
  </si>
  <si>
    <t>sampleID</t>
    <phoneticPr fontId="1" type="noConversion"/>
  </si>
  <si>
    <t>library.complexity</t>
    <phoneticPr fontId="1" type="noConversion"/>
  </si>
  <si>
    <t>AT_DROPOUT</t>
    <phoneticPr fontId="1" type="noConversion"/>
  </si>
  <si>
    <t>GC_DROPOUT</t>
    <phoneticPr fontId="1" type="noConversion"/>
  </si>
  <si>
    <t>CHH1</t>
    <phoneticPr fontId="1" type="noConversion"/>
  </si>
  <si>
    <t>CHH2</t>
    <phoneticPr fontId="1" type="noConversion"/>
  </si>
  <si>
    <t xml:space="preserve">Data Source </t>
    <phoneticPr fontId="1" type="noConversion"/>
  </si>
  <si>
    <t>SRR10532127</t>
  </si>
  <si>
    <t>10ng_WGBS</t>
    <phoneticPr fontId="1" type="noConversion"/>
  </si>
  <si>
    <t>PRJNA591788</t>
    <phoneticPr fontId="1" type="noConversion"/>
  </si>
  <si>
    <t>SRR10532131</t>
  </si>
  <si>
    <t>10ng_EM-seq</t>
    <phoneticPr fontId="7" type="noConversion"/>
  </si>
  <si>
    <t>SRR12805570</t>
    <phoneticPr fontId="7" type="noConversion"/>
  </si>
  <si>
    <t>10ng_ELSA</t>
    <phoneticPr fontId="7" type="noConversion"/>
  </si>
  <si>
    <t>PRJNA534206</t>
    <phoneticPr fontId="1" type="noConversion"/>
  </si>
  <si>
    <t xml:space="preserve">Note1: Sequencing data was downloaded from the NCBI Sequence Read Archive (SRC) under accession PRJNA591788 and PRJNA534206. </t>
    <phoneticPr fontId="1" type="noConversion"/>
  </si>
  <si>
    <t>Note2: To objectively compare the methods, all data were downsampled to ~100M reads</t>
    <phoneticPr fontId="1" type="noConversion"/>
  </si>
  <si>
    <t>target.ratio</t>
    <phoneticPr fontId="1" type="noConversion"/>
  </si>
  <si>
    <t>q30.ratio</t>
    <phoneticPr fontId="1" type="noConversion"/>
  </si>
  <si>
    <t>2ng-1</t>
    <phoneticPr fontId="1" type="noConversion"/>
  </si>
  <si>
    <t>5ng-1</t>
    <phoneticPr fontId="1" type="noConversion"/>
  </si>
  <si>
    <t>10ng-1</t>
    <phoneticPr fontId="1" type="noConversion"/>
  </si>
  <si>
    <t>30ng-1</t>
    <phoneticPr fontId="1" type="noConversion"/>
  </si>
  <si>
    <t>2ng-2</t>
    <phoneticPr fontId="1" type="noConversion"/>
  </si>
  <si>
    <t>5ng-2</t>
    <phoneticPr fontId="1" type="noConversion"/>
  </si>
  <si>
    <t>10ng-2</t>
    <phoneticPr fontId="1" type="noConversion"/>
  </si>
  <si>
    <t>30ng-2</t>
    <phoneticPr fontId="1" type="noConversion"/>
  </si>
  <si>
    <t>500X</t>
    <phoneticPr fontId="7" type="noConversion"/>
  </si>
  <si>
    <t>1000X</t>
    <phoneticPr fontId="7" type="noConversion"/>
  </si>
  <si>
    <t>3000X</t>
    <phoneticPr fontId="7" type="noConversion"/>
  </si>
  <si>
    <t>5000X</t>
    <phoneticPr fontId="7" type="noConversion"/>
  </si>
  <si>
    <t>sample</t>
  </si>
  <si>
    <t>blockName</t>
  </si>
  <si>
    <t>MMMMM</t>
  </si>
  <si>
    <t>MMMMU</t>
  </si>
  <si>
    <t>MMMUM</t>
  </si>
  <si>
    <t>MMMUU</t>
  </si>
  <si>
    <t>MMUMM</t>
  </si>
  <si>
    <t>MMUMU</t>
  </si>
  <si>
    <t>MMUUM</t>
  </si>
  <si>
    <t>MMUUU</t>
  </si>
  <si>
    <t>MUMMM</t>
  </si>
  <si>
    <t>MUMMU</t>
  </si>
  <si>
    <t>MUMUM</t>
  </si>
  <si>
    <t>MUMUU</t>
  </si>
  <si>
    <t>MUUMM</t>
  </si>
  <si>
    <t>MUUMU</t>
  </si>
  <si>
    <t>MUUUM</t>
  </si>
  <si>
    <t>MUUUU</t>
  </si>
  <si>
    <t>UMMMM</t>
  </si>
  <si>
    <t>UMMMU</t>
  </si>
  <si>
    <t>UMMUM</t>
  </si>
  <si>
    <t>UMMUU</t>
  </si>
  <si>
    <t>UMUMM</t>
  </si>
  <si>
    <t>UMUMU</t>
  </si>
  <si>
    <t>UMUUM</t>
  </si>
  <si>
    <t>UMUUU</t>
  </si>
  <si>
    <t>UUMMM</t>
  </si>
  <si>
    <t>UUMMU</t>
  </si>
  <si>
    <t>UUMUM</t>
  </si>
  <si>
    <t>UUMUU</t>
  </si>
  <si>
    <t>UUUMM</t>
  </si>
  <si>
    <t>UUUMU</t>
  </si>
  <si>
    <t>UUUUM</t>
  </si>
  <si>
    <t>UUUUU</t>
  </si>
  <si>
    <t>readsCount</t>
  </si>
  <si>
    <t>1:1982683-1982858</t>
  </si>
  <si>
    <t>1:4715474-4715641</t>
  </si>
  <si>
    <t>1:6187861-6188076</t>
  </si>
  <si>
    <t>1:6515335-6515526</t>
  </si>
  <si>
    <t>1:9712429-9712658</t>
  </si>
  <si>
    <t>1:14026995-14027205</t>
  </si>
  <si>
    <t>1:14925024-14925141</t>
  </si>
  <si>
    <t>1:14925682-14925872</t>
  </si>
  <si>
    <t>1:18967848-18967989</t>
  </si>
  <si>
    <t>1:18969662-18969880</t>
  </si>
  <si>
    <t>1:20878916-20879200</t>
  </si>
  <si>
    <t>1:21059169-21059289</t>
  </si>
  <si>
    <t>1:21996157-21996348</t>
  </si>
  <si>
    <t>1:26551991-26552253</t>
  </si>
  <si>
    <t>1:26737792-26737968</t>
  </si>
  <si>
    <t>1:28199085-28199290</t>
  </si>
  <si>
    <t>1:29448871-29449078</t>
  </si>
  <si>
    <t>1:29586399-29586727</t>
  </si>
  <si>
    <t>1:32237936-32238111</t>
  </si>
  <si>
    <t>1:34630624-34631102</t>
  </si>
  <si>
    <t>1:35351027-35351131</t>
  </si>
  <si>
    <t>1:37500333-37500385</t>
  </si>
  <si>
    <t>1:38219611-38220017</t>
  </si>
  <si>
    <t>1:39044035-39044244</t>
  </si>
  <si>
    <t>1:39269981-39270301</t>
  </si>
  <si>
    <t>1:40137710-40137808</t>
  </si>
  <si>
    <t>1:40943280-40943538</t>
  </si>
  <si>
    <t>1:44872554-44872821</t>
  </si>
  <si>
    <t>1:44883731-44883868</t>
  </si>
  <si>
    <t>1:45252073-45252185</t>
  </si>
  <si>
    <t>1:46951144-46951229</t>
  </si>
  <si>
    <t>1:47696616-47696741</t>
  </si>
  <si>
    <t>1:47882097-47882330</t>
  </si>
  <si>
    <t>1:48937245-48937498</t>
  </si>
  <si>
    <t>1:50881714-50882012</t>
  </si>
  <si>
    <t>1:50886774-50887060</t>
  </si>
  <si>
    <t>1:50892361-50892648</t>
  </si>
  <si>
    <t>1:50893483-50893648</t>
  </si>
  <si>
    <t>1:53099031-53099222</t>
  </si>
  <si>
    <t>1:54965304-54965396</t>
  </si>
  <si>
    <t>1:56943397-56943496</t>
  </si>
  <si>
    <t>1:57888136-57888230</t>
  </si>
  <si>
    <t>1:57889468-57889765</t>
  </si>
  <si>
    <t>1:63785674-63785717</t>
  </si>
  <si>
    <t>1:63787149-63787334</t>
  </si>
  <si>
    <t>1:63791963-63792140</t>
  </si>
  <si>
    <t>1:63795929-63796097</t>
  </si>
  <si>
    <t>1:65731831-65731892</t>
  </si>
  <si>
    <t>1:66258436-66258614</t>
  </si>
  <si>
    <t>1:70034366-70034500</t>
  </si>
  <si>
    <t>1:72750108-72750296</t>
  </si>
  <si>
    <t>1:77747962-77748229</t>
  </si>
  <si>
    <t>1:78511974-78512267</t>
  </si>
  <si>
    <t>1:84543777-84543963</t>
  </si>
  <si>
    <t>1:85463196-85463486</t>
  </si>
  <si>
    <t>1:86621757-86621937</t>
  </si>
  <si>
    <t>1:87169809-87169985</t>
  </si>
  <si>
    <t>1:91172541-91172807</t>
  </si>
  <si>
    <t>1:91182138-91182661</t>
  </si>
  <si>
    <t>1:91183122-91183225</t>
  </si>
  <si>
    <t>1:91183962-91184231</t>
  </si>
  <si>
    <t>1:91185251-91185494</t>
  </si>
  <si>
    <t>1:91190880-91190991</t>
  </si>
  <si>
    <t>1:91194503-91194602</t>
  </si>
  <si>
    <t>1:91869777-91870188</t>
  </si>
  <si>
    <t>1:92951436-92951915</t>
  </si>
  <si>
    <t>1:99470457-99470715</t>
  </si>
  <si>
    <t>1:103573663-103573911</t>
  </si>
  <si>
    <t>1:107683360-107683538</t>
  </si>
  <si>
    <t>1:108506918-108507095</t>
  </si>
  <si>
    <t>1:108507894-108507933</t>
  </si>
  <si>
    <t>1:108508490-108508654</t>
  </si>
  <si>
    <t>1:109656112-109656283</t>
  </si>
  <si>
    <t>1:110610725-110610960</t>
  </si>
  <si>
    <t>1:110693443-110693580</t>
  </si>
  <si>
    <t>1:112531632-112531844</t>
  </si>
  <si>
    <t>1:114696941-114697119</t>
  </si>
  <si>
    <t>1:116710917-116710978</t>
  </si>
  <si>
    <t>1:119528293-119528436</t>
  </si>
  <si>
    <t>1:119530844-119531149</t>
  </si>
  <si>
    <t>1:119550647-119550765</t>
  </si>
  <si>
    <t>1:146556308-146556534</t>
  </si>
  <si>
    <t>1:147775409-147775502</t>
  </si>
  <si>
    <t>1:150121691-150121944</t>
  </si>
  <si>
    <t>1:150254264-150254642</t>
  </si>
  <si>
    <t>1:152084990-152085151</t>
  </si>
  <si>
    <t>1:154297710-154297918</t>
  </si>
  <si>
    <t>1:155043408-155043674</t>
  </si>
  <si>
    <t>1:156358061-156358558</t>
  </si>
  <si>
    <t>1:156391168-156391355</t>
  </si>
  <si>
    <t>1:156406129-156406277</t>
  </si>
  <si>
    <t>1:157108738-157108931</t>
  </si>
  <si>
    <t>1:157963774-157963974</t>
  </si>
  <si>
    <t>1:160040539-160040673</t>
  </si>
  <si>
    <t>1:165205422-165205599</t>
  </si>
  <si>
    <t>1:166135188-166135437</t>
  </si>
  <si>
    <t>1:166916811-166917028</t>
  </si>
  <si>
    <t>1:167599387-167599539</t>
  </si>
  <si>
    <t>1:170630452-170630764</t>
  </si>
  <si>
    <t>1:171811424-171811704</t>
  </si>
  <si>
    <t>1:177140356-177140496</t>
  </si>
  <si>
    <t>1:179712175-179712365</t>
  </si>
  <si>
    <t>1:180205248-180205363</t>
  </si>
  <si>
    <t>1:181455206-181455341</t>
  </si>
  <si>
    <t>1:183386719-183386901</t>
  </si>
  <si>
    <t>1:184006592-184006771</t>
  </si>
  <si>
    <t>1:184943604-184943734</t>
  </si>
  <si>
    <t>1:186649274-186649504</t>
  </si>
  <si>
    <t>1:190447227-190447457</t>
  </si>
  <si>
    <t>1:197881278-197881676</t>
  </si>
  <si>
    <t>1:200009908-200009994</t>
  </si>
  <si>
    <t>1:200271665-200271928</t>
  </si>
  <si>
    <t>1:202612127-202612306</t>
  </si>
  <si>
    <t>1:204044044-204044129</t>
  </si>
  <si>
    <t>1:205399786-205399970</t>
  </si>
  <si>
    <t>1:206223533-206223848</t>
  </si>
  <si>
    <t>1:206680650-206680779</t>
  </si>
  <si>
    <t>1:207627482-207627751</t>
  </si>
  <si>
    <t>1:209848933-209849043</t>
  </si>
  <si>
    <t>1:209979429-209979520</t>
  </si>
  <si>
    <t>1:213123585-213124051</t>
  </si>
  <si>
    <t>1:214162468-214162717</t>
  </si>
  <si>
    <t>1:216897193-216897299</t>
  </si>
  <si>
    <t>1:219347238-219347384</t>
  </si>
  <si>
    <t>1:220700728-220701065</t>
  </si>
  <si>
    <t>1:221052385-221052542</t>
  </si>
  <si>
    <t>1:226737179-226737417</t>
  </si>
  <si>
    <t>1:228633378-228633523</t>
  </si>
  <si>
    <t>1:228646053-228646230</t>
  </si>
  <si>
    <t>1:228651540-228651790</t>
  </si>
  <si>
    <t>1:229543439-229543722</t>
  </si>
  <si>
    <t>1:234040600-234040787</t>
  </si>
  <si>
    <t>1:235814140-235814303</t>
  </si>
  <si>
    <t>1:237205122-237205335</t>
  </si>
  <si>
    <t>1:240254871-240255126</t>
  </si>
  <si>
    <t>1:240775045-240775219</t>
  </si>
  <si>
    <t>1:241520266-241520445</t>
  </si>
  <si>
    <t>1:242687500-242687680</t>
  </si>
  <si>
    <t>1:244624618-244624696</t>
  </si>
  <si>
    <t>target.reads</t>
    <phoneticPr fontId="1" type="noConversion"/>
  </si>
  <si>
    <t>rmdup.target.reads</t>
    <phoneticPr fontId="1" type="noConversion"/>
  </si>
  <si>
    <t>target.lib.complexity</t>
    <phoneticPr fontId="1" type="noConversion"/>
  </si>
  <si>
    <t>depth.exceed.20pct</t>
    <phoneticPr fontId="1" type="noConversion"/>
  </si>
  <si>
    <t>sampleName</t>
  </si>
  <si>
    <t>Titration%</t>
    <phoneticPr fontId="1" type="noConversion"/>
  </si>
  <si>
    <t>Gene</t>
  </si>
  <si>
    <t>Mutation_Type</t>
  </si>
  <si>
    <t>Exon_Rank</t>
  </si>
  <si>
    <t>Description</t>
  </si>
  <si>
    <t>Mutant copies</t>
  </si>
  <si>
    <t>WT copies</t>
  </si>
  <si>
    <t>Droplet Number</t>
  </si>
  <si>
    <t>Mu+WT copies</t>
  </si>
  <si>
    <t>AF</t>
  </si>
  <si>
    <t>AF_mean</t>
    <phoneticPr fontId="1" type="noConversion"/>
  </si>
  <si>
    <t>CHROM</t>
  </si>
  <si>
    <t>POS</t>
  </si>
  <si>
    <t>REF</t>
  </si>
  <si>
    <t>ALT</t>
  </si>
  <si>
    <t>SW48_1</t>
  </si>
  <si>
    <t>EGFR</t>
  </si>
  <si>
    <t>missense_variant</t>
  </si>
  <si>
    <t>p.G719S</t>
  </si>
  <si>
    <t>7:55241707</t>
    <phoneticPr fontId="1" type="noConversion"/>
  </si>
  <si>
    <t>G</t>
  </si>
  <si>
    <t>A</t>
  </si>
  <si>
    <t>SW48_2</t>
  </si>
  <si>
    <t>SW48WBC_10_1</t>
  </si>
  <si>
    <t>7:55241707</t>
  </si>
  <si>
    <t>SW48WBC_10_2</t>
  </si>
  <si>
    <t>SW48WBC_1_1</t>
  </si>
  <si>
    <t>SW48WBC_1_2</t>
  </si>
  <si>
    <t>SW48WBC_01_1</t>
    <phoneticPr fontId="1" type="noConversion"/>
  </si>
  <si>
    <t>SW48WBC_01_2</t>
  </si>
  <si>
    <t>SW48WBC_005_1</t>
  </si>
  <si>
    <t>SW48WBC_005_2</t>
  </si>
  <si>
    <t>SW48WBC_001_1</t>
  </si>
  <si>
    <t>SW48WBC_001_2</t>
  </si>
  <si>
    <t>WBC_1</t>
  </si>
  <si>
    <t>WBC_2</t>
  </si>
  <si>
    <t>H2228_1</t>
  </si>
  <si>
    <t>ALK</t>
  </si>
  <si>
    <t>fusion</t>
  </si>
  <si>
    <t>Intron19</t>
    <phoneticPr fontId="1" type="noConversion"/>
  </si>
  <si>
    <t>EML4-ALK</t>
  </si>
  <si>
    <t>2:42493956_2:29448092</t>
    <phoneticPr fontId="1" type="noConversion"/>
  </si>
  <si>
    <t>NA</t>
  </si>
  <si>
    <t>H2228_2</t>
  </si>
  <si>
    <t>H2228WBC_10_1</t>
  </si>
  <si>
    <t>2:42493956_2:29448092</t>
  </si>
  <si>
    <t>H2228WBC_10_2</t>
  </si>
  <si>
    <t>H2228WBC_1_1</t>
  </si>
  <si>
    <t>H2228WBC_1_2</t>
  </si>
  <si>
    <t>H2228WBC_01_1</t>
  </si>
  <si>
    <t>H2228WBC_01_2</t>
  </si>
  <si>
    <t>H2228WBC_005_1</t>
  </si>
  <si>
    <t>H2228WBC_005_2</t>
  </si>
  <si>
    <t>H2228WBC_001_1</t>
  </si>
  <si>
    <t>H2228WBC_001_2</t>
  </si>
  <si>
    <t>dbsnp_ID</t>
  </si>
  <si>
    <t>COSM_ID</t>
  </si>
  <si>
    <t>MatchReport</t>
  </si>
  <si>
    <t>rs28929495</t>
  </si>
  <si>
    <t>COSM6252</t>
  </si>
  <si>
    <t>G719</t>
  </si>
  <si>
    <t>negative</t>
  </si>
  <si>
    <t>Intron19_fusion</t>
  </si>
  <si>
    <t>BRCA2</t>
  </si>
  <si>
    <t>frameshift_variant</t>
  </si>
  <si>
    <t>p.N1784fs</t>
  </si>
  <si>
    <t>MAP2K1</t>
  </si>
  <si>
    <t>p.Q56P</t>
  </si>
  <si>
    <t>BRCA1</t>
  </si>
  <si>
    <t>stop_gained</t>
  </si>
  <si>
    <t>p.R1443*</t>
  </si>
  <si>
    <t>RNF43</t>
  </si>
  <si>
    <t>p.G659fs</t>
  </si>
  <si>
    <t>p.V299fs</t>
  </si>
  <si>
    <t>TP53</t>
  </si>
  <si>
    <t>p.R175C</t>
  </si>
  <si>
    <t>MSH6</t>
  </si>
  <si>
    <t>splice_region_variant</t>
  </si>
  <si>
    <t>c.3557-6_3557-4del</t>
  </si>
  <si>
    <t>EP300</t>
  </si>
  <si>
    <t>p.M1470fs</t>
  </si>
  <si>
    <t>PIK3CA</t>
  </si>
  <si>
    <t>p.Y1021C</t>
  </si>
  <si>
    <t>NOTCH1</t>
  </si>
  <si>
    <t>p.G1788S</t>
  </si>
  <si>
    <t>p.E171G</t>
  </si>
  <si>
    <t>HIST1H3B</t>
  </si>
  <si>
    <t>p.S87N</t>
  </si>
  <si>
    <t>SW48WBC_01_1</t>
  </si>
  <si>
    <t>p.Q331*</t>
  </si>
  <si>
    <t>NA</t>
    <phoneticPr fontId="1" type="noConversion"/>
  </si>
  <si>
    <t>total.reads</t>
  </si>
  <si>
    <t>covered.region.reads</t>
  </si>
  <si>
    <t>rmdup.covered.region.reads</t>
  </si>
  <si>
    <t>covered.lib.complexity</t>
  </si>
  <si>
    <t>unique.fragment.depth</t>
    <phoneticPr fontId="1" type="noConversion"/>
  </si>
  <si>
    <t>median.depth</t>
    <phoneticPr fontId="1" type="noConversion"/>
  </si>
  <si>
    <t>q30.ratio</t>
  </si>
  <si>
    <t>Supplementary Table S5 the 'specifiers'for plasma classification (n=2,473) and tissue classification</t>
    <phoneticPr fontId="1" type="noConversion"/>
  </si>
  <si>
    <t>plasma (n=2,473)</t>
    <phoneticPr fontId="21" type="noConversion"/>
  </si>
  <si>
    <t>tissue (n=157)</t>
    <phoneticPr fontId="21" type="noConversion"/>
  </si>
  <si>
    <t>chr</t>
    <phoneticPr fontId="7" type="noConversion"/>
  </si>
  <si>
    <t>start</t>
    <phoneticPr fontId="7" type="noConversion"/>
  </si>
  <si>
    <t>end</t>
    <phoneticPr fontId="7" type="noConversion"/>
  </si>
  <si>
    <t>Training/Validation (TV)</t>
    <phoneticPr fontId="21" type="noConversion"/>
  </si>
  <si>
    <t>Single-blind Test (SBT)</t>
    <phoneticPr fontId="21" type="noConversion"/>
  </si>
  <si>
    <t>Case</t>
    <phoneticPr fontId="21" type="noConversion"/>
  </si>
  <si>
    <t>Control</t>
    <phoneticPr fontId="21" type="noConversion"/>
  </si>
  <si>
    <t>pvalue</t>
    <phoneticPr fontId="21" type="noConversion"/>
  </si>
  <si>
    <t>Total, n (%)</t>
    <phoneticPr fontId="21" type="noConversion"/>
  </si>
  <si>
    <t>140(53%)</t>
    <phoneticPr fontId="21" type="noConversion"/>
  </si>
  <si>
    <t>124(47%)</t>
    <phoneticPr fontId="21" type="noConversion"/>
  </si>
  <si>
    <t>168(55%)</t>
    <phoneticPr fontId="21" type="noConversion"/>
  </si>
  <si>
    <t>137(45%)</t>
    <phoneticPr fontId="21" type="noConversion"/>
  </si>
  <si>
    <t>age, years (%)</t>
    <phoneticPr fontId="21" type="noConversion"/>
  </si>
  <si>
    <t>mean±SD</t>
    <phoneticPr fontId="21" type="noConversion"/>
  </si>
  <si>
    <t>56±10</t>
    <phoneticPr fontId="21" type="noConversion"/>
  </si>
  <si>
    <t>54±9</t>
    <phoneticPr fontId="21" type="noConversion"/>
  </si>
  <si>
    <t>57±10</t>
    <phoneticPr fontId="21" type="noConversion"/>
  </si>
  <si>
    <t>30-45</t>
    <phoneticPr fontId="21" type="noConversion"/>
  </si>
  <si>
    <t>22(16%)</t>
    <phoneticPr fontId="21" type="noConversion"/>
  </si>
  <si>
    <t>29(23%)</t>
    <phoneticPr fontId="21" type="noConversion"/>
  </si>
  <si>
    <t>15(9%)</t>
  </si>
  <si>
    <t>24(18%)</t>
  </si>
  <si>
    <t>45-60</t>
    <phoneticPr fontId="21" type="noConversion"/>
  </si>
  <si>
    <t>78(56%)</t>
    <phoneticPr fontId="21" type="noConversion"/>
  </si>
  <si>
    <t>64(52%)</t>
  </si>
  <si>
    <t>106(63%)</t>
  </si>
  <si>
    <t>79(58%)</t>
  </si>
  <si>
    <t>60-80</t>
    <phoneticPr fontId="21" type="noConversion"/>
  </si>
  <si>
    <t>40(29%)</t>
  </si>
  <si>
    <t>30(24%)</t>
    <phoneticPr fontId="21" type="noConversion"/>
  </si>
  <si>
    <t>46(28%)</t>
    <phoneticPr fontId="21" type="noConversion"/>
  </si>
  <si>
    <t>34(25%)</t>
  </si>
  <si>
    <t>gender (%)</t>
    <phoneticPr fontId="21" type="noConversion"/>
  </si>
  <si>
    <t>male</t>
    <phoneticPr fontId="7" type="noConversion"/>
  </si>
  <si>
    <t>61(44%)</t>
    <phoneticPr fontId="21" type="noConversion"/>
  </si>
  <si>
    <t>64(52%)</t>
    <phoneticPr fontId="21" type="noConversion"/>
  </si>
  <si>
    <t>92(55%)</t>
  </si>
  <si>
    <t>80(58%)</t>
  </si>
  <si>
    <t>female</t>
    <phoneticPr fontId="7" type="noConversion"/>
  </si>
  <si>
    <t>79(56%)</t>
  </si>
  <si>
    <t>60(48%)</t>
  </si>
  <si>
    <t>76(45%)</t>
  </si>
  <si>
    <t>57(42%)</t>
  </si>
  <si>
    <t>Smoking history (%)</t>
    <phoneticPr fontId="21" type="noConversion"/>
  </si>
  <si>
    <t>No</t>
    <phoneticPr fontId="21" type="noConversion"/>
  </si>
  <si>
    <t>73(52%)</t>
    <phoneticPr fontId="21" type="noConversion"/>
  </si>
  <si>
    <t>69(56%)</t>
    <phoneticPr fontId="21" type="noConversion"/>
  </si>
  <si>
    <t>93(55%)</t>
    <phoneticPr fontId="21" type="noConversion"/>
  </si>
  <si>
    <t>70(51%)</t>
    <phoneticPr fontId="21" type="noConversion"/>
  </si>
  <si>
    <t>Yes</t>
    <phoneticPr fontId="21" type="noConversion"/>
  </si>
  <si>
    <t>63(45%)</t>
    <phoneticPr fontId="21" type="noConversion"/>
  </si>
  <si>
    <t>47(38%)</t>
    <phoneticPr fontId="21" type="noConversion"/>
  </si>
  <si>
    <t>74(44%)</t>
    <phoneticPr fontId="21" type="noConversion"/>
  </si>
  <si>
    <t>58(42%)</t>
    <phoneticPr fontId="21" type="noConversion"/>
  </si>
  <si>
    <t>UNK</t>
    <phoneticPr fontId="21" type="noConversion"/>
  </si>
  <si>
    <t>4(3%)</t>
    <phoneticPr fontId="21" type="noConversion"/>
  </si>
  <si>
    <t>8(6%)</t>
    <phoneticPr fontId="21" type="noConversion"/>
  </si>
  <si>
    <t>1(1%)</t>
    <phoneticPr fontId="21" type="noConversion"/>
  </si>
  <si>
    <t>9(7%)</t>
    <phoneticPr fontId="21" type="noConversion"/>
  </si>
  <si>
    <t>Histological subtype (%)</t>
    <phoneticPr fontId="21" type="noConversion"/>
  </si>
  <si>
    <t>Normal</t>
    <phoneticPr fontId="21" type="noConversion"/>
  </si>
  <si>
    <t>124(100%)</t>
    <phoneticPr fontId="21" type="noConversion"/>
  </si>
  <si>
    <t>122(89%)</t>
  </si>
  <si>
    <t>Benign</t>
    <phoneticPr fontId="21" type="noConversion"/>
  </si>
  <si>
    <t>15(11%)</t>
  </si>
  <si>
    <t>LUAD</t>
    <phoneticPr fontId="21" type="noConversion"/>
  </si>
  <si>
    <t>109(78%)</t>
  </si>
  <si>
    <t>126(75%)</t>
  </si>
  <si>
    <t>LUSC</t>
    <phoneticPr fontId="21" type="noConversion"/>
  </si>
  <si>
    <t>22(16%)</t>
  </si>
  <si>
    <t>34(20%)</t>
  </si>
  <si>
    <t>others</t>
    <phoneticPr fontId="21" type="noConversion"/>
  </si>
  <si>
    <t>9(6%)</t>
  </si>
  <si>
    <t>8(5%)</t>
  </si>
  <si>
    <t>Stage (%)</t>
    <phoneticPr fontId="21" type="noConversion"/>
  </si>
  <si>
    <t>IA</t>
    <phoneticPr fontId="21" type="noConversion"/>
  </si>
  <si>
    <t>74(53%)</t>
    <phoneticPr fontId="21" type="noConversion"/>
  </si>
  <si>
    <t>83(50%)</t>
    <phoneticPr fontId="21" type="noConversion"/>
  </si>
  <si>
    <t>IB</t>
    <phoneticPr fontId="21" type="noConversion"/>
  </si>
  <si>
    <t>16(11%)</t>
  </si>
  <si>
    <t>26(15%)</t>
  </si>
  <si>
    <t>II</t>
    <phoneticPr fontId="21" type="noConversion"/>
  </si>
  <si>
    <t>33(24%)</t>
  </si>
  <si>
    <t>33(20%)</t>
  </si>
  <si>
    <t>III</t>
    <phoneticPr fontId="21" type="noConversion"/>
  </si>
  <si>
    <t>17(12%)</t>
  </si>
  <si>
    <t>Maximum tumor diameter (%)</t>
    <phoneticPr fontId="21" type="noConversion"/>
  </si>
  <si>
    <t>0-1.5cm</t>
    <phoneticPr fontId="21" type="noConversion"/>
  </si>
  <si>
    <t>52(37%)</t>
  </si>
  <si>
    <t>78(46%)</t>
    <phoneticPr fontId="21" type="noConversion"/>
  </si>
  <si>
    <t>1.5-3cm</t>
    <phoneticPr fontId="21" type="noConversion"/>
  </si>
  <si>
    <t>46(33%)</t>
  </si>
  <si>
    <t>49(29%)</t>
    <phoneticPr fontId="21" type="noConversion"/>
  </si>
  <si>
    <t>3-4.5cm</t>
    <phoneticPr fontId="21" type="noConversion"/>
  </si>
  <si>
    <t>26(19%)</t>
  </si>
  <si>
    <t>24(14%)</t>
  </si>
  <si>
    <t>&gt;4.5cm</t>
    <phoneticPr fontId="21" type="noConversion"/>
  </si>
  <si>
    <t>17(10%)</t>
  </si>
  <si>
    <t>Lymph node metastatsis (%)</t>
    <phoneticPr fontId="21" type="noConversion"/>
  </si>
  <si>
    <t>35(25%)</t>
  </si>
  <si>
    <t>59(35%)</t>
  </si>
  <si>
    <t>105(75%)</t>
  </si>
  <si>
    <t>109(65%)</t>
  </si>
  <si>
    <t>Univariable analysis</t>
    <phoneticPr fontId="21" type="noConversion"/>
  </si>
  <si>
    <t>Mulitivariable analysis</t>
    <phoneticPr fontId="21" type="noConversion"/>
  </si>
  <si>
    <t>variable</t>
    <phoneticPr fontId="21" type="noConversion"/>
  </si>
  <si>
    <t>OR</t>
    <phoneticPr fontId="21" type="noConversion"/>
  </si>
  <si>
    <t>Histological subtype</t>
    <phoneticPr fontId="21" type="noConversion"/>
  </si>
  <si>
    <t>2.07(1.28,3.34)</t>
  </si>
  <si>
    <t>1.81(1.09,3.01)</t>
  </si>
  <si>
    <t>Maximum tumor diameter</t>
    <phoneticPr fontId="21" type="noConversion"/>
  </si>
  <si>
    <t>1.24(1.13,1.37)</t>
  </si>
  <si>
    <t>1.36(1.1,1.7)</t>
  </si>
  <si>
    <t>Lymph node metastatsis</t>
    <phoneticPr fontId="21" type="noConversion"/>
  </si>
  <si>
    <t>1.86(1.27,2.73)</t>
  </si>
  <si>
    <t>1.03(0.67,1.57)</t>
  </si>
  <si>
    <t>cfDNA input</t>
    <phoneticPr fontId="21" type="noConversion"/>
  </si>
  <si>
    <t>1.03(1,1.05)</t>
  </si>
  <si>
    <t>1.02(0.85,1.22)</t>
  </si>
  <si>
    <t>sampleName_ELSA</t>
    <phoneticPr fontId="21" type="noConversion"/>
  </si>
  <si>
    <t>predicted</t>
    <phoneticPr fontId="21" type="noConversion"/>
  </si>
  <si>
    <t>ground truth</t>
    <phoneticPr fontId="21" type="noConversion"/>
  </si>
  <si>
    <t>stage</t>
  </si>
  <si>
    <t>type</t>
  </si>
  <si>
    <t>max.diameter(cm)</t>
    <phoneticPr fontId="21" type="noConversion"/>
  </si>
  <si>
    <t>model.group</t>
    <phoneticPr fontId="21" type="noConversion"/>
  </si>
  <si>
    <t>age</t>
  </si>
  <si>
    <t>gender</t>
  </si>
  <si>
    <t>DNA input (ng)</t>
    <phoneticPr fontId="7" type="noConversion"/>
  </si>
  <si>
    <t>DNA concentration (ng/ul)</t>
    <phoneticPr fontId="7" type="noConversion"/>
  </si>
  <si>
    <t>BMD00003</t>
  </si>
  <si>
    <t>normal</t>
  </si>
  <si>
    <t>tumor</t>
  </si>
  <si>
    <t>IA</t>
  </si>
  <si>
    <t>LUAD</t>
  </si>
  <si>
    <t>TV</t>
  </si>
  <si>
    <t>M</t>
  </si>
  <si>
    <t>BMD00314</t>
  </si>
  <si>
    <t>BMD00315</t>
  </si>
  <si>
    <t>F</t>
  </si>
  <si>
    <t>BMD00007</t>
  </si>
  <si>
    <t>III</t>
  </si>
  <si>
    <t>BMD00316</t>
  </si>
  <si>
    <t>LUSC</t>
  </si>
  <si>
    <t>BMD00008</t>
  </si>
  <si>
    <t>BMD00317</t>
  </si>
  <si>
    <t>IB</t>
  </si>
  <si>
    <t>BMD00318</t>
  </si>
  <si>
    <t>BMD00319</t>
  </si>
  <si>
    <t>BMD00320</t>
  </si>
  <si>
    <t>II</t>
  </si>
  <si>
    <t>BMD00321</t>
  </si>
  <si>
    <t>BMD00326</t>
  </si>
  <si>
    <t>BMD00328</t>
  </si>
  <si>
    <t>BMD00329</t>
  </si>
  <si>
    <t>others</t>
  </si>
  <si>
    <t>BMD00015</t>
  </si>
  <si>
    <t>BMD00333</t>
  </si>
  <si>
    <t>BMD00017</t>
  </si>
  <si>
    <t>BMD00335</t>
  </si>
  <si>
    <t>BMD00336</t>
  </si>
  <si>
    <t>BMD00022</t>
  </si>
  <si>
    <t>BMD00337</t>
  </si>
  <si>
    <t>BMD00023</t>
  </si>
  <si>
    <t>BMD00028</t>
  </si>
  <si>
    <t>BMD00339</t>
  </si>
  <si>
    <t>BMD00029</t>
  </si>
  <si>
    <t>BMD00032</t>
  </si>
  <si>
    <t>BMD00034</t>
  </si>
  <si>
    <t>BMD00035</t>
  </si>
  <si>
    <t>BMD00342</t>
  </si>
  <si>
    <t>BMD00036</t>
  </si>
  <si>
    <t>BMD00349</t>
  </si>
  <si>
    <t>BMD00350</t>
  </si>
  <si>
    <t>BMD00038</t>
  </si>
  <si>
    <t>BMD00351</t>
  </si>
  <si>
    <t>BMD00041</t>
  </si>
  <si>
    <t>BMD00043</t>
  </si>
  <si>
    <t>BMD00045</t>
  </si>
  <si>
    <t>BMD00353</t>
  </si>
  <si>
    <t>BMD00354</t>
  </si>
  <si>
    <t>BMD00356</t>
  </si>
  <si>
    <t>BMD00051</t>
  </si>
  <si>
    <t>BMD00357</t>
  </si>
  <si>
    <t>BMD00358</t>
  </si>
  <si>
    <t>BMD00360</t>
  </si>
  <si>
    <t>BMD00053</t>
  </si>
  <si>
    <t>BMD00362</t>
  </si>
  <si>
    <t>BMD00363</t>
  </si>
  <si>
    <t>BMD00055</t>
  </si>
  <si>
    <t>BMD00058</t>
  </si>
  <si>
    <t>BMD00366</t>
  </si>
  <si>
    <t>BMD00060</t>
  </si>
  <si>
    <t>BMD00369</t>
  </si>
  <si>
    <t>BMD00061</t>
  </si>
  <si>
    <t>BMD00062</t>
  </si>
  <si>
    <t>BMD00063</t>
  </si>
  <si>
    <t>BMD00064</t>
  </si>
  <si>
    <t>BMD00065</t>
  </si>
  <si>
    <t>BMD00066</t>
  </si>
  <si>
    <t>BMD00372</t>
  </si>
  <si>
    <t>BMD00373</t>
  </si>
  <si>
    <t>BMD00069</t>
  </si>
  <si>
    <t>BMD00375</t>
  </si>
  <si>
    <t>BMD00378</t>
  </si>
  <si>
    <t>BMD00071</t>
  </si>
  <si>
    <t>BMD00073</t>
  </si>
  <si>
    <t>BMD00380</t>
  </si>
  <si>
    <t>BMD00075</t>
  </si>
  <si>
    <t>BMD00076</t>
  </si>
  <si>
    <t>BMD00078</t>
  </si>
  <si>
    <t>BMD00079</t>
  </si>
  <si>
    <t>BMD00080</t>
  </si>
  <si>
    <t>BMD00081</t>
  </si>
  <si>
    <t>BMD00386</t>
  </si>
  <si>
    <t>BMD00082</t>
  </si>
  <si>
    <t>BMD00387</t>
  </si>
  <si>
    <t>BMD00085</t>
  </si>
  <si>
    <t>BMD00389</t>
  </si>
  <si>
    <t>BMD00088</t>
  </si>
  <si>
    <t>BMD00392</t>
  </si>
  <si>
    <t>BMD00090</t>
  </si>
  <si>
    <t>BMD00394</t>
  </si>
  <si>
    <t>BMD00092</t>
  </si>
  <si>
    <t>BMD00398</t>
  </si>
  <si>
    <t>BMD00095</t>
  </si>
  <si>
    <t>BMD00096</t>
  </si>
  <si>
    <t>BMD00400</t>
  </si>
  <si>
    <t>BMD00098</t>
  </si>
  <si>
    <t>BMD00402</t>
  </si>
  <si>
    <t>BMD00104</t>
  </si>
  <si>
    <t>BMD00421</t>
  </si>
  <si>
    <t>BMD00423</t>
  </si>
  <si>
    <t>BMD00424</t>
  </si>
  <si>
    <t>BMD00425</t>
  </si>
  <si>
    <t>BMD00427</t>
  </si>
  <si>
    <t>BMD00133</t>
  </si>
  <si>
    <t>BMD00429</t>
  </si>
  <si>
    <t>BMD00135</t>
  </si>
  <si>
    <t>BMD00431</t>
  </si>
  <si>
    <t>BMD00138</t>
  </si>
  <si>
    <t>BMD00139</t>
  </si>
  <si>
    <t>BMD00179</t>
  </si>
  <si>
    <t>BMD00485</t>
  </si>
  <si>
    <t>BMD00492</t>
  </si>
  <si>
    <t>BMD00498</t>
  </si>
  <si>
    <t>BMD00183</t>
  </si>
  <si>
    <t>BMD00184</t>
  </si>
  <si>
    <t>BMD00187</t>
  </si>
  <si>
    <t>BMD00191</t>
  </si>
  <si>
    <t>BMD00506</t>
  </si>
  <si>
    <t>BMD00197</t>
  </si>
  <si>
    <t>BMD00201</t>
  </si>
  <si>
    <t>BMD00204</t>
  </si>
  <si>
    <t>BMD00206</t>
  </si>
  <si>
    <t>BMD00207</t>
  </si>
  <si>
    <t>BMD00208</t>
  </si>
  <si>
    <t>BMD00209</t>
  </si>
  <si>
    <t>BMD00210</t>
  </si>
  <si>
    <t>BMD00212</t>
  </si>
  <si>
    <t>BMD00213</t>
  </si>
  <si>
    <t>BMD00515</t>
  </si>
  <si>
    <t>BMD00215</t>
  </si>
  <si>
    <t>BMD00216</t>
  </si>
  <si>
    <t>BMD00517</t>
  </si>
  <si>
    <t>BMD00218</t>
  </si>
  <si>
    <t>BMD00521</t>
  </si>
  <si>
    <t>BMD00523</t>
  </si>
  <si>
    <t>BMD00224</t>
  </si>
  <si>
    <t>BMD00531</t>
  </si>
  <si>
    <t>BMD00886</t>
  </si>
  <si>
    <t>BMD01021</t>
  </si>
  <si>
    <t>BMD01022</t>
  </si>
  <si>
    <t>BMD01023</t>
  </si>
  <si>
    <t>BMD01024</t>
  </si>
  <si>
    <t>BMD01025</t>
  </si>
  <si>
    <t>BMD00889</t>
  </si>
  <si>
    <t>BMD00890</t>
  </si>
  <si>
    <t>BMD01026</t>
  </si>
  <si>
    <t>BMD01027</t>
  </si>
  <si>
    <t>BMD00887</t>
  </si>
  <si>
    <t>BMD00888</t>
  </si>
  <si>
    <t>BMD00311</t>
  </si>
  <si>
    <t>SBT</t>
  </si>
  <si>
    <t>NA</t>
    <phoneticPr fontId="21" type="noConversion"/>
  </si>
  <si>
    <t>BMD00002</t>
  </si>
  <si>
    <t>BMD00006</t>
  </si>
  <si>
    <t>BMD00009</t>
  </si>
  <si>
    <t>BMD00325</t>
  </si>
  <si>
    <t>BMD00327</t>
  </si>
  <si>
    <t>BMD00014</t>
  </si>
  <si>
    <t>BMD00020</t>
  </si>
  <si>
    <t>BMD00021</t>
  </si>
  <si>
    <t>BMD00025</t>
  </si>
  <si>
    <t>BMD00026</t>
  </si>
  <si>
    <t>BMD00341</t>
  </si>
  <si>
    <t>BMD00343</t>
  </si>
  <si>
    <t>BMD00345</t>
  </si>
  <si>
    <t>BMD00037</t>
  </si>
  <si>
    <t>BMD00040</t>
  </si>
  <si>
    <t>BMD00050</t>
  </si>
  <si>
    <t>BMD00355</t>
  </si>
  <si>
    <t>BMD00054</t>
  </si>
  <si>
    <t>BMD00057</t>
  </si>
  <si>
    <t>BMD00059</t>
  </si>
  <si>
    <t>BMD00067</t>
  </si>
  <si>
    <t>BMD00070</t>
  </si>
  <si>
    <t>BMD00374</t>
  </si>
  <si>
    <t>BMD00376</t>
  </si>
  <si>
    <t>BMD00379</t>
  </si>
  <si>
    <t>BMD00077</t>
  </si>
  <si>
    <t>BMD00382</t>
  </si>
  <si>
    <t>BMD00383</t>
  </si>
  <si>
    <t>BMD00384</t>
  </si>
  <si>
    <t>BMD00385</t>
  </si>
  <si>
    <t>BMD00388</t>
  </si>
  <si>
    <t>BMD00086</t>
  </si>
  <si>
    <t>BMD00093</t>
  </si>
  <si>
    <t>BMD00397</t>
  </si>
  <si>
    <t>BMD00094</t>
  </si>
  <si>
    <t>BMD00399</t>
  </si>
  <si>
    <t>BMD00097</t>
  </si>
  <si>
    <t>BMD00403</t>
  </si>
  <si>
    <t>BMD00404</t>
  </si>
  <si>
    <t>BMD00102</t>
  </si>
  <si>
    <t>BMD00103</t>
  </si>
  <si>
    <t>BMD00105</t>
  </si>
  <si>
    <t>BMD00407</t>
  </si>
  <si>
    <t>BMD00426</t>
  </si>
  <si>
    <t>BMD00428</t>
  </si>
  <si>
    <t>BMD00136</t>
  </si>
  <si>
    <t>BMD00433</t>
  </si>
  <si>
    <t>BMD00434</t>
  </si>
  <si>
    <t>BMD00891</t>
  </si>
  <si>
    <t>BMD00484</t>
  </si>
  <si>
    <t>BMD00487</t>
  </si>
  <si>
    <t>BMD00488</t>
  </si>
  <si>
    <t>BMD00490</t>
  </si>
  <si>
    <t>BMD00180</t>
  </si>
  <si>
    <t>BMD00181</t>
  </si>
  <si>
    <t>BMD00185</t>
  </si>
  <si>
    <t>BMD00186</t>
  </si>
  <si>
    <t>BMD00500</t>
  </si>
  <si>
    <t>BMD00504</t>
  </si>
  <si>
    <t>BMD00199</t>
  </si>
  <si>
    <t>BMD00200</t>
  </si>
  <si>
    <t>BMD00610</t>
  </si>
  <si>
    <t>BMD00611</t>
  </si>
  <si>
    <t>BMD00612</t>
  </si>
  <si>
    <t>BMD00613</t>
  </si>
  <si>
    <t>BMD00614</t>
  </si>
  <si>
    <t>BMD00615</t>
  </si>
  <si>
    <t>BMD00616</t>
  </si>
  <si>
    <t>BMD00617</t>
  </si>
  <si>
    <t>BMD00618</t>
  </si>
  <si>
    <t>BMD00619</t>
  </si>
  <si>
    <t>BMD00620</t>
  </si>
  <si>
    <t>BMD00621</t>
  </si>
  <si>
    <t>BMD00622</t>
  </si>
  <si>
    <t>BMD00623</t>
  </si>
  <si>
    <t>BMD00624</t>
  </si>
  <si>
    <t>BMD00625</t>
  </si>
  <si>
    <t>BMD00626</t>
  </si>
  <si>
    <t>BMD00627</t>
  </si>
  <si>
    <t>BMD00628</t>
  </si>
  <si>
    <t>BMD00629</t>
  </si>
  <si>
    <t>BMD00630</t>
  </si>
  <si>
    <t>BMD00631</t>
  </si>
  <si>
    <t>BMD00632</t>
  </si>
  <si>
    <t>BMD00633</t>
  </si>
  <si>
    <t>BMD00634</t>
  </si>
  <si>
    <t>BMD00635</t>
  </si>
  <si>
    <t>BMD00636</t>
  </si>
  <si>
    <t>BMD00637</t>
  </si>
  <si>
    <t>BMD00638</t>
  </si>
  <si>
    <t>BMD00203</t>
  </si>
  <si>
    <t>BMD00205</t>
  </si>
  <si>
    <t>BMD00513</t>
  </si>
  <si>
    <t>BMD00514</t>
  </si>
  <si>
    <t>BMD00516</t>
  </si>
  <si>
    <t>BMD00219</t>
  </si>
  <si>
    <t>BMD00222</t>
  </si>
  <si>
    <t>BMD00524</t>
  </si>
  <si>
    <t>BMD00639</t>
  </si>
  <si>
    <t>BMD00640</t>
  </si>
  <si>
    <t>BMD00641</t>
  </si>
  <si>
    <t>BMD00642</t>
  </si>
  <si>
    <t>BMD00643</t>
  </si>
  <si>
    <t>BMD00530</t>
  </si>
  <si>
    <t>BMD00226</t>
  </si>
  <si>
    <t>BMD01066</t>
  </si>
  <si>
    <t>BMD01067</t>
  </si>
  <si>
    <t>BMD01068</t>
  </si>
  <si>
    <t>BMD01069</t>
  </si>
  <si>
    <t>BMD01070</t>
  </si>
  <si>
    <t>BMD01071</t>
  </si>
  <si>
    <t>BMD01073</t>
  </si>
  <si>
    <t>BMD01074</t>
  </si>
  <si>
    <t>BMD01075</t>
  </si>
  <si>
    <t>BMD01087</t>
  </si>
  <si>
    <t>BMD01088</t>
  </si>
  <si>
    <t>BMD01089</t>
  </si>
  <si>
    <t>BMD01095</t>
  </si>
  <si>
    <t>BMD01096</t>
  </si>
  <si>
    <t>BMD01103</t>
  </si>
  <si>
    <t>BMD01104</t>
  </si>
  <si>
    <t>BMD01107</t>
  </si>
  <si>
    <t>BMD01108</t>
  </si>
  <si>
    <t>BMD01109</t>
  </si>
  <si>
    <t>BMD01111</t>
  </si>
  <si>
    <t>BMD01112</t>
  </si>
  <si>
    <t>BMD01113</t>
  </si>
  <si>
    <t>BMD01114</t>
  </si>
  <si>
    <t>BMD01115</t>
  </si>
  <si>
    <t>BMD01116</t>
  </si>
  <si>
    <t>BMD01117</t>
  </si>
  <si>
    <t>BMD01118</t>
  </si>
  <si>
    <t>BMD01119</t>
  </si>
  <si>
    <t>BMD01120</t>
  </si>
  <si>
    <t>BMD01121</t>
  </si>
  <si>
    <t>BMD01122</t>
  </si>
  <si>
    <t>BMD00848</t>
  </si>
  <si>
    <t>BMD00850</t>
  </si>
  <si>
    <t>BMD00853</t>
  </si>
  <si>
    <t>BMD00862</t>
  </si>
  <si>
    <t>BMD00864</t>
  </si>
  <si>
    <t>BMD00865</t>
  </si>
  <si>
    <t>BMD00866</t>
  </si>
  <si>
    <t>BMD00868</t>
  </si>
  <si>
    <t>BMD00871</t>
  </si>
  <si>
    <t>BMD00872</t>
  </si>
  <si>
    <t>BMD00876</t>
  </si>
  <si>
    <t>BMD00882</t>
  </si>
  <si>
    <t>BMD00883</t>
  </si>
  <si>
    <t>BMD01124</t>
  </si>
  <si>
    <t>BMD01125</t>
  </si>
  <si>
    <t>BMD01126</t>
  </si>
  <si>
    <t>BMD01127</t>
  </si>
  <si>
    <t>BMD01128</t>
  </si>
  <si>
    <t>BMD01129</t>
  </si>
  <si>
    <t>BMD01130</t>
  </si>
  <si>
    <t>BMD01131</t>
  </si>
  <si>
    <t>BMD01132</t>
  </si>
  <si>
    <t>BMD01133</t>
  </si>
  <si>
    <t>BMD01134</t>
  </si>
  <si>
    <t>BMD01135</t>
  </si>
  <si>
    <t>BMD01136</t>
  </si>
  <si>
    <t>BMD01137</t>
  </si>
  <si>
    <t>BMD01138</t>
  </si>
  <si>
    <t>BMD01139</t>
  </si>
  <si>
    <t>BMD01140</t>
  </si>
  <si>
    <t>BMD01141</t>
  </si>
  <si>
    <t>age</t>
    <phoneticPr fontId="21" type="noConversion"/>
  </si>
  <si>
    <t>BMD01001</t>
  </si>
  <si>
    <t>Healthy</t>
  </si>
  <si>
    <t>BMD00112</t>
  </si>
  <si>
    <t>BMD00113</t>
  </si>
  <si>
    <t>BMD00114</t>
  </si>
  <si>
    <t>BMD00409</t>
  </si>
  <si>
    <t>BMD00117</t>
  </si>
  <si>
    <t>BMD00413</t>
  </si>
  <si>
    <t>BMD00414</t>
  </si>
  <si>
    <t>BMD01002</t>
  </si>
  <si>
    <t>BMD01003</t>
  </si>
  <si>
    <t>BMD00416</t>
  </si>
  <si>
    <t>BMD00127</t>
  </si>
  <si>
    <t>BMD00419</t>
  </si>
  <si>
    <t>BMD00420</t>
  </si>
  <si>
    <t>BMD00140</t>
  </si>
  <si>
    <t>BMD00436</t>
  </si>
  <si>
    <t>BMD01004</t>
  </si>
  <si>
    <t>BMD01005</t>
  </si>
  <si>
    <t>BMD00141</t>
  </si>
  <si>
    <t>BMD00440</t>
  </si>
  <si>
    <t>BMD00444</t>
  </si>
  <si>
    <t>BMD00149</t>
  </si>
  <si>
    <t>BMD00448</t>
  </si>
  <si>
    <t>BMD00449</t>
  </si>
  <si>
    <t>BMD01006</t>
  </si>
  <si>
    <t>BMD00452</t>
  </si>
  <si>
    <t>BMD00453</t>
  </si>
  <si>
    <t>BMD01007</t>
  </si>
  <si>
    <t>BMD00152</t>
  </si>
  <si>
    <t>BMD00154</t>
  </si>
  <si>
    <t>BMD00155</t>
  </si>
  <si>
    <t>BMD00457</t>
  </si>
  <si>
    <t>BMD00158</t>
  </si>
  <si>
    <t>BMD00460</t>
  </si>
  <si>
    <t>BMD00461</t>
  </si>
  <si>
    <t>BMD00160</t>
  </si>
  <si>
    <t>BMD01008</t>
  </si>
  <si>
    <t>BMD01009</t>
  </si>
  <si>
    <t>BMD00462</t>
  </si>
  <si>
    <t>BMD01010</t>
  </si>
  <si>
    <t>BMD00463</t>
  </si>
  <si>
    <t>BMD00465</t>
  </si>
  <si>
    <t>BMD01011</t>
  </si>
  <si>
    <t>BMD00466</t>
  </si>
  <si>
    <t>BMD00467</t>
  </si>
  <si>
    <t>BMD00468</t>
  </si>
  <si>
    <t>BMD00170</t>
  </si>
  <si>
    <t>BMD00171</t>
  </si>
  <si>
    <t>BMD00469</t>
  </si>
  <si>
    <t>BMD00471</t>
  </si>
  <si>
    <t>BMD00472</t>
  </si>
  <si>
    <t>BMD00473</t>
  </si>
  <si>
    <t>BMD00475</t>
  </si>
  <si>
    <t>BMD00478</t>
  </si>
  <si>
    <t>BMD00176</t>
  </si>
  <si>
    <t>BMD00177</t>
  </si>
  <si>
    <t>BMD00481</t>
  </si>
  <si>
    <t>BMD00482</t>
  </si>
  <si>
    <t>BMD01012</t>
  </si>
  <si>
    <t>BMD01013</t>
  </si>
  <si>
    <t>BMD01014</t>
  </si>
  <si>
    <t>BMD01015</t>
  </si>
  <si>
    <t>BMD01016</t>
  </si>
  <si>
    <t>BMD01017</t>
  </si>
  <si>
    <t>BMD01018</t>
  </si>
  <si>
    <t>BMD01019</t>
  </si>
  <si>
    <t>BMD00493</t>
  </si>
  <si>
    <t>BMD00182</t>
  </si>
  <si>
    <t>BMD00494</t>
  </si>
  <si>
    <t>BMD00189</t>
  </si>
  <si>
    <t>BMD00532</t>
  </si>
  <si>
    <t>BMD00534</t>
  </si>
  <si>
    <t>BMD00535</t>
  </si>
  <si>
    <t>BMD00231</t>
  </si>
  <si>
    <t>BMD00232</t>
  </si>
  <si>
    <t>BMD00538</t>
  </si>
  <si>
    <t>BMD00235</t>
  </si>
  <si>
    <t>BMD00258</t>
  </si>
  <si>
    <t>BMD00560</t>
  </si>
  <si>
    <t>BMD00269</t>
  </si>
  <si>
    <t>BMD00673</t>
  </si>
  <si>
    <t>BMD00674</t>
  </si>
  <si>
    <t>BMD00678</t>
  </si>
  <si>
    <t>BMD00679</t>
  </si>
  <si>
    <t>BMD01020</t>
  </si>
  <si>
    <t>BMD00650</t>
  </si>
  <si>
    <t>BMD00652</t>
  </si>
  <si>
    <t>BMD00654</t>
  </si>
  <si>
    <t>BMD00682</t>
  </si>
  <si>
    <t>BMD00689</t>
  </si>
  <si>
    <t>BMD00699</t>
  </si>
  <si>
    <t>BMD00715</t>
  </si>
  <si>
    <t>BMD00719</t>
  </si>
  <si>
    <t>BMD00737</t>
  </si>
  <si>
    <t>BMD00749</t>
  </si>
  <si>
    <t>BMD00771</t>
  </si>
  <si>
    <t>BMD00580</t>
  </si>
  <si>
    <t>BMD00656</t>
  </si>
  <si>
    <t>BMD00581</t>
  </si>
  <si>
    <t>BMD00276</t>
  </si>
  <si>
    <t>BMD00659</t>
  </si>
  <si>
    <t>BMD00794</t>
  </si>
  <si>
    <t>BMD00795</t>
  </si>
  <si>
    <t>BMD00585</t>
  </si>
  <si>
    <t>BMD00278</t>
  </si>
  <si>
    <t>BMD00586</t>
  </si>
  <si>
    <t>BMD00660</t>
  </si>
  <si>
    <t>BMD00662</t>
  </si>
  <si>
    <t>BMD00599</t>
  </si>
  <si>
    <t>BMD00600</t>
  </si>
  <si>
    <t>BMD00303</t>
  </si>
  <si>
    <t>BMD00305</t>
  </si>
  <si>
    <t>BMD00306</t>
  </si>
  <si>
    <t>BMD00821</t>
  </si>
  <si>
    <t>BMD00825</t>
  </si>
  <si>
    <t>BMD00827</t>
  </si>
  <si>
    <t>BMD00828</t>
  </si>
  <si>
    <t>BMD00829</t>
  </si>
  <si>
    <t>BMD00830</t>
  </si>
  <si>
    <t>BMD00832</t>
  </si>
  <si>
    <t>BMD00833</t>
  </si>
  <si>
    <t>BMD00834</t>
  </si>
  <si>
    <t>BMD00835</t>
  </si>
  <si>
    <t>BMD00840</t>
  </si>
  <si>
    <t>BMD00106</t>
  </si>
  <si>
    <t>BMD00109</t>
  </si>
  <si>
    <t>BMD00111</t>
  </si>
  <si>
    <t>BMD01038</t>
  </si>
  <si>
    <t>BMD00411</t>
  </si>
  <si>
    <t>BMD00116</t>
  </si>
  <si>
    <t>BMD00120</t>
  </si>
  <si>
    <t>BMD00412</t>
  </si>
  <si>
    <t>BMD00121</t>
  </si>
  <si>
    <t>BMD00122</t>
  </si>
  <si>
    <t>BMD01040</t>
  </si>
  <si>
    <t>BMD00142</t>
  </si>
  <si>
    <t>BMD00439</t>
  </si>
  <si>
    <t>BMD00447</t>
  </si>
  <si>
    <t>BMD00150</t>
  </si>
  <si>
    <t>BMD00450</t>
  </si>
  <si>
    <t>BMD00451</t>
  </si>
  <si>
    <t>BMD00151</t>
  </si>
  <si>
    <t>BMD00156</t>
  </si>
  <si>
    <t>BMD00159</t>
  </si>
  <si>
    <t>BMD00464</t>
  </si>
  <si>
    <t>BMD00164</t>
  </si>
  <si>
    <t>BMD00166</t>
  </si>
  <si>
    <t>BMD00168</t>
  </si>
  <si>
    <t>BMD00169</t>
  </si>
  <si>
    <t>BMD00477</t>
  </si>
  <si>
    <t>BMD01041</t>
  </si>
  <si>
    <t>BMD01042</t>
  </si>
  <si>
    <t>BMD01043</t>
  </si>
  <si>
    <t>BMD01044</t>
  </si>
  <si>
    <t>BMD01045</t>
  </si>
  <si>
    <t>BMD01046</t>
  </si>
  <si>
    <t>BMD01047</t>
  </si>
  <si>
    <t>BMD01048</t>
  </si>
  <si>
    <t>BMD01049</t>
  </si>
  <si>
    <t>BMD01050</t>
  </si>
  <si>
    <t>BMD01051</t>
  </si>
  <si>
    <t>BMD01052</t>
  </si>
  <si>
    <t>BMD01053</t>
  </si>
  <si>
    <t>BMD01054</t>
  </si>
  <si>
    <t>BMD01055</t>
  </si>
  <si>
    <t>BMD01056</t>
  </si>
  <si>
    <t>BMD01057</t>
  </si>
  <si>
    <t>BMD01058</t>
  </si>
  <si>
    <t>BMD01059</t>
  </si>
  <si>
    <t>BMD00495</t>
  </si>
  <si>
    <t>BMD00496</t>
  </si>
  <si>
    <t>BMD00511</t>
  </si>
  <si>
    <t>BMD00670</t>
  </si>
  <si>
    <t>BMD00648</t>
  </si>
  <si>
    <t>BMD00649</t>
  </si>
  <si>
    <t>BMD00691</t>
  </si>
  <si>
    <t>BMD00696</t>
  </si>
  <si>
    <t>BMD00701</t>
  </si>
  <si>
    <t>BMD00703</t>
  </si>
  <si>
    <t>BMD00704</t>
  </si>
  <si>
    <t>BMD00706</t>
  </si>
  <si>
    <t>BMD00713</t>
  </si>
  <si>
    <t>BMD00717</t>
  </si>
  <si>
    <t>BMD01076</t>
  </si>
  <si>
    <t>BMD01077</t>
  </si>
  <si>
    <t>BMD00723</t>
  </si>
  <si>
    <t>BMD00724</t>
  </si>
  <si>
    <t>BMD01078</t>
  </si>
  <si>
    <t>BMD00727</t>
  </si>
  <si>
    <t>BMD00731</t>
  </si>
  <si>
    <t>BMD00733</t>
  </si>
  <si>
    <t>BMD00734</t>
  </si>
  <si>
    <t>BMD00735</t>
  </si>
  <si>
    <t>BMD00738</t>
  </si>
  <si>
    <t>BMD00739</t>
  </si>
  <si>
    <t>BMD00742</t>
  </si>
  <si>
    <t>BMD00750</t>
  </si>
  <si>
    <t>BMD00751</t>
  </si>
  <si>
    <t>BMD01079</t>
  </si>
  <si>
    <t>BMD00754</t>
  </si>
  <si>
    <t>BMD00763</t>
  </si>
  <si>
    <t>BMD00770</t>
  </si>
  <si>
    <t>BMD01080</t>
  </si>
  <si>
    <t>BMD01081</t>
  </si>
  <si>
    <t>BMD01082</t>
  </si>
  <si>
    <t>BMD01083</t>
  </si>
  <si>
    <t>BMD00275</t>
  </si>
  <si>
    <t>BMD01084</t>
  </si>
  <si>
    <t>BMD01085</t>
  </si>
  <si>
    <t>BMD01086</t>
  </si>
  <si>
    <t>BMD00796</t>
  </si>
  <si>
    <t>BMD01090</t>
  </si>
  <si>
    <t>BMD01091</t>
  </si>
  <si>
    <t>BMD00797</t>
  </si>
  <si>
    <t>BMD00798</t>
  </si>
  <si>
    <t>BMD00799</t>
  </si>
  <si>
    <t>BMD01092</t>
  </si>
  <si>
    <t>BMD01093</t>
  </si>
  <si>
    <t>BMD01094</t>
  </si>
  <si>
    <t>BMD00594</t>
  </si>
  <si>
    <t>BMD00300</t>
  </si>
  <si>
    <t>BMD00608</t>
  </si>
  <si>
    <t>BMD00304</t>
  </si>
  <si>
    <t>BMD00307</t>
  </si>
  <si>
    <t>BMD00308</t>
  </si>
  <si>
    <t>BMD00820</t>
  </si>
  <si>
    <t>BMD00824</t>
  </si>
  <si>
    <t>BMD00826</t>
  </si>
  <si>
    <t>BMD00831</t>
  </si>
  <si>
    <t>BMD00836</t>
  </si>
  <si>
    <t>BMD01097</t>
  </si>
  <si>
    <t>BMD01098</t>
  </si>
  <si>
    <t>BMD01099</t>
  </si>
  <si>
    <t>BMD01100</t>
  </si>
  <si>
    <t>BMD01101</t>
  </si>
  <si>
    <t>BMD01102</t>
  </si>
  <si>
    <t>BMD01105</t>
  </si>
  <si>
    <t>BMD00837</t>
  </si>
  <si>
    <t>BMD00838</t>
  </si>
  <si>
    <t>BMD00839</t>
  </si>
  <si>
    <t>BMD01106</t>
  </si>
  <si>
    <t>BMD00841</t>
  </si>
  <si>
    <t>BMD00842</t>
  </si>
  <si>
    <t>BMD00844</t>
  </si>
  <si>
    <t>BMD00845</t>
  </si>
  <si>
    <t>BMD01110</t>
  </si>
  <si>
    <t>BMD01028</t>
  </si>
  <si>
    <t>Benign</t>
  </si>
  <si>
    <t>hamartoma</t>
  </si>
  <si>
    <t>BMD01029</t>
  </si>
  <si>
    <t>granuloma</t>
  </si>
  <si>
    <t>BMD01030</t>
  </si>
  <si>
    <t>tumor</t>
    <phoneticPr fontId="21" type="noConversion"/>
  </si>
  <si>
    <t>BMD01032</t>
  </si>
  <si>
    <t>BMD01033</t>
  </si>
  <si>
    <t>normal</t>
    <phoneticPr fontId="21" type="noConversion"/>
  </si>
  <si>
    <t>BMD01036</t>
  </si>
  <si>
    <t>BMD01037</t>
  </si>
  <si>
    <t>BMD01039</t>
  </si>
  <si>
    <t>BMD01060</t>
  </si>
  <si>
    <t>BMD01062</t>
  </si>
  <si>
    <t>BMD01063</t>
  </si>
  <si>
    <t>BMD01064</t>
  </si>
  <si>
    <t>BMD01072</t>
  </si>
  <si>
    <t>BMD00849</t>
  </si>
  <si>
    <t>sclerosing pneumocytoma</t>
  </si>
  <si>
    <t>BMD01123</t>
  </si>
  <si>
    <t>patientID</t>
    <phoneticPr fontId="21" type="noConversion"/>
  </si>
  <si>
    <t>sampleID_ELSA</t>
    <phoneticPr fontId="7" type="noConversion"/>
  </si>
  <si>
    <t>sampleName_HS.UMI</t>
    <phoneticPr fontId="7" type="noConversion"/>
  </si>
  <si>
    <t>ELSA_spec_99</t>
    <phoneticPr fontId="7" type="noConversion"/>
  </si>
  <si>
    <t>HS_UMI_maxAF</t>
    <phoneticPr fontId="7" type="noConversion"/>
  </si>
  <si>
    <t>mutation_call</t>
  </si>
  <si>
    <t>N01</t>
    <phoneticPr fontId="21" type="noConversion"/>
  </si>
  <si>
    <t>BSD01000</t>
  </si>
  <si>
    <t>N02</t>
    <phoneticPr fontId="21" type="noConversion"/>
  </si>
  <si>
    <t>BSD01001</t>
  </si>
  <si>
    <t>N03</t>
  </si>
  <si>
    <t>BSD01002</t>
  </si>
  <si>
    <t>N04</t>
  </si>
  <si>
    <t>BSD01003</t>
  </si>
  <si>
    <t>N05</t>
  </si>
  <si>
    <t>BSD01004</t>
  </si>
  <si>
    <t>N06</t>
  </si>
  <si>
    <t>BSD01005</t>
  </si>
  <si>
    <t>N07</t>
  </si>
  <si>
    <t>BSD01006</t>
  </si>
  <si>
    <t>N08</t>
  </si>
  <si>
    <t>BSD01007</t>
  </si>
  <si>
    <t>N09</t>
  </si>
  <si>
    <t>BSD01008</t>
  </si>
  <si>
    <t>N10</t>
  </si>
  <si>
    <t>BSD01009</t>
  </si>
  <si>
    <t>N11</t>
  </si>
  <si>
    <t>BSD01010</t>
  </si>
  <si>
    <t>N12</t>
  </si>
  <si>
    <t>BSD01011</t>
  </si>
  <si>
    <t>N13</t>
  </si>
  <si>
    <t>BSD01012</t>
  </si>
  <si>
    <t>N14</t>
  </si>
  <si>
    <t>BSD01013</t>
  </si>
  <si>
    <t>N15</t>
  </si>
  <si>
    <t>BSD01014</t>
  </si>
  <si>
    <t>N16</t>
  </si>
  <si>
    <t>BSD01015</t>
  </si>
  <si>
    <t>N17</t>
  </si>
  <si>
    <t>BSD01016</t>
  </si>
  <si>
    <t>N18</t>
  </si>
  <si>
    <t>BSD01017</t>
  </si>
  <si>
    <t>N19</t>
  </si>
  <si>
    <t>BSD01018</t>
  </si>
  <si>
    <t>N20</t>
  </si>
  <si>
    <t>BSD01019</t>
  </si>
  <si>
    <t>N21</t>
  </si>
  <si>
    <t>BSD01020</t>
  </si>
  <si>
    <t>N22</t>
  </si>
  <si>
    <t>BSD01021</t>
  </si>
  <si>
    <t>N23</t>
  </si>
  <si>
    <t>BSD01022</t>
  </si>
  <si>
    <t>N24</t>
  </si>
  <si>
    <t>BSD01023</t>
  </si>
  <si>
    <t>N25</t>
  </si>
  <si>
    <t>BSD01024</t>
  </si>
  <si>
    <t>N26</t>
  </si>
  <si>
    <t>BSD01025</t>
  </si>
  <si>
    <t>N27</t>
  </si>
  <si>
    <t>BSD01026</t>
  </si>
  <si>
    <t>N28</t>
  </si>
  <si>
    <t>BSD01027</t>
  </si>
  <si>
    <t>P01</t>
    <phoneticPr fontId="21" type="noConversion"/>
  </si>
  <si>
    <t>BSD01028</t>
  </si>
  <si>
    <t>IA</t>
    <phoneticPr fontId="7" type="noConversion"/>
  </si>
  <si>
    <t>P02</t>
  </si>
  <si>
    <t>BSD01029</t>
  </si>
  <si>
    <t>P03</t>
  </si>
  <si>
    <t>BSD01030</t>
  </si>
  <si>
    <t>positive</t>
  </si>
  <si>
    <t>P04</t>
  </si>
  <si>
    <t>BSD01031</t>
  </si>
  <si>
    <t>P05</t>
  </si>
  <si>
    <t>BSD01032</t>
  </si>
  <si>
    <t>P06</t>
  </si>
  <si>
    <t>BSD01033</t>
  </si>
  <si>
    <t>P07</t>
  </si>
  <si>
    <t>BSD01034</t>
  </si>
  <si>
    <t>P08</t>
  </si>
  <si>
    <t>BSD01035</t>
  </si>
  <si>
    <t>P09</t>
  </si>
  <si>
    <t>BSD01036</t>
  </si>
  <si>
    <t>P10</t>
  </si>
  <si>
    <t>BSD01037</t>
  </si>
  <si>
    <t>P11</t>
  </si>
  <si>
    <t>BSD01038</t>
  </si>
  <si>
    <t>P12</t>
  </si>
  <si>
    <t>BSD01039</t>
  </si>
  <si>
    <t>P13</t>
  </si>
  <si>
    <t>BSD01040</t>
  </si>
  <si>
    <t>P14</t>
  </si>
  <si>
    <t>BSD01041</t>
  </si>
  <si>
    <t>P15</t>
  </si>
  <si>
    <t>BSD01042</t>
  </si>
  <si>
    <t>P16</t>
  </si>
  <si>
    <t>BSD01043</t>
  </si>
  <si>
    <t>P17</t>
  </si>
  <si>
    <t>BSD01044</t>
  </si>
  <si>
    <t>P18</t>
  </si>
  <si>
    <t>BSD01045</t>
  </si>
  <si>
    <t>P19</t>
  </si>
  <si>
    <t>BSD01046</t>
  </si>
  <si>
    <t>P20</t>
  </si>
  <si>
    <t>BSD01047</t>
  </si>
  <si>
    <t>P21</t>
  </si>
  <si>
    <t>BSD01048</t>
  </si>
  <si>
    <t>P22</t>
  </si>
  <si>
    <t>BSD01049</t>
  </si>
  <si>
    <t>P23</t>
  </si>
  <si>
    <t>BSD01050</t>
  </si>
  <si>
    <t>P24</t>
  </si>
  <si>
    <t>BSD01051</t>
  </si>
  <si>
    <t>P25</t>
  </si>
  <si>
    <t>BSD01052</t>
  </si>
  <si>
    <t>P26</t>
  </si>
  <si>
    <t>BSD01053</t>
  </si>
  <si>
    <t>P27</t>
  </si>
  <si>
    <t>BSD01054</t>
  </si>
  <si>
    <t>P28</t>
  </si>
  <si>
    <t>BSD01055</t>
  </si>
  <si>
    <t>P29</t>
  </si>
  <si>
    <t>BSD01056</t>
  </si>
  <si>
    <t>P30</t>
  </si>
  <si>
    <t>BSD01057</t>
  </si>
  <si>
    <t>P31</t>
  </si>
  <si>
    <t>BSD01058</t>
  </si>
  <si>
    <t>P32</t>
  </si>
  <si>
    <t>BSD01059</t>
  </si>
  <si>
    <t>P33</t>
  </si>
  <si>
    <t>BSD01060</t>
  </si>
  <si>
    <t>P34</t>
  </si>
  <si>
    <t>BSD01061</t>
  </si>
  <si>
    <t>Prior_Type</t>
  </si>
  <si>
    <t>FAT3</t>
  </si>
  <si>
    <t>p.V4221I</t>
  </si>
  <si>
    <t>rs749339528</t>
  </si>
  <si>
    <t>COSM256932,COSM256933,COSM256931</t>
  </si>
  <si>
    <t>V4221</t>
  </si>
  <si>
    <t>COSMIC</t>
  </si>
  <si>
    <t>CTNNB1</t>
  </si>
  <si>
    <t>p.S37F</t>
  </si>
  <si>
    <t>rs121913403</t>
  </si>
  <si>
    <t>COSM5662</t>
  </si>
  <si>
    <t>S37</t>
  </si>
  <si>
    <t>C</t>
  </si>
  <si>
    <t>T</t>
  </si>
  <si>
    <t>p.L858R</t>
  </si>
  <si>
    <t>rs121434568</t>
  </si>
  <si>
    <t>COSM6224</t>
  </si>
  <si>
    <t>L858</t>
  </si>
  <si>
    <t>HOT</t>
  </si>
  <si>
    <t>p.R175H</t>
  </si>
  <si>
    <t>rs28934578</t>
  </si>
  <si>
    <t>COSM99914,COSM99022,COSM99024,COSM10648,COSM1640851,COSM99023,COSM3355994</t>
  </si>
  <si>
    <t>R175</t>
  </si>
  <si>
    <t>KRAS</t>
  </si>
  <si>
    <t>p.G12C</t>
  </si>
  <si>
    <t>rs121913530</t>
  </si>
  <si>
    <t>COSM516,COSM1140136</t>
  </si>
  <si>
    <t>G12</t>
  </si>
  <si>
    <t>p.V272M</t>
  </si>
  <si>
    <t>rs121912657</t>
  </si>
  <si>
    <t>COSM99950,COSM10891,COSM3388172,COSM1645249</t>
  </si>
  <si>
    <t>V272</t>
  </si>
  <si>
    <t>splice_acceptor_variant</t>
  </si>
  <si>
    <t>c.673-1G&gt;T</t>
  </si>
  <si>
    <t>COSM344603,COSM344605,COSM3787443,COSM1646848,COSM344604,COSM45135</t>
  </si>
  <si>
    <t>Exon7_splice_site</t>
  </si>
  <si>
    <t>KEAP1</t>
  </si>
  <si>
    <t>p.D236N</t>
  </si>
  <si>
    <t>COSM1524057</t>
  </si>
  <si>
    <t>D236</t>
  </si>
  <si>
    <t>p.T284P</t>
  </si>
  <si>
    <t>COSM44352,COSM4271748,COSM707066,COSM1646818</t>
  </si>
  <si>
    <t>T284</t>
  </si>
  <si>
    <t>p.P278S</t>
  </si>
  <si>
    <t>COSM3773297,COSM10939,COSM1646810,COSM139044</t>
  </si>
  <si>
    <t>P278</t>
  </si>
  <si>
    <t>FBXW7</t>
  </si>
  <si>
    <t>p.Y519C</t>
  </si>
  <si>
    <t>COSM27054</t>
  </si>
  <si>
    <t>Y519</t>
  </si>
  <si>
    <t>GRIN2A</t>
  </si>
  <si>
    <t>p.T1064M</t>
  </si>
  <si>
    <t>rs756930722</t>
  </si>
  <si>
    <t>COSM2150675</t>
  </si>
  <si>
    <t>T1064</t>
  </si>
  <si>
    <t>splice_donor_variant</t>
  </si>
  <si>
    <t>c.559+2T&gt;A</t>
  </si>
  <si>
    <t>COSM131546,COSM44495,COSM131544,COSM131545,COSM131543</t>
  </si>
  <si>
    <t>Exon5_splice_site</t>
  </si>
  <si>
    <t>NTRK3</t>
  </si>
  <si>
    <t>p.T777M</t>
  </si>
  <si>
    <t>rs754383313</t>
  </si>
  <si>
    <t>COSM4708552,COSM4708551</t>
  </si>
  <si>
    <t>T777</t>
  </si>
  <si>
    <t>PAK5</t>
  </si>
  <si>
    <t>p.E468K</t>
  </si>
  <si>
    <t>rs764351685</t>
  </si>
  <si>
    <t>COSM1413356</t>
  </si>
  <si>
    <t>E468</t>
  </si>
  <si>
    <t>EPHA5</t>
  </si>
  <si>
    <t>p.R719H</t>
  </si>
  <si>
    <t>COSM1056624</t>
  </si>
  <si>
    <t>R719</t>
  </si>
  <si>
    <t>p.K131T</t>
  </si>
  <si>
    <t>COSM4125566</t>
  </si>
  <si>
    <t>K131</t>
  </si>
  <si>
    <t>BRAF</t>
  </si>
  <si>
    <t>p.K483E</t>
  </si>
  <si>
    <t>COSM3715613</t>
  </si>
  <si>
    <t>K483</t>
  </si>
  <si>
    <t>p.R273C</t>
  </si>
  <si>
    <t>rs121913343</t>
  </si>
  <si>
    <t>COSM1645518,COSM3355991,COSM99933,COSM10659</t>
  </si>
  <si>
    <t>R273</t>
  </si>
  <si>
    <t>c.376-1G&gt;A</t>
  </si>
  <si>
    <t>rs868137297</t>
  </si>
  <si>
    <t>COSM218537,COSM3378369,COSM18655,COSM2156353,COSM218538,COSM6900,COSM218536</t>
  </si>
  <si>
    <t>HIST1H1C</t>
  </si>
  <si>
    <t>disruptive_inframe_deletion</t>
  </si>
  <si>
    <t>p.A197_K201del</t>
  </si>
  <si>
    <t>rs756916945</t>
  </si>
  <si>
    <t>COSM1254195</t>
  </si>
  <si>
    <t>Exon1_inframe_del</t>
  </si>
  <si>
    <t>ACCTTGGGCTTAGCGG</t>
  </si>
  <si>
    <t>p.V147D</t>
  </si>
  <si>
    <t>COSM11273</t>
  </si>
  <si>
    <t>V147</t>
  </si>
  <si>
    <t>total.reads</t>
    <phoneticPr fontId="7" type="noConversion"/>
  </si>
  <si>
    <t>raw.target.ratio</t>
    <phoneticPr fontId="7" type="noConversion"/>
  </si>
  <si>
    <t>median.read.depth</t>
    <phoneticPr fontId="7" type="noConversion"/>
  </si>
  <si>
    <t>UMI.unique.frag.depth</t>
    <phoneticPr fontId="7" type="noConversion"/>
  </si>
  <si>
    <t>UMI.unique.read.depth</t>
    <phoneticPr fontId="7" type="noConversion"/>
  </si>
  <si>
    <t>mean.family.size</t>
    <phoneticPr fontId="7" type="noConversion"/>
  </si>
  <si>
    <t>sample type</t>
    <phoneticPr fontId="7" type="noConversion"/>
  </si>
  <si>
    <t>PLA</t>
  </si>
  <si>
    <t>sampleID_ELSA</t>
    <phoneticPr fontId="21" type="noConversion"/>
  </si>
  <si>
    <t>ELSA_spec_99</t>
    <phoneticPr fontId="21" type="noConversion"/>
  </si>
  <si>
    <t>sampleName_TIS</t>
    <phoneticPr fontId="21" type="noConversion"/>
  </si>
  <si>
    <t>sampleName_HS_UMI</t>
    <phoneticPr fontId="21" type="noConversion"/>
  </si>
  <si>
    <t>sampleName_WBC</t>
    <phoneticPr fontId="21" type="noConversion"/>
  </si>
  <si>
    <t>maxAF_1X_2Xfilter</t>
    <phoneticPr fontId="21" type="noConversion"/>
  </si>
  <si>
    <t>maxAF_3X_filter</t>
    <phoneticPr fontId="21" type="noConversion"/>
  </si>
  <si>
    <t>type</t>
    <phoneticPr fontId="21" type="noConversion"/>
  </si>
  <si>
    <t>P35</t>
    <phoneticPr fontId="21" type="noConversion"/>
  </si>
  <si>
    <t>BSD01064</t>
    <phoneticPr fontId="21" type="noConversion"/>
  </si>
  <si>
    <t>BSD01062</t>
    <phoneticPr fontId="21" type="noConversion"/>
  </si>
  <si>
    <t>BSD01063</t>
  </si>
  <si>
    <t>P36</t>
    <phoneticPr fontId="21" type="noConversion"/>
  </si>
  <si>
    <t>BSD01067</t>
  </si>
  <si>
    <t>BSD01065</t>
    <phoneticPr fontId="21" type="noConversion"/>
  </si>
  <si>
    <t>BSD01066</t>
  </si>
  <si>
    <t>P37</t>
  </si>
  <si>
    <t>BSD01069</t>
  </si>
  <si>
    <t>BSD01068</t>
    <phoneticPr fontId="21" type="noConversion"/>
  </si>
  <si>
    <t>P38</t>
  </si>
  <si>
    <t>BSD01072</t>
  </si>
  <si>
    <t>BSD01070</t>
    <phoneticPr fontId="21" type="noConversion"/>
  </si>
  <si>
    <t>BSD01071</t>
  </si>
  <si>
    <t>P39</t>
  </si>
  <si>
    <t>BSD01075</t>
  </si>
  <si>
    <t>BSD01073</t>
    <phoneticPr fontId="21" type="noConversion"/>
  </si>
  <si>
    <t>BSD01074</t>
  </si>
  <si>
    <t>P40</t>
  </si>
  <si>
    <t>BSD01076</t>
  </si>
  <si>
    <t>BSD02001</t>
    <phoneticPr fontId="21" type="noConversion"/>
  </si>
  <si>
    <t>P41</t>
  </si>
  <si>
    <t>BSD02003</t>
  </si>
  <si>
    <t>BSD02002</t>
    <phoneticPr fontId="21" type="noConversion"/>
  </si>
  <si>
    <t>P42</t>
  </si>
  <si>
    <t>BSD01079</t>
  </si>
  <si>
    <t>BSD01077</t>
    <phoneticPr fontId="21" type="noConversion"/>
  </si>
  <si>
    <t>BSD01078</t>
  </si>
  <si>
    <t>P43</t>
  </si>
  <si>
    <t>BSD01082</t>
  </si>
  <si>
    <t>BSD01080</t>
    <phoneticPr fontId="21" type="noConversion"/>
  </si>
  <si>
    <t>BSD01081</t>
  </si>
  <si>
    <t>P44</t>
  </si>
  <si>
    <t>BSD01085</t>
  </si>
  <si>
    <t>BSD01083</t>
    <phoneticPr fontId="21" type="noConversion"/>
  </si>
  <si>
    <t>BSD01084</t>
  </si>
  <si>
    <t>P45</t>
  </si>
  <si>
    <t>BSD01088</t>
  </si>
  <si>
    <t>BSD01086</t>
    <phoneticPr fontId="21" type="noConversion"/>
  </si>
  <si>
    <t>BSD01087</t>
  </si>
  <si>
    <t>P46</t>
  </si>
  <si>
    <t>BSD01091</t>
  </si>
  <si>
    <t>BSD01089</t>
    <phoneticPr fontId="21" type="noConversion"/>
  </si>
  <si>
    <t>BSD01090</t>
  </si>
  <si>
    <t>P47</t>
  </si>
  <si>
    <t>BSD01094</t>
  </si>
  <si>
    <t>BSD01092</t>
    <phoneticPr fontId="21" type="noConversion"/>
  </si>
  <si>
    <t>BSD01093</t>
  </si>
  <si>
    <t>P48</t>
  </si>
  <si>
    <t>BSD01097</t>
  </si>
  <si>
    <t>BSD01095</t>
    <phoneticPr fontId="21" type="noConversion"/>
  </si>
  <si>
    <t>BSD01096</t>
  </si>
  <si>
    <t>P49</t>
  </si>
  <si>
    <t>BSD01100</t>
  </si>
  <si>
    <t>BSD01098</t>
    <phoneticPr fontId="21" type="noConversion"/>
  </si>
  <si>
    <t>BSD01099</t>
  </si>
  <si>
    <t>P50</t>
  </si>
  <si>
    <t>BSD02005</t>
  </si>
  <si>
    <t>BSD02004</t>
    <phoneticPr fontId="21" type="noConversion"/>
  </si>
  <si>
    <t>P51</t>
  </si>
  <si>
    <t>BSD01101</t>
  </si>
  <si>
    <t>BSD02006</t>
    <phoneticPr fontId="21" type="noConversion"/>
  </si>
  <si>
    <t>P52</t>
  </si>
  <si>
    <t>BSD01102</t>
  </si>
  <si>
    <t>BSD02007</t>
    <phoneticPr fontId="21" type="noConversion"/>
  </si>
  <si>
    <t>P53</t>
  </si>
  <si>
    <t>BSD01103</t>
  </si>
  <si>
    <t>BSD02008</t>
    <phoneticPr fontId="21" type="noConversion"/>
  </si>
  <si>
    <t>P54</t>
  </si>
  <si>
    <t>BSD01104</t>
  </si>
  <si>
    <t>BSD02009</t>
    <phoneticPr fontId="21" type="noConversion"/>
  </si>
  <si>
    <t>P55</t>
  </si>
  <si>
    <t>BSD01105</t>
  </si>
  <si>
    <t>BSD02010</t>
    <phoneticPr fontId="21" type="noConversion"/>
  </si>
  <si>
    <t>P56</t>
  </si>
  <si>
    <t>BSD01106</t>
  </si>
  <si>
    <t>BSD02011</t>
    <phoneticPr fontId="21" type="noConversion"/>
  </si>
  <si>
    <t>P57</t>
  </si>
  <si>
    <t>BSD01107</t>
  </si>
  <si>
    <t>BSD02012</t>
    <phoneticPr fontId="21" type="noConversion"/>
  </si>
  <si>
    <t>P58</t>
  </si>
  <si>
    <t>BSD01108</t>
  </si>
  <si>
    <t>BSD02013</t>
    <phoneticPr fontId="21" type="noConversion"/>
  </si>
  <si>
    <t>P59</t>
  </si>
  <si>
    <t>BSD01109</t>
  </si>
  <si>
    <t>BSD02014</t>
    <phoneticPr fontId="21" type="noConversion"/>
  </si>
  <si>
    <t>P60</t>
  </si>
  <si>
    <t>BSD01110</t>
  </si>
  <si>
    <t>BSD02015</t>
    <phoneticPr fontId="21" type="noConversion"/>
  </si>
  <si>
    <t>P61</t>
  </si>
  <si>
    <t>BSD02017</t>
  </si>
  <si>
    <t>BSD02016</t>
    <phoneticPr fontId="21" type="noConversion"/>
  </si>
  <si>
    <t>P62</t>
  </si>
  <si>
    <t>BSD02019</t>
  </si>
  <si>
    <t>BSD02018</t>
    <phoneticPr fontId="21" type="noConversion"/>
  </si>
  <si>
    <t>P63</t>
  </si>
  <si>
    <t>BSD02021</t>
  </si>
  <si>
    <t>BSD02020</t>
    <phoneticPr fontId="21" type="noConversion"/>
  </si>
  <si>
    <t>P64</t>
  </si>
  <si>
    <t>BSD01111</t>
  </si>
  <si>
    <t>BSD01114</t>
    <phoneticPr fontId="21" type="noConversion"/>
  </si>
  <si>
    <t>P65</t>
  </si>
  <si>
    <t>BSD01112</t>
  </si>
  <si>
    <t>BSD01115</t>
    <phoneticPr fontId="21" type="noConversion"/>
  </si>
  <si>
    <t>P66</t>
  </si>
  <si>
    <t>BSD01113</t>
  </si>
  <si>
    <t>BSD02022</t>
    <phoneticPr fontId="21" type="noConversion"/>
  </si>
  <si>
    <t>N29</t>
    <phoneticPr fontId="21" type="noConversion"/>
  </si>
  <si>
    <t>BSD01116</t>
  </si>
  <si>
    <t>Healthy</t>
    <phoneticPr fontId="21" type="noConversion"/>
  </si>
  <si>
    <t>N30</t>
    <phoneticPr fontId="21" type="noConversion"/>
  </si>
  <si>
    <t>BSD01117</t>
  </si>
  <si>
    <t>N31</t>
  </si>
  <si>
    <t>BSD01118</t>
  </si>
  <si>
    <t>N32</t>
  </si>
  <si>
    <t>BSD01119</t>
  </si>
  <si>
    <t>N33</t>
  </si>
  <si>
    <t>BSD01120</t>
  </si>
  <si>
    <t>N34</t>
  </si>
  <si>
    <t>BSD01121</t>
  </si>
  <si>
    <t>N35</t>
  </si>
  <si>
    <t>BSD01122</t>
  </si>
  <si>
    <t>N36</t>
  </si>
  <si>
    <t>BSD01123</t>
  </si>
  <si>
    <t>N37</t>
  </si>
  <si>
    <t>BSD01124</t>
  </si>
  <si>
    <t>N38</t>
  </si>
  <si>
    <t>BSD01125</t>
  </si>
  <si>
    <t>N39</t>
  </si>
  <si>
    <t>BSD01126</t>
  </si>
  <si>
    <t>N40</t>
  </si>
  <si>
    <t>BSD01127</t>
  </si>
  <si>
    <t>N41</t>
  </si>
  <si>
    <t>BSD01128</t>
  </si>
  <si>
    <t>N42</t>
  </si>
  <si>
    <t>BSD01129</t>
  </si>
  <si>
    <t>N43</t>
  </si>
  <si>
    <t>BSD01130</t>
  </si>
  <si>
    <t>N44</t>
  </si>
  <si>
    <t>BSD01131</t>
  </si>
  <si>
    <t>N45</t>
  </si>
  <si>
    <t>BSD01132</t>
  </si>
  <si>
    <t>N46</t>
  </si>
  <si>
    <t>BSD01133</t>
  </si>
  <si>
    <t>N47</t>
  </si>
  <si>
    <t>BSD01134</t>
  </si>
  <si>
    <t>N48</t>
  </si>
  <si>
    <t>BSD01135</t>
  </si>
  <si>
    <t>N49</t>
  </si>
  <si>
    <t>BSD01136</t>
  </si>
  <si>
    <t>sampleName_HS.UMI</t>
    <phoneticPr fontId="21" type="noConversion"/>
  </si>
  <si>
    <t>P35</t>
  </si>
  <si>
    <t>BRAF</t>
    <phoneticPr fontId="21" type="noConversion"/>
  </si>
  <si>
    <t>missense_variant</t>
    <phoneticPr fontId="21" type="noConversion"/>
  </si>
  <si>
    <t>p.Y472C</t>
    <phoneticPr fontId="21" type="noConversion"/>
  </si>
  <si>
    <t>Y472</t>
    <phoneticPr fontId="21" type="noConversion"/>
  </si>
  <si>
    <t>T</t>
    <phoneticPr fontId="21" type="noConversion"/>
  </si>
  <si>
    <t>C</t>
    <phoneticPr fontId="21" type="noConversion"/>
  </si>
  <si>
    <t>HOT</t>
    <phoneticPr fontId="21" type="noConversion"/>
  </si>
  <si>
    <t>BSD01068</t>
  </si>
  <si>
    <t>p.G12D</t>
  </si>
  <si>
    <t>BSD01070</t>
  </si>
  <si>
    <t>ARID1A</t>
  </si>
  <si>
    <t>p.Q766fs</t>
  </si>
  <si>
    <t>LOF</t>
  </si>
  <si>
    <t>TC</t>
  </si>
  <si>
    <t>p.E258*</t>
  </si>
  <si>
    <t>p.R110L</t>
  </si>
  <si>
    <t>R110</t>
  </si>
  <si>
    <t>p.G469A</t>
  </si>
  <si>
    <t>G469</t>
  </si>
  <si>
    <t>BSD01073</t>
  </si>
  <si>
    <t>RB1</t>
  </si>
  <si>
    <t>p.S318fs</t>
  </si>
  <si>
    <t>ATCTT</t>
  </si>
  <si>
    <t>p.R158P</t>
  </si>
  <si>
    <t>R158</t>
  </si>
  <si>
    <t>BSD01114</t>
  </si>
  <si>
    <t>p.C277Y</t>
  </si>
  <si>
    <t>C277</t>
  </si>
  <si>
    <t>BSD01115</t>
  </si>
  <si>
    <t>NF1</t>
  </si>
  <si>
    <t>p.I679fs</t>
  </si>
  <si>
    <t>AC</t>
  </si>
  <si>
    <t>BSD02002</t>
  </si>
  <si>
    <t>p.R282W</t>
  </si>
  <si>
    <t>R282</t>
  </si>
  <si>
    <t>BSD02007</t>
  </si>
  <si>
    <t>BSD02008</t>
  </si>
  <si>
    <t>p.R196*</t>
  </si>
  <si>
    <t>BSD02010</t>
  </si>
  <si>
    <t>p.L747_P753delinsS</t>
  </si>
  <si>
    <t>Exon19_inframe_del</t>
  </si>
  <si>
    <t>TTAAGAGAAGCAACATCTC</t>
  </si>
  <si>
    <t>BSD02014</t>
  </si>
  <si>
    <t>p.Y236C</t>
  </si>
  <si>
    <t>Y236</t>
  </si>
  <si>
    <t>p.N131I</t>
  </si>
  <si>
    <t>N131</t>
  </si>
  <si>
    <t>POM121L12</t>
  </si>
  <si>
    <t>p.A10T</t>
  </si>
  <si>
    <t>A10</t>
  </si>
  <si>
    <t>BSD02016</t>
  </si>
  <si>
    <t>PTEN</t>
  </si>
  <si>
    <t>p.R130*</t>
  </si>
  <si>
    <t>p.R273H</t>
  </si>
  <si>
    <t>BSD02018</t>
  </si>
  <si>
    <t>p.L93fs</t>
  </si>
  <si>
    <t>AG</t>
  </si>
  <si>
    <t>sampleName.WBC</t>
    <phoneticPr fontId="21" type="noConversion"/>
  </si>
  <si>
    <t>p.Y472C</t>
  </si>
  <si>
    <t>Y472</t>
  </si>
  <si>
    <t>P36</t>
  </si>
  <si>
    <t>p.F270C</t>
  </si>
  <si>
    <t>F270</t>
  </si>
  <si>
    <t>NFE2L2</t>
  </si>
  <si>
    <t>p.D29G</t>
  </si>
  <si>
    <t>D29</t>
  </si>
  <si>
    <t>p.R248W</t>
  </si>
  <si>
    <t>R248</t>
  </si>
  <si>
    <t>Sample_ID</t>
  </si>
  <si>
    <t>p.R832H</t>
  </si>
  <si>
    <t>R832</t>
  </si>
  <si>
    <t>p.E298*</t>
  </si>
  <si>
    <t>p.G244C</t>
  </si>
  <si>
    <t>G244</t>
  </si>
  <si>
    <t>p.I122N</t>
  </si>
  <si>
    <t>I122</t>
  </si>
  <si>
    <t>p.V197M</t>
  </si>
  <si>
    <t>V197</t>
  </si>
  <si>
    <t>p.E746_A750del</t>
  </si>
  <si>
    <t>AGGAATTAAGAGAAGC</t>
  </si>
  <si>
    <t>CD5L</t>
  </si>
  <si>
    <t>p.E109*</t>
  </si>
  <si>
    <t>KRTAP5-5</t>
  </si>
  <si>
    <t>p.G61S</t>
  </si>
  <si>
    <t>G61</t>
  </si>
  <si>
    <t>p.M246V</t>
  </si>
  <si>
    <t>M246</t>
  </si>
  <si>
    <t>p.G245C</t>
  </si>
  <si>
    <t>G245</t>
  </si>
  <si>
    <t>p.V157F</t>
  </si>
  <si>
    <t>V157</t>
  </si>
  <si>
    <t>p.G31E</t>
  </si>
  <si>
    <t>G31</t>
  </si>
  <si>
    <t>p.L30F</t>
  </si>
  <si>
    <t>L30</t>
  </si>
  <si>
    <t>CDKN2A</t>
  </si>
  <si>
    <t>p.H83R</t>
  </si>
  <si>
    <t>H83</t>
  </si>
  <si>
    <t>p.G334W</t>
  </si>
  <si>
    <t>G334</t>
  </si>
  <si>
    <t>p.L747_T751del</t>
  </si>
  <si>
    <t>AATTAAGAGAAGCAAC</t>
  </si>
  <si>
    <t>p.Q317*</t>
  </si>
  <si>
    <t>MYC</t>
  </si>
  <si>
    <t>p.P74A</t>
  </si>
  <si>
    <t>P74</t>
  </si>
  <si>
    <t>MET</t>
  </si>
  <si>
    <t>c.2887+2T&gt;G</t>
  </si>
  <si>
    <t>Exon13_splice_site</t>
  </si>
  <si>
    <t>conservative_inframe_deletion</t>
  </si>
  <si>
    <t>GGAATTAAGAGAAGCA</t>
  </si>
  <si>
    <t>c.3028+1G&gt;T</t>
  </si>
  <si>
    <t>Exon14_splice_site</t>
  </si>
  <si>
    <t>p.G245S</t>
  </si>
  <si>
    <t>p.C242*</t>
  </si>
  <si>
    <t>SMAD4</t>
  </si>
  <si>
    <t>p.Q256*</t>
  </si>
  <si>
    <t>p.V271M</t>
  </si>
  <si>
    <t>V271</t>
  </si>
  <si>
    <t>p.E88*</t>
  </si>
  <si>
    <t>p.E79Q</t>
  </si>
  <si>
    <t>E79</t>
  </si>
  <si>
    <t>p.S37Y</t>
  </si>
  <si>
    <t>sampleName</t>
    <phoneticPr fontId="7" type="noConversion"/>
  </si>
  <si>
    <t>median.fragment.depth</t>
    <phoneticPr fontId="7" type="noConversion"/>
  </si>
  <si>
    <t>unique.read.depth</t>
    <phoneticPr fontId="7" type="noConversion"/>
  </si>
  <si>
    <t>unique.fragment.depth</t>
    <phoneticPr fontId="7" type="noConversion"/>
  </si>
  <si>
    <t>BSD01062</t>
  </si>
  <si>
    <t>WBC</t>
  </si>
  <si>
    <t>BSD01065</t>
  </si>
  <si>
    <t>TIS</t>
  </si>
  <si>
    <t>BSD01077</t>
  </si>
  <si>
    <t>BSD01080</t>
  </si>
  <si>
    <t>BSD01083</t>
  </si>
  <si>
    <t>BSD01086</t>
  </si>
  <si>
    <t>BSD01089</t>
  </si>
  <si>
    <t>BSD01092</t>
  </si>
  <si>
    <t>BSD01095</t>
  </si>
  <si>
    <t>BSD01098</t>
  </si>
  <si>
    <t>FFP</t>
  </si>
  <si>
    <t>BSD02001</t>
  </si>
  <si>
    <t>BSD02004</t>
  </si>
  <si>
    <t>BSD02006</t>
  </si>
  <si>
    <t>BSD02009</t>
  </si>
  <si>
    <t>BSD02011</t>
  </si>
  <si>
    <t>BSD02012</t>
  </si>
  <si>
    <t>BSD02013</t>
  </si>
  <si>
    <t>BSD02015</t>
  </si>
  <si>
    <t>BSD02020</t>
  </si>
  <si>
    <t>BSD02022</t>
  </si>
  <si>
    <t>target.region.reads</t>
    <phoneticPr fontId="7" type="noConversion"/>
  </si>
  <si>
    <t>rmdup.target.region.reads</t>
    <phoneticPr fontId="7" type="noConversion"/>
  </si>
  <si>
    <t>Summary</t>
    <phoneticPr fontId="21" type="noConversion"/>
  </si>
  <si>
    <t>Patient_ID</t>
    <phoneticPr fontId="21" type="noConversion"/>
  </si>
  <si>
    <t>TIS.somatic</t>
    <phoneticPr fontId="21" type="noConversion"/>
  </si>
  <si>
    <t>PLA.somatic</t>
    <phoneticPr fontId="21" type="noConversion"/>
  </si>
  <si>
    <t>PLA.ELSA</t>
    <phoneticPr fontId="21" type="noConversion"/>
  </si>
  <si>
    <t>pathology</t>
    <phoneticPr fontId="21" type="noConversion"/>
  </si>
  <si>
    <t>stage</t>
    <phoneticPr fontId="21" type="noConversion"/>
  </si>
  <si>
    <t>gender</t>
    <phoneticPr fontId="21" type="noConversion"/>
  </si>
  <si>
    <t>TIS.mutatnt</t>
    <phoneticPr fontId="21" type="noConversion"/>
  </si>
  <si>
    <t>TIS.AF</t>
    <phoneticPr fontId="21" type="noConversion"/>
  </si>
  <si>
    <t>PLA.ddPCR</t>
    <phoneticPr fontId="21" type="noConversion"/>
  </si>
  <si>
    <t>PLA.UMI</t>
    <phoneticPr fontId="21" type="noConversion"/>
  </si>
  <si>
    <t>ddPCR input(ng)</t>
    <phoneticPr fontId="21" type="noConversion"/>
  </si>
  <si>
    <t>UMI input(ng)</t>
    <phoneticPr fontId="21" type="noConversion"/>
  </si>
  <si>
    <t>ELSA input(ng)</t>
    <phoneticPr fontId="21" type="noConversion"/>
  </si>
  <si>
    <t>P64</t>
    <phoneticPr fontId="21" type="noConversion"/>
  </si>
  <si>
    <t>IIa</t>
    <phoneticPr fontId="21" type="noConversion"/>
  </si>
  <si>
    <t>male</t>
    <phoneticPr fontId="21" type="noConversion"/>
  </si>
  <si>
    <t>KRAS p.G12D</t>
    <phoneticPr fontId="7" type="noConversion"/>
  </si>
  <si>
    <t>positive</t>
    <phoneticPr fontId="21" type="noConversion"/>
  </si>
  <si>
    <t>P65</t>
    <phoneticPr fontId="21" type="noConversion"/>
  </si>
  <si>
    <t>IIIa</t>
    <phoneticPr fontId="21" type="noConversion"/>
  </si>
  <si>
    <t>female</t>
    <phoneticPr fontId="21" type="noConversion"/>
  </si>
  <si>
    <t>EGFR p.S746_I750del</t>
    <phoneticPr fontId="7" type="noConversion"/>
  </si>
  <si>
    <t>P66</t>
    <phoneticPr fontId="21" type="noConversion"/>
  </si>
  <si>
    <t>EGFR p.L858R</t>
    <phoneticPr fontId="7" type="noConversion"/>
  </si>
  <si>
    <t>Primary Tissue</t>
    <phoneticPr fontId="21" type="noConversion"/>
  </si>
  <si>
    <r>
      <t>ctDNA</t>
    </r>
    <r>
      <rPr>
        <sz val="10"/>
        <color theme="1"/>
        <rFont val="Arial Unicode MS"/>
        <family val="2"/>
        <charset val="134"/>
      </rPr>
      <t>（</t>
    </r>
    <r>
      <rPr>
        <sz val="10"/>
        <color theme="1"/>
        <rFont val="Arial"/>
        <family val="2"/>
      </rPr>
      <t>HS-UMI</t>
    </r>
    <r>
      <rPr>
        <sz val="10"/>
        <color theme="1"/>
        <rFont val="Arial Unicode MS"/>
        <family val="2"/>
        <charset val="134"/>
      </rPr>
      <t>）</t>
    </r>
    <phoneticPr fontId="21" type="noConversion"/>
  </si>
  <si>
    <t>EGFR</t>
    <phoneticPr fontId="7" type="noConversion"/>
  </si>
  <si>
    <t>negative</t>
    <phoneticPr fontId="7" type="noConversion"/>
  </si>
  <si>
    <t>negative</t>
    <phoneticPr fontId="21" type="noConversion"/>
  </si>
  <si>
    <r>
      <t>ctDNA</t>
    </r>
    <r>
      <rPr>
        <sz val="10"/>
        <color theme="1"/>
        <rFont val="Arial Unicode MS"/>
        <family val="2"/>
        <charset val="134"/>
      </rPr>
      <t>（</t>
    </r>
    <r>
      <rPr>
        <sz val="10"/>
        <color theme="1"/>
        <rFont val="Arial"/>
        <family val="2"/>
      </rPr>
      <t>ddPCR</t>
    </r>
    <r>
      <rPr>
        <sz val="10"/>
        <color theme="1"/>
        <rFont val="Arial Unicode MS"/>
        <family val="2"/>
        <charset val="134"/>
      </rPr>
      <t>）</t>
    </r>
    <phoneticPr fontId="21" type="noConversion"/>
  </si>
  <si>
    <t xml:space="preserve">Input </t>
    <phoneticPr fontId="21" type="noConversion"/>
  </si>
  <si>
    <t>experimental ID</t>
    <phoneticPr fontId="21" type="noConversion"/>
  </si>
  <si>
    <t>Single</t>
  </si>
  <si>
    <t>Total</t>
  </si>
  <si>
    <t>mutant copy</t>
    <phoneticPr fontId="21" type="noConversion"/>
  </si>
  <si>
    <t>WT copy</t>
  </si>
  <si>
    <t>Droplet Num</t>
    <phoneticPr fontId="21" type="noConversion"/>
  </si>
  <si>
    <t>MU+WT copy</t>
  </si>
  <si>
    <t>MU</t>
  </si>
  <si>
    <t>WT</t>
  </si>
  <si>
    <t>Total</t>
    <phoneticPr fontId="21" type="noConversion"/>
  </si>
  <si>
    <t>H2O</t>
    <phoneticPr fontId="21" type="noConversion"/>
  </si>
  <si>
    <t xml:space="preserve">KRAS G12D-NTC </t>
    <phoneticPr fontId="21" type="noConversion"/>
  </si>
  <si>
    <t xml:space="preserve">KRAS G12D-NC </t>
    <phoneticPr fontId="21" type="noConversion"/>
  </si>
  <si>
    <t>KRAS G12D-Sample</t>
  </si>
  <si>
    <t xml:space="preserve">0.5% reference </t>
    <phoneticPr fontId="21" type="noConversion"/>
  </si>
  <si>
    <t>KRAS G12D-PC</t>
    <phoneticPr fontId="21" type="noConversion"/>
  </si>
  <si>
    <t>Sample</t>
    <phoneticPr fontId="21" type="noConversion"/>
  </si>
  <si>
    <t>Droplet number</t>
  </si>
  <si>
    <t>EGFR p.S746_I750del (COSMIC 6223)-NTC</t>
    <phoneticPr fontId="21" type="noConversion"/>
  </si>
  <si>
    <t>EGFR p.S746_I750del (COSMIC 6223)-NC</t>
    <phoneticPr fontId="21" type="noConversion"/>
  </si>
  <si>
    <t>EGFR p.S746_I750del (COSMIC 6223)-sample</t>
    <phoneticPr fontId="21" type="noConversion"/>
  </si>
  <si>
    <t>0.5% reference</t>
    <phoneticPr fontId="21" type="noConversion"/>
  </si>
  <si>
    <t>EGFR p.S746_I750del (COSMIC 6223)-PC</t>
    <phoneticPr fontId="21" type="noConversion"/>
  </si>
  <si>
    <t>EGFR p.L858R-NTC</t>
    <phoneticPr fontId="21" type="noConversion"/>
  </si>
  <si>
    <t>WBC</t>
    <phoneticPr fontId="21" type="noConversion"/>
  </si>
  <si>
    <t>EGFR p.L858R-NC</t>
    <phoneticPr fontId="21" type="noConversion"/>
  </si>
  <si>
    <t>EGFR p.L858R-sample</t>
    <phoneticPr fontId="21" type="noConversion"/>
  </si>
  <si>
    <t>0.1% reference</t>
    <phoneticPr fontId="21" type="noConversion"/>
  </si>
  <si>
    <t>EGFR p.L858R-PC</t>
    <phoneticPr fontId="21" type="noConversion"/>
  </si>
  <si>
    <t>Mutation</t>
    <phoneticPr fontId="1" type="noConversion"/>
  </si>
  <si>
    <t>Biorad ddPCR Mutation Assay  ID</t>
    <phoneticPr fontId="1" type="noConversion"/>
  </si>
  <si>
    <t>KRAS G12D</t>
    <phoneticPr fontId="1" type="noConversion"/>
  </si>
  <si>
    <t>dHsaCP2500596 dHsaCP2500597</t>
    <phoneticPr fontId="21" type="noConversion"/>
  </si>
  <si>
    <t>EGFR p.S746_I750del (COSMIC 6223)</t>
    <phoneticPr fontId="1" type="noConversion"/>
  </si>
  <si>
    <t>dHsaCP2000039 dHsaCP2000040</t>
    <phoneticPr fontId="21" type="noConversion"/>
  </si>
  <si>
    <t>EGFR L858R</t>
    <phoneticPr fontId="21" type="noConversion"/>
  </si>
  <si>
    <t>dHsaCP2000021 dHsaCP2000022</t>
    <phoneticPr fontId="21" type="noConversion"/>
  </si>
  <si>
    <t>Supplementary Table 1-1 Oligonucleotide sequences used in ELSA-seq</t>
    <phoneticPr fontId="1" type="noConversion"/>
  </si>
  <si>
    <t>Supplementary Table 1-2 Oligonucleotide sequences used in ELSA-UMI</t>
    <phoneticPr fontId="1" type="noConversion"/>
  </si>
  <si>
    <t>Supplementary Table 1-3 Oligonucleotide sequences for ligation efficiency measurement (ddPCR)</t>
    <phoneticPr fontId="1" type="noConversion"/>
  </si>
  <si>
    <t>Supplementary Table 2-1  Whole methylome sequencing metrics of ELSA, SWT, and NEB using 500pg E.coli DNA (depth titration)</t>
    <phoneticPr fontId="1" type="noConversion"/>
  </si>
  <si>
    <t>Supplementary Table 2-2 ELSA and ELSA-UMI  (data simulation)</t>
    <phoneticPr fontId="1" type="noConversion"/>
  </si>
  <si>
    <t>Supplementary Table 2-3 ELSA and ELSA-UMI  (experiment)</t>
    <phoneticPr fontId="1" type="noConversion"/>
  </si>
  <si>
    <t>Supplementary Table 2-4 EM-seq and ELSA-seq</t>
    <phoneticPr fontId="1" type="noConversion"/>
  </si>
  <si>
    <t xml:space="preserve">Supplementary Table 2-5 Quality control metrics for ELSA-seq using human cfDNA input from 2 to 30ng </t>
    <phoneticPr fontId="1" type="noConversion"/>
  </si>
  <si>
    <t xml:space="preserve">Supplementary Table 2-6 Quality control metrics for ELSA-seq using human WBC input from 2 to 30ng </t>
    <phoneticPr fontId="1" type="noConversion"/>
  </si>
  <si>
    <t>Supplementary Table 3-1 methylation pattern counts (chr 1) using NCI-H2122 human lung cancer line</t>
    <phoneticPr fontId="1" type="noConversion"/>
  </si>
  <si>
    <t>region</t>
  </si>
  <si>
    <t>M1</t>
  </si>
  <si>
    <t>MU1</t>
  </si>
  <si>
    <t>M2</t>
  </si>
  <si>
    <t>MU2</t>
  </si>
  <si>
    <t>M3</t>
  </si>
  <si>
    <t>MU3</t>
  </si>
  <si>
    <t>M4</t>
  </si>
  <si>
    <t>MU4</t>
  </si>
  <si>
    <t>M5</t>
  </si>
  <si>
    <t>MU5</t>
  </si>
  <si>
    <t>M6</t>
  </si>
  <si>
    <t>MU6</t>
  </si>
  <si>
    <t>M7</t>
  </si>
  <si>
    <t>MU7</t>
  </si>
  <si>
    <t>M8</t>
  </si>
  <si>
    <t>MU8</t>
  </si>
  <si>
    <t>M&gt;8</t>
  </si>
  <si>
    <t>MU&gt;8</t>
  </si>
  <si>
    <t>NC-1</t>
    <phoneticPr fontId="1" type="noConversion"/>
  </si>
  <si>
    <t>gi_215104_gb_J02459_1_LAMCG:598-803|4</t>
  </si>
  <si>
    <t>gi_215104_gb_J02459_1_LAMCG:1398-1603|8</t>
  </si>
  <si>
    <t>gi_215104_gb_J02459_1_LAMCG:2198-2403|12</t>
  </si>
  <si>
    <t>gi_215104_gb_J02459_1_LAMCG:2998-3203|16</t>
  </si>
  <si>
    <t>gi_215104_gb_J02459_1_LAMCG:3798-4003|20</t>
  </si>
  <si>
    <t>gi_215104_gb_J02459_1_LAMCG:4598-4803|24</t>
  </si>
  <si>
    <t>gi_215104_gb_J02459_1_LAMCG:5398-5603|28</t>
  </si>
  <si>
    <t>gi_215104_gb_J02459_1_LAMCG:6198-6403|32</t>
  </si>
  <si>
    <t>gi_215104_gb_J02459_1_LAMCG:6998-7203|36</t>
  </si>
  <si>
    <t>gi_215104_gb_J02459_1_LAMCG:7798-8003|40</t>
  </si>
  <si>
    <t>gi_215104_gb_J02459_1_LAMCG:8598-8803|44</t>
  </si>
  <si>
    <t>gi_215104_gb_J02459_1_LAMCG:9398-9603|48</t>
  </si>
  <si>
    <t>gi_215104_gb_J02459_1_LAMCG:10198-10403|52</t>
  </si>
  <si>
    <t>gi_215104_gb_J02459_1_LAMCG:10998-11203|56</t>
  </si>
  <si>
    <t>gi_215104_gb_J02459_1_LAMCG:11798-12003|60</t>
  </si>
  <si>
    <t>gi_215104_gb_J02459_1_LAMCG:12598-12803|64</t>
  </si>
  <si>
    <t>gi_215104_gb_J02459_1_LAMCG:13398-13603|68</t>
  </si>
  <si>
    <t>gi_215104_gb_J02459_1_LAMCG:14198-14403|72</t>
  </si>
  <si>
    <t>gi_215104_gb_J02459_1_LAMCG:14998-15203|76</t>
  </si>
  <si>
    <t>gi_215104_gb_J02459_1_LAMCG:15798-16003|80</t>
  </si>
  <si>
    <t>gi_215104_gb_J02459_1_LAMCG:16598-16803|84</t>
  </si>
  <si>
    <t>gi_215104_gb_J02459_1_LAMCG:17398-17603|88</t>
  </si>
  <si>
    <t>gi_215104_gb_J02459_1_LAMCG:18198-18403|92</t>
  </si>
  <si>
    <t>gi_215104_gb_J02459_1_LAMCG:18998-19203|96</t>
  </si>
  <si>
    <t>gi_215104_gb_J02459_1_LAMCG:19798-20003|100</t>
  </si>
  <si>
    <t>gi_215104_gb_J02459_1_LAMCG:20598-20803|104</t>
  </si>
  <si>
    <t>gi_215104_gb_J02459_1_LAMCG:21398-21603|108</t>
  </si>
  <si>
    <t>gi_215104_gb_J02459_1_LAMCG:22198-22403|112</t>
  </si>
  <si>
    <t>gi_215104_gb_J02459_1_LAMCG:22998-23203|116</t>
  </si>
  <si>
    <t>gi_215104_gb_J02459_1_LAMCG:23798-24003|120</t>
  </si>
  <si>
    <t>gi_215104_gb_J02459_1_LAMCG:24598-24803|124</t>
  </si>
  <si>
    <t>gi_215104_gb_J02459_1_LAMCG:25398-25603|128</t>
  </si>
  <si>
    <t>gi_215104_gb_J02459_1_LAMCG:26198-26403|132</t>
  </si>
  <si>
    <t>gi_215104_gb_J02459_1_LAMCG:26998-27203|136</t>
  </si>
  <si>
    <t>gi_215104_gb_J02459_1_LAMCG:27798-28003|140</t>
  </si>
  <si>
    <t>gi_215104_gb_J02459_1_LAMCG:28598-28803|144</t>
  </si>
  <si>
    <t>gi_215104_gb_J02459_1_LAMCG:29398-29603|148</t>
  </si>
  <si>
    <t>gi_215104_gb_J02459_1_LAMCG:30198-30403|152</t>
  </si>
  <si>
    <t>gi_215104_gb_J02459_1_LAMCG:30998-31203|156</t>
  </si>
  <si>
    <t>gi_215104_gb_J02459_1_LAMCG:31798-32003|160</t>
  </si>
  <si>
    <t>gi_215104_gb_J02459_1_LAMCG:32598-32803|164</t>
  </si>
  <si>
    <t>gi_215104_gb_J02459_1_LAMCG:33398-33603|168</t>
  </si>
  <si>
    <t>gi_215104_gb_J02459_1_LAMCG:34198-34403|172</t>
  </si>
  <si>
    <t>gi_215104_gb_J02459_1_LAMCG:34998-35203|176</t>
  </si>
  <si>
    <t>gi_215104_gb_J02459_1_LAMCG:35798-36003|180</t>
  </si>
  <si>
    <t>gi_215104_gb_J02459_1_LAMCG:36598-36803|184</t>
  </si>
  <si>
    <t>gi_215104_gb_J02459_1_LAMCG:37398-37603|188</t>
  </si>
  <si>
    <t>gi_215104_gb_J02459_1_LAMCG:38198-38403|192</t>
  </si>
  <si>
    <t>gi_215104_gb_J02459_1_LAMCG:38998-39203|196</t>
  </si>
  <si>
    <t>gi_215104_gb_J02459_1_LAMCG:39798-40003|200</t>
  </si>
  <si>
    <t>gi_215104_gb_J02459_1_LAMCG:40598-40803|204</t>
  </si>
  <si>
    <t>gi_215104_gb_J02459_1_LAMCG:41398-41603|208</t>
  </si>
  <si>
    <t>gi_215104_gb_J02459_1_LAMCG:42198-42403|212</t>
  </si>
  <si>
    <t>gi_215104_gb_J02459_1_LAMCG:42998-43203|216</t>
  </si>
  <si>
    <t>gi_215104_gb_J02459_1_LAMCG:43798-44003|220</t>
  </si>
  <si>
    <t>gi_215104_gb_J02459_1_LAMCG:44598-44803|224</t>
  </si>
  <si>
    <t>gi_215104_gb_J02459_1_LAMCG:45398-45603|228</t>
  </si>
  <si>
    <t>gi_215104_gb_J02459_1_LAMCG:46198-46403|232</t>
  </si>
  <si>
    <t>gi_215104_gb_J02459_1_LAMCG:46998-47203|236</t>
  </si>
  <si>
    <t>gi_215104_gb_J02459_1_LAMCG:47798-48003|240</t>
  </si>
  <si>
    <t>gi_215104_gb_J02459_1_LAMCG:0-203|1</t>
  </si>
  <si>
    <t>gi_215104_gb_J02459_1_LAMCG:798-1003|5</t>
  </si>
  <si>
    <t>gi_215104_gb_J02459_1_LAMCG:1598-1803|9</t>
  </si>
  <si>
    <t>gi_215104_gb_J02459_1_LAMCG:2398-2603|13</t>
  </si>
  <si>
    <t>gi_215104_gb_J02459_1_LAMCG:3198-3403|17</t>
  </si>
  <si>
    <t>gi_215104_gb_J02459_1_LAMCG:3998-4203|21</t>
  </si>
  <si>
    <t>gi_215104_gb_J02459_1_LAMCG:4798-5003|25</t>
  </si>
  <si>
    <t>gi_215104_gb_J02459_1_LAMCG:5598-5803|29</t>
  </si>
  <si>
    <t>gi_215104_gb_J02459_1_LAMCG:6398-6603|33</t>
  </si>
  <si>
    <t>gi_215104_gb_J02459_1_LAMCG:7198-7403|37</t>
  </si>
  <si>
    <t>gi_215104_gb_J02459_1_LAMCG:7998-8203|41</t>
  </si>
  <si>
    <t>gi_215104_gb_J02459_1_LAMCG:8798-9003|45</t>
  </si>
  <si>
    <t>gi_215104_gb_J02459_1_LAMCG:9598-9803|49</t>
  </si>
  <si>
    <t>gi_215104_gb_J02459_1_LAMCG:10398-10603|53</t>
  </si>
  <si>
    <t>gi_215104_gb_J02459_1_LAMCG:11198-11403|57</t>
  </si>
  <si>
    <t>gi_215104_gb_J02459_1_LAMCG:11998-12203|61</t>
  </si>
  <si>
    <t>gi_215104_gb_J02459_1_LAMCG:12798-13003|65</t>
  </si>
  <si>
    <t>gi_215104_gb_J02459_1_LAMCG:13598-13803|69</t>
  </si>
  <si>
    <t>gi_215104_gb_J02459_1_LAMCG:14398-14603|73</t>
  </si>
  <si>
    <t>gi_215104_gb_J02459_1_LAMCG:15198-15403|77</t>
  </si>
  <si>
    <t>gi_215104_gb_J02459_1_LAMCG:15998-16203|81</t>
  </si>
  <si>
    <t>gi_215104_gb_J02459_1_LAMCG:16798-17003|85</t>
  </si>
  <si>
    <t>gi_215104_gb_J02459_1_LAMCG:17598-17803|89</t>
  </si>
  <si>
    <t>gi_215104_gb_J02459_1_LAMCG:18398-18603|93</t>
  </si>
  <si>
    <t>gi_215104_gb_J02459_1_LAMCG:19198-19403|97</t>
  </si>
  <si>
    <t>gi_215104_gb_J02459_1_LAMCG:19998-20203|101</t>
  </si>
  <si>
    <t>gi_215104_gb_J02459_1_LAMCG:20798-21003|105</t>
  </si>
  <si>
    <t>gi_215104_gb_J02459_1_LAMCG:21598-21803|109</t>
  </si>
  <si>
    <t>gi_215104_gb_J02459_1_LAMCG:22398-22603|113</t>
  </si>
  <si>
    <t>gi_215104_gb_J02459_1_LAMCG:23198-23403|117</t>
  </si>
  <si>
    <t>gi_215104_gb_J02459_1_LAMCG:23998-24203|121</t>
  </si>
  <si>
    <t>gi_215104_gb_J02459_1_LAMCG:24798-25003|125</t>
  </si>
  <si>
    <t>gi_215104_gb_J02459_1_LAMCG:25598-25803|129</t>
  </si>
  <si>
    <t>gi_215104_gb_J02459_1_LAMCG:26398-26603|133</t>
  </si>
  <si>
    <t>gi_215104_gb_J02459_1_LAMCG:27198-27403|137</t>
  </si>
  <si>
    <t>gi_215104_gb_J02459_1_LAMCG:27998-28203|141</t>
  </si>
  <si>
    <t>gi_215104_gb_J02459_1_LAMCG:28798-29003|145</t>
  </si>
  <si>
    <t>gi_215104_gb_J02459_1_LAMCG:29598-29803|149</t>
  </si>
  <si>
    <t>gi_215104_gb_J02459_1_LAMCG:30398-30603|153</t>
  </si>
  <si>
    <t>gi_215104_gb_J02459_1_LAMCG:31198-31403|157</t>
  </si>
  <si>
    <t>gi_215104_gb_J02459_1_LAMCG:31998-32203|161</t>
  </si>
  <si>
    <t>gi_215104_gb_J02459_1_LAMCG:32798-33003|165</t>
  </si>
  <si>
    <t>gi_215104_gb_J02459_1_LAMCG:33598-33803|169</t>
  </si>
  <si>
    <t>gi_215104_gb_J02459_1_LAMCG:34398-34603|173</t>
  </si>
  <si>
    <t>gi_215104_gb_J02459_1_LAMCG:35198-35403|177</t>
  </si>
  <si>
    <t>gi_215104_gb_J02459_1_LAMCG:35998-36203|181</t>
  </si>
  <si>
    <t>gi_215104_gb_J02459_1_LAMCG:36798-37003|185</t>
  </si>
  <si>
    <t>gi_215104_gb_J02459_1_LAMCG:37598-37803|189</t>
  </si>
  <si>
    <t>gi_215104_gb_J02459_1_LAMCG:38398-38603|193</t>
  </si>
  <si>
    <t>gi_215104_gb_J02459_1_LAMCG:39198-39403|197</t>
  </si>
  <si>
    <t>gi_215104_gb_J02459_1_LAMCG:39998-40203|201</t>
  </si>
  <si>
    <t>gi_215104_gb_J02459_1_LAMCG:40798-41003|205</t>
  </si>
  <si>
    <t>gi_215104_gb_J02459_1_LAMCG:41598-41803|209</t>
  </si>
  <si>
    <t>gi_215104_gb_J02459_1_LAMCG:42398-42603|213</t>
  </si>
  <si>
    <t>gi_215104_gb_J02459_1_LAMCG:43198-43403|217</t>
  </si>
  <si>
    <t>gi_215104_gb_J02459_1_LAMCG:43998-44203|221</t>
  </si>
  <si>
    <t>gi_215104_gb_J02459_1_LAMCG:44798-45003|225</t>
  </si>
  <si>
    <t>gi_215104_gb_J02459_1_LAMCG:45598-45803|229</t>
  </si>
  <si>
    <t>gi_215104_gb_J02459_1_LAMCG:46398-46603|233</t>
  </si>
  <si>
    <t>gi_215104_gb_J02459_1_LAMCG:47198-47403|237</t>
  </si>
  <si>
    <t>gi_215104_gb_J02459_1_LAMCG:47998-48203|241</t>
  </si>
  <si>
    <t>gi_215104_gb_J02459_1_LAMCG:198-403|2</t>
  </si>
  <si>
    <t>gi_215104_gb_J02459_1_LAMCG:998-1203|6</t>
  </si>
  <si>
    <t>gi_215104_gb_J02459_1_LAMCG:1798-2003|10</t>
  </si>
  <si>
    <t>gi_215104_gb_J02459_1_LAMCG:2598-2803|14</t>
  </si>
  <si>
    <t>gi_215104_gb_J02459_1_LAMCG:3398-3603|18</t>
  </si>
  <si>
    <t>gi_215104_gb_J02459_1_LAMCG:4198-4403|22</t>
  </si>
  <si>
    <t>gi_215104_gb_J02459_1_LAMCG:4998-5203|26</t>
  </si>
  <si>
    <t>gi_215104_gb_J02459_1_LAMCG:5798-6003|30</t>
  </si>
  <si>
    <t>gi_215104_gb_J02459_1_LAMCG:6598-6803|34</t>
  </si>
  <si>
    <t>gi_215104_gb_J02459_1_LAMCG:7398-7603|38</t>
  </si>
  <si>
    <t>gi_215104_gb_J02459_1_LAMCG:8198-8403|42</t>
  </si>
  <si>
    <t>gi_215104_gb_J02459_1_LAMCG:8998-9203|46</t>
  </si>
  <si>
    <t>gi_215104_gb_J02459_1_LAMCG:9798-10003|50</t>
  </si>
  <si>
    <t>gi_215104_gb_J02459_1_LAMCG:10598-10803|54</t>
  </si>
  <si>
    <t>gi_215104_gb_J02459_1_LAMCG:11398-11603|58</t>
  </si>
  <si>
    <t>gi_215104_gb_J02459_1_LAMCG:12198-12403|62</t>
  </si>
  <si>
    <t>gi_215104_gb_J02459_1_LAMCG:12998-13203|66</t>
  </si>
  <si>
    <t>gi_215104_gb_J02459_1_LAMCG:13798-14003|70</t>
  </si>
  <si>
    <t>gi_215104_gb_J02459_1_LAMCG:14598-14803|74</t>
  </si>
  <si>
    <t>gi_215104_gb_J02459_1_LAMCG:15398-15603|78</t>
  </si>
  <si>
    <t>gi_215104_gb_J02459_1_LAMCG:16198-16403|82</t>
  </si>
  <si>
    <t>gi_215104_gb_J02459_1_LAMCG:16998-17203|86</t>
  </si>
  <si>
    <t>gi_215104_gb_J02459_1_LAMCG:17798-18003|90</t>
  </si>
  <si>
    <t>gi_215104_gb_J02459_1_LAMCG:18598-18803|94</t>
  </si>
  <si>
    <t>gi_215104_gb_J02459_1_LAMCG:19398-19603|98</t>
  </si>
  <si>
    <t>gi_215104_gb_J02459_1_LAMCG:20198-20403|102</t>
  </si>
  <si>
    <t>gi_215104_gb_J02459_1_LAMCG:20998-21203|106</t>
  </si>
  <si>
    <t>gi_215104_gb_J02459_1_LAMCG:21798-22003|110</t>
  </si>
  <si>
    <t>gi_215104_gb_J02459_1_LAMCG:22598-22803|114</t>
  </si>
  <si>
    <t>gi_215104_gb_J02459_1_LAMCG:23398-23603|118</t>
  </si>
  <si>
    <t>gi_215104_gb_J02459_1_LAMCG:24198-24403|122</t>
  </si>
  <si>
    <t>gi_215104_gb_J02459_1_LAMCG:24998-25203|126</t>
  </si>
  <si>
    <t>gi_215104_gb_J02459_1_LAMCG:25798-26003|130</t>
  </si>
  <si>
    <t>gi_215104_gb_J02459_1_LAMCG:26598-26803|134</t>
  </si>
  <si>
    <t>gi_215104_gb_J02459_1_LAMCG:27398-27603|138</t>
  </si>
  <si>
    <t>gi_215104_gb_J02459_1_LAMCG:28198-28403|142</t>
  </si>
  <si>
    <t>gi_215104_gb_J02459_1_LAMCG:28998-29203|146</t>
  </si>
  <si>
    <t>gi_215104_gb_J02459_1_LAMCG:29798-30003|150</t>
  </si>
  <si>
    <t>gi_215104_gb_J02459_1_LAMCG:30598-30803|154</t>
  </si>
  <si>
    <t>gi_215104_gb_J02459_1_LAMCG:31398-31603|158</t>
  </si>
  <si>
    <t>gi_215104_gb_J02459_1_LAMCG:32198-32403|162</t>
  </si>
  <si>
    <t>gi_215104_gb_J02459_1_LAMCG:32998-33203|166</t>
  </si>
  <si>
    <t>gi_215104_gb_J02459_1_LAMCG:33798-34003|170</t>
  </si>
  <si>
    <t>gi_215104_gb_J02459_1_LAMCG:34598-34803|174</t>
  </si>
  <si>
    <t>gi_215104_gb_J02459_1_LAMCG:35398-35603|178</t>
  </si>
  <si>
    <t>gi_215104_gb_J02459_1_LAMCG:36198-36403|182</t>
  </si>
  <si>
    <t>gi_215104_gb_J02459_1_LAMCG:36998-37203|186</t>
  </si>
  <si>
    <t>gi_215104_gb_J02459_1_LAMCG:37798-38003|190</t>
  </si>
  <si>
    <t>gi_215104_gb_J02459_1_LAMCG:38598-38803|194</t>
  </si>
  <si>
    <t>gi_215104_gb_J02459_1_LAMCG:39398-39603|198</t>
  </si>
  <si>
    <t>gi_215104_gb_J02459_1_LAMCG:40198-40403|202</t>
  </si>
  <si>
    <t>gi_215104_gb_J02459_1_LAMCG:40998-41203|206</t>
  </si>
  <si>
    <t>gi_215104_gb_J02459_1_LAMCG:41798-42003|210</t>
  </si>
  <si>
    <t>gi_215104_gb_J02459_1_LAMCG:42598-42803|214</t>
  </si>
  <si>
    <t>gi_215104_gb_J02459_1_LAMCG:43398-43603|218</t>
  </si>
  <si>
    <t>gi_215104_gb_J02459_1_LAMCG:44198-44403|222</t>
  </si>
  <si>
    <t>gi_215104_gb_J02459_1_LAMCG:44998-45203|226</t>
  </si>
  <si>
    <t>gi_215104_gb_J02459_1_LAMCG:45798-46003|230</t>
  </si>
  <si>
    <t>gi_215104_gb_J02459_1_LAMCG:46598-46803|234</t>
  </si>
  <si>
    <t>gi_215104_gb_J02459_1_LAMCG:47398-47603|238</t>
  </si>
  <si>
    <t>gi_215104_gb_J02459_1_LAMCG:48198-48403|242</t>
  </si>
  <si>
    <t>gi_215104_gb_J02459_1_LAMCG:398-603|3</t>
  </si>
  <si>
    <t>gi_215104_gb_J02459_1_LAMCG:1198-1403|7</t>
  </si>
  <si>
    <t>gi_215104_gb_J02459_1_LAMCG:1998-2203|11</t>
  </si>
  <si>
    <t>gi_215104_gb_J02459_1_LAMCG:2798-3003|15</t>
  </si>
  <si>
    <t>gi_215104_gb_J02459_1_LAMCG:3598-3803|19</t>
  </si>
  <si>
    <t>gi_215104_gb_J02459_1_LAMCG:4398-4603|23</t>
  </si>
  <si>
    <t>gi_215104_gb_J02459_1_LAMCG:5198-5403|27</t>
  </si>
  <si>
    <t>gi_215104_gb_J02459_1_LAMCG:5998-6203|31</t>
  </si>
  <si>
    <t>gi_215104_gb_J02459_1_LAMCG:6798-7003|35</t>
  </si>
  <si>
    <t>gi_215104_gb_J02459_1_LAMCG:7598-7803|39</t>
  </si>
  <si>
    <t>gi_215104_gb_J02459_1_LAMCG:8398-8603|43</t>
  </si>
  <si>
    <t>gi_215104_gb_J02459_1_LAMCG:9198-9403|47</t>
  </si>
  <si>
    <t>gi_215104_gb_J02459_1_LAMCG:9998-10203|51</t>
  </si>
  <si>
    <t>gi_215104_gb_J02459_1_LAMCG:10798-11003|55</t>
  </si>
  <si>
    <t>gi_215104_gb_J02459_1_LAMCG:11598-11803|59</t>
  </si>
  <si>
    <t>gi_215104_gb_J02459_1_LAMCG:12398-12603|63</t>
  </si>
  <si>
    <t>gi_215104_gb_J02459_1_LAMCG:13198-13403|67</t>
  </si>
  <si>
    <t>gi_215104_gb_J02459_1_LAMCG:13998-14203|71</t>
  </si>
  <si>
    <t>gi_215104_gb_J02459_1_LAMCG:14798-15003|75</t>
  </si>
  <si>
    <t>gi_215104_gb_J02459_1_LAMCG:15598-15803|79</t>
  </si>
  <si>
    <t>gi_215104_gb_J02459_1_LAMCG:16398-16603|83</t>
  </si>
  <si>
    <t>gi_215104_gb_J02459_1_LAMCG:17198-17403|87</t>
  </si>
  <si>
    <t>gi_215104_gb_J02459_1_LAMCG:17998-18203|91</t>
  </si>
  <si>
    <t>gi_215104_gb_J02459_1_LAMCG:18798-19003|95</t>
  </si>
  <si>
    <t>gi_215104_gb_J02459_1_LAMCG:19598-19803|99</t>
  </si>
  <si>
    <t>gi_215104_gb_J02459_1_LAMCG:20398-20603|103</t>
  </si>
  <si>
    <t>gi_215104_gb_J02459_1_LAMCG:21198-21403|107</t>
  </si>
  <si>
    <t>gi_215104_gb_J02459_1_LAMCG:21998-22203|111</t>
  </si>
  <si>
    <t>gi_215104_gb_J02459_1_LAMCG:22798-23003|115</t>
  </si>
  <si>
    <t>gi_215104_gb_J02459_1_LAMCG:23598-23803|119</t>
  </si>
  <si>
    <t>gi_215104_gb_J02459_1_LAMCG:24398-24603|123</t>
  </si>
  <si>
    <t>gi_215104_gb_J02459_1_LAMCG:25198-25403|127</t>
  </si>
  <si>
    <t>gi_215104_gb_J02459_1_LAMCG:25998-26203|131</t>
  </si>
  <si>
    <t>gi_215104_gb_J02459_1_LAMCG:26798-27003|135</t>
  </si>
  <si>
    <t>gi_215104_gb_J02459_1_LAMCG:27598-27803|139</t>
  </si>
  <si>
    <t>gi_215104_gb_J02459_1_LAMCG:28398-28603|143</t>
  </si>
  <si>
    <t>gi_215104_gb_J02459_1_LAMCG:29198-29403|147</t>
  </si>
  <si>
    <t>gi_215104_gb_J02459_1_LAMCG:29998-30203|151</t>
  </si>
  <si>
    <t>gi_215104_gb_J02459_1_LAMCG:30798-31003|155</t>
  </si>
  <si>
    <t>gi_215104_gb_J02459_1_LAMCG:31598-31803|159</t>
  </si>
  <si>
    <t>gi_215104_gb_J02459_1_LAMCG:32398-32603|163</t>
  </si>
  <si>
    <t>gi_215104_gb_J02459_1_LAMCG:33198-33403|167</t>
  </si>
  <si>
    <t>gi_215104_gb_J02459_1_LAMCG:33998-34203|171</t>
  </si>
  <si>
    <t>gi_215104_gb_J02459_1_LAMCG:34798-35003|175</t>
  </si>
  <si>
    <t>gi_215104_gb_J02459_1_LAMCG:35598-35803|179</t>
  </si>
  <si>
    <t>gi_215104_gb_J02459_1_LAMCG:36398-36603|183</t>
  </si>
  <si>
    <t>gi_215104_gb_J02459_1_LAMCG:37198-37403|187</t>
  </si>
  <si>
    <t>gi_215104_gb_J02459_1_LAMCG:37998-38203|191</t>
  </si>
  <si>
    <t>gi_215104_gb_J02459_1_LAMCG:38798-39003|195</t>
  </si>
  <si>
    <t>gi_215104_gb_J02459_1_LAMCG:39598-39803|199</t>
  </si>
  <si>
    <t>gi_215104_gb_J02459_1_LAMCG:40398-40603|203</t>
  </si>
  <si>
    <t>gi_215104_gb_J02459_1_LAMCG:41198-41403|207</t>
  </si>
  <si>
    <t>gi_215104_gb_J02459_1_LAMCG:41998-42203|211</t>
  </si>
  <si>
    <t>gi_215104_gb_J02459_1_LAMCG:42798-43003|215</t>
  </si>
  <si>
    <t>gi_215104_gb_J02459_1_LAMCG:43598-43803|219</t>
  </si>
  <si>
    <t>gi_215104_gb_J02459_1_LAMCG:44398-44603|223</t>
  </si>
  <si>
    <t>gi_215104_gb_J02459_1_LAMCG:45198-45403|227</t>
  </si>
  <si>
    <t>gi_215104_gb_J02459_1_LAMCG:45998-46203|231</t>
  </si>
  <si>
    <t>gi_215104_gb_J02459_1_LAMCG:46798-47003|235</t>
  </si>
  <si>
    <t>gi_215104_gb_J02459_1_LAMCG:47598-47803|239</t>
  </si>
  <si>
    <t>gi_215104_gb_J02459_1_LAMCG:48398-48501|243</t>
  </si>
  <si>
    <t>NC-2</t>
    <phoneticPr fontId="1" type="noConversion"/>
  </si>
  <si>
    <t>reads</t>
    <phoneticPr fontId="1" type="noConversion"/>
  </si>
  <si>
    <t>Supplementary Table 3-2 methylation pattern counts using unmethylated lambda DNA</t>
    <phoneticPr fontId="1" type="noConversion"/>
  </si>
  <si>
    <t>PC-1</t>
  </si>
  <si>
    <t>PC-1</t>
    <phoneticPr fontId="1" type="noConversion"/>
  </si>
  <si>
    <t>Supplementary Table 4-1 Hotspot mutations detected by ddPCR using titrated  SW48 and H2228 cancer cells (biological repeats)</t>
    <phoneticPr fontId="1" type="noConversion"/>
  </si>
  <si>
    <t>Supplementary Table 4-2 Hotspot mutations detected by HS-UMI using titrated  SW48 and H2228 cancer cells (biological repeats)</t>
    <phoneticPr fontId="1" type="noConversion"/>
  </si>
  <si>
    <t>Supplementary Table 4-3 Non-hotspot mutations detected by HS-UMI using titrated  SW48 and H2228 cancer cells (biological repeats)</t>
    <phoneticPr fontId="1" type="noConversion"/>
  </si>
  <si>
    <t>Supplementary Table 4-4 QC metrics of HS-UMI  using cancer cell line (NCI-H2228, SW48) spike-in experiments</t>
    <phoneticPr fontId="1" type="noConversion"/>
  </si>
  <si>
    <t>Supplementary Table 6-2 Multivariable analysis of ctDNA detection by ELSA-seq</t>
    <phoneticPr fontId="21" type="noConversion"/>
  </si>
  <si>
    <t>Supplementary Table 6-1 clinical information of the cancer patients and non-cancer controls (plasma)</t>
    <phoneticPr fontId="21" type="noConversion"/>
  </si>
  <si>
    <t xml:space="preserve">Supplementary Table 7-1 ELSA-seq test results of the cancer patients </t>
    <phoneticPr fontId="21" type="noConversion"/>
  </si>
  <si>
    <t xml:space="preserve">Supplementary Table 7-2 ELSA-seq test results of the non-cancer controls </t>
    <phoneticPr fontId="21" type="noConversion"/>
  </si>
  <si>
    <t xml:space="preserve">Supplementary Table 8-1 Summary of ctDNA detection in 'group1-double comparison' </t>
    <phoneticPr fontId="1" type="noConversion"/>
  </si>
  <si>
    <t xml:space="preserve">Supplementary Table 8-2 Summary of somatic mutations detected by HS-UMI in 'group1-double comparison' </t>
    <phoneticPr fontId="1" type="noConversion"/>
  </si>
  <si>
    <t xml:space="preserve">Supplementary Table 8-3 sequencing QC metrics for somatic mutation profiling by HS-UMI in 'group1-double comparison' </t>
    <phoneticPr fontId="21" type="noConversion"/>
  </si>
  <si>
    <t>Supplementary Table 9-1 Summary of  HS-UMI and ELSA-seq results  in 'group2-triple comparison'</t>
    <phoneticPr fontId="1" type="noConversion"/>
  </si>
  <si>
    <r>
      <t xml:space="preserve">Supplementary Table 9-2 Summary of ctDNA mutations </t>
    </r>
    <r>
      <rPr>
        <b/>
        <sz val="10"/>
        <color theme="1"/>
        <rFont val="DengXian"/>
      </rPr>
      <t>（</t>
    </r>
    <r>
      <rPr>
        <b/>
        <sz val="10"/>
        <color theme="1"/>
        <rFont val="Arial"/>
        <family val="2"/>
      </rPr>
      <t xml:space="preserve">1X or 2X filter)  in 'group2-triple comparison' </t>
    </r>
    <phoneticPr fontId="21" type="noConversion"/>
  </si>
  <si>
    <t xml:space="preserve">Supplementary Table 9-3 Summary of potential CH mutations used by "2X" filter (paired WBC) in 'group2-triple comparison' </t>
    <phoneticPr fontId="21" type="noConversion"/>
  </si>
  <si>
    <t xml:space="preserve">Supplementary Table 9-4 Summary of mutations detected in primary lung cancer tissues ("3X"filter) in 'group2-triple comparison' </t>
    <phoneticPr fontId="21" type="noConversion"/>
  </si>
  <si>
    <t xml:space="preserve">Supplementary Table 9-5 sequencing QC metrics for somatic mutation profiling by HS in 'group2-triple comparison' </t>
    <phoneticPr fontId="21" type="noConversion"/>
  </si>
  <si>
    <t xml:space="preserve">Supplementary Table 10-3 ddPCR assays used in 'group2-quadruple comparison' </t>
    <phoneticPr fontId="7" type="noConversion"/>
  </si>
  <si>
    <t>Supplementary Table 10-1 Summary of  ctDNA detection by HS-UMI and ddPCR in 'group2-quadruple comparison'</t>
    <phoneticPr fontId="1" type="noConversion"/>
  </si>
  <si>
    <t xml:space="preserve">Supplementary Table 10-2 Summary of ctDNA mutations detected by ddPCR in 'group2-quadruple comparison' 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</si>
</sst>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0.0"/>
    <numFmt numFmtId="177" formatCode="0.0000"/>
    <numFmt numFmtId="178" formatCode="0.000"/>
    <numFmt numFmtId="179" formatCode="0.0_);[Red]\(0.0\)"/>
    <numFmt numFmtId="180" formatCode="0.0000_);[Red]\(0.0000\)"/>
    <numFmt numFmtId="181" formatCode="0.0%"/>
    <numFmt numFmtId="182" formatCode="0_);[Red]\(0\)"/>
  </numFmts>
  <fonts count="25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Arial"/>
      <family val="2"/>
    </font>
    <font>
      <sz val="11"/>
      <color theme="1"/>
      <name val="Arial Unicode MS"/>
      <family val="2"/>
      <charset val="134"/>
    </font>
    <font>
      <sz val="11"/>
      <color theme="1"/>
      <name val="Arial"/>
      <family val="2"/>
    </font>
    <font>
      <sz val="11"/>
      <color theme="1"/>
      <name val="等线"/>
      <family val="2"/>
      <scheme val="minor"/>
    </font>
    <font>
      <sz val="9"/>
      <color theme="1"/>
      <name val="Arial"/>
      <family val="2"/>
    </font>
    <font>
      <sz val="9"/>
      <name val="等线"/>
      <family val="2"/>
      <charset val="134"/>
      <scheme val="minor"/>
    </font>
    <font>
      <sz val="11"/>
      <color theme="1"/>
      <name val="微软雅黑"/>
      <family val="2"/>
      <charset val="134"/>
    </font>
    <font>
      <b/>
      <sz val="10"/>
      <color theme="1"/>
      <name val="Arial"/>
      <family val="2"/>
    </font>
    <font>
      <sz val="10"/>
      <color theme="9" tint="0.39997558519241921"/>
      <name val="Times New Roman"/>
      <family val="2"/>
    </font>
    <font>
      <sz val="10"/>
      <color theme="8" tint="0.39997558519241921"/>
      <name val="Times New Roman"/>
      <family val="2"/>
    </font>
    <font>
      <sz val="10"/>
      <color theme="7" tint="0.39997558519241921"/>
      <name val="Times New Roman"/>
      <family val="2"/>
    </font>
    <font>
      <sz val="10"/>
      <color theme="1"/>
      <name val="等线"/>
      <family val="2"/>
      <scheme val="minor"/>
    </font>
    <font>
      <sz val="10"/>
      <name val="Arial"/>
      <family val="2"/>
    </font>
    <font>
      <sz val="9"/>
      <color theme="1"/>
      <name val="等线"/>
      <family val="2"/>
      <scheme val="minor"/>
    </font>
    <font>
      <sz val="9"/>
      <color theme="1"/>
      <name val="Arial Unicode MS"/>
      <family val="2"/>
      <charset val="134"/>
    </font>
    <font>
      <sz val="10"/>
      <color theme="1"/>
      <name val="Arial Unicode MS"/>
      <family val="2"/>
      <charset val="134"/>
    </font>
    <font>
      <sz val="10"/>
      <color rgb="FFFF0000"/>
      <name val="Arial"/>
      <family val="2"/>
    </font>
    <font>
      <sz val="10"/>
      <color rgb="FFFF0000"/>
      <name val="等线"/>
      <family val="2"/>
      <scheme val="minor"/>
    </font>
    <font>
      <sz val="10"/>
      <name val="等线"/>
      <family val="2"/>
      <scheme val="minor"/>
    </font>
    <font>
      <sz val="9"/>
      <name val="微软雅黑"/>
      <family val="2"/>
      <charset val="134"/>
    </font>
    <font>
      <sz val="10"/>
      <color theme="1"/>
      <name val="等线"/>
      <family val="3"/>
      <charset val="134"/>
      <scheme val="minor"/>
    </font>
    <font>
      <b/>
      <sz val="10"/>
      <color theme="1"/>
      <name val="DengXian"/>
    </font>
    <font>
      <sz val="10"/>
      <color rgb="FFFF0000"/>
      <name val="Arial Unicode MS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9" fontId="5" fillId="0" borderId="0" applyFont="0" applyFill="0" applyBorder="0" applyAlignment="0" applyProtection="0">
      <alignment vertical="center"/>
    </xf>
    <xf numFmtId="0" fontId="8" fillId="0" borderId="0">
      <alignment vertical="center"/>
    </xf>
  </cellStyleXfs>
  <cellXfs count="220">
    <xf numFmtId="0" fontId="0" fillId="0" borderId="0" xfId="0"/>
    <xf numFmtId="0" fontId="3" fillId="0" borderId="0" xfId="0" applyFont="1" applyAlignment="1">
      <alignment horizontal="center"/>
    </xf>
    <xf numFmtId="0" fontId="3" fillId="0" borderId="0" xfId="0" applyFont="1"/>
    <xf numFmtId="0" fontId="2" fillId="0" borderId="0" xfId="0" applyFont="1" applyBorder="1"/>
    <xf numFmtId="0" fontId="2" fillId="0" borderId="2" xfId="0" applyFont="1" applyBorder="1"/>
    <xf numFmtId="0" fontId="4" fillId="0" borderId="0" xfId="0" applyFont="1"/>
    <xf numFmtId="0" fontId="2" fillId="0" borderId="4" xfId="0" applyFont="1" applyBorder="1"/>
    <xf numFmtId="0" fontId="2" fillId="0" borderId="5" xfId="0" applyFont="1" applyBorder="1"/>
    <xf numFmtId="0" fontId="2" fillId="2" borderId="6" xfId="0" applyFont="1" applyFill="1" applyBorder="1" applyAlignment="1">
      <alignment horizontal="center" vertical="center"/>
    </xf>
    <xf numFmtId="0" fontId="2" fillId="0" borderId="6" xfId="0" applyFont="1" applyBorder="1"/>
    <xf numFmtId="0" fontId="2" fillId="2" borderId="7" xfId="0" applyFont="1" applyFill="1" applyBorder="1" applyAlignment="1">
      <alignment horizontal="center" vertical="center"/>
    </xf>
    <xf numFmtId="0" fontId="2" fillId="0" borderId="10" xfId="0" applyFont="1" applyBorder="1"/>
    <xf numFmtId="0" fontId="2" fillId="0" borderId="8" xfId="0" applyFont="1" applyBorder="1"/>
    <xf numFmtId="0" fontId="2" fillId="0" borderId="9" xfId="0" applyFont="1" applyBorder="1"/>
    <xf numFmtId="0" fontId="2" fillId="2" borderId="10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6" fillId="0" borderId="0" xfId="0" applyFont="1"/>
    <xf numFmtId="0" fontId="0" fillId="0" borderId="0" xfId="0" applyAlignment="1">
      <alignment vertical="center"/>
    </xf>
    <xf numFmtId="0" fontId="9" fillId="0" borderId="0" xfId="0" applyFont="1" applyAlignment="1">
      <alignment horizontal="left"/>
    </xf>
    <xf numFmtId="0" fontId="2" fillId="0" borderId="0" xfId="0" applyFont="1"/>
    <xf numFmtId="0" fontId="2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0" borderId="13" xfId="0" applyFont="1" applyBorder="1" applyAlignment="1">
      <alignment horizontal="center"/>
    </xf>
    <xf numFmtId="3" fontId="2" fillId="0" borderId="13" xfId="0" applyNumberFormat="1" applyFont="1" applyBorder="1" applyAlignment="1">
      <alignment horizontal="center"/>
    </xf>
    <xf numFmtId="3" fontId="2" fillId="0" borderId="11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3" fontId="2" fillId="0" borderId="14" xfId="0" applyNumberFormat="1" applyFont="1" applyBorder="1" applyAlignment="1">
      <alignment horizontal="center"/>
    </xf>
    <xf numFmtId="3" fontId="2" fillId="0" borderId="0" xfId="0" applyNumberFormat="1" applyFont="1" applyAlignment="1">
      <alignment horizontal="center"/>
    </xf>
    <xf numFmtId="3" fontId="2" fillId="0" borderId="4" xfId="0" applyNumberFormat="1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3" fontId="2" fillId="0" borderId="15" xfId="0" applyNumberFormat="1" applyFont="1" applyBorder="1" applyAlignment="1">
      <alignment horizontal="center"/>
    </xf>
    <xf numFmtId="3" fontId="2" fillId="0" borderId="2" xfId="0" applyNumberFormat="1" applyFont="1" applyBorder="1" applyAlignment="1">
      <alignment horizontal="center"/>
    </xf>
    <xf numFmtId="3" fontId="2" fillId="0" borderId="5" xfId="0" applyNumberFormat="1" applyFont="1" applyBorder="1" applyAlignment="1">
      <alignment horizontal="center"/>
    </xf>
    <xf numFmtId="3" fontId="10" fillId="0" borderId="0" xfId="0" applyNumberFormat="1" applyFont="1"/>
    <xf numFmtId="3" fontId="11" fillId="0" borderId="0" xfId="0" applyNumberFormat="1" applyFont="1"/>
    <xf numFmtId="3" fontId="12" fillId="0" borderId="0" xfId="0" applyNumberFormat="1" applyFont="1"/>
    <xf numFmtId="0" fontId="2" fillId="0" borderId="0" xfId="0" applyFont="1" applyAlignment="1">
      <alignment horizontal="center" vertical="center" wrapText="1"/>
    </xf>
    <xf numFmtId="0" fontId="2" fillId="0" borderId="7" xfId="0" applyFont="1" applyBorder="1" applyAlignment="1">
      <alignment horizontal="center" vertical="top"/>
    </xf>
    <xf numFmtId="0" fontId="2" fillId="0" borderId="0" xfId="0" applyFont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top"/>
    </xf>
    <xf numFmtId="0" fontId="2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13" xfId="0" applyFont="1" applyBorder="1" applyAlignment="1">
      <alignment horizontal="left"/>
    </xf>
    <xf numFmtId="0" fontId="2" fillId="0" borderId="11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13" fillId="0" borderId="0" xfId="0" applyFont="1" applyAlignment="1">
      <alignment vertical="center"/>
    </xf>
    <xf numFmtId="0" fontId="2" fillId="0" borderId="14" xfId="0" applyFont="1" applyBorder="1" applyAlignment="1">
      <alignment horizontal="left"/>
    </xf>
    <xf numFmtId="1" fontId="2" fillId="0" borderId="0" xfId="0" applyNumberFormat="1" applyFont="1" applyAlignment="1">
      <alignment horizontal="center"/>
    </xf>
    <xf numFmtId="0" fontId="2" fillId="0" borderId="15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3" fontId="14" fillId="0" borderId="13" xfId="0" applyNumberFormat="1" applyFont="1" applyBorder="1" applyAlignment="1">
      <alignment horizontal="left" vertical="center"/>
    </xf>
    <xf numFmtId="3" fontId="2" fillId="0" borderId="11" xfId="0" applyNumberFormat="1" applyFont="1" applyBorder="1" applyAlignment="1">
      <alignment horizontal="left" vertical="center"/>
    </xf>
    <xf numFmtId="3" fontId="2" fillId="0" borderId="11" xfId="0" applyNumberFormat="1" applyFont="1" applyBorder="1" applyAlignment="1">
      <alignment horizontal="center" vertical="center"/>
    </xf>
    <xf numFmtId="2" fontId="2" fillId="0" borderId="11" xfId="0" applyNumberFormat="1" applyFont="1" applyBorder="1" applyAlignment="1">
      <alignment horizontal="center" vertical="center"/>
    </xf>
    <xf numFmtId="176" fontId="2" fillId="0" borderId="11" xfId="0" applyNumberFormat="1" applyFont="1" applyBorder="1" applyAlignment="1">
      <alignment horizontal="center" vertical="center"/>
    </xf>
    <xf numFmtId="11" fontId="2" fillId="0" borderId="11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3" fontId="14" fillId="0" borderId="14" xfId="0" applyNumberFormat="1" applyFont="1" applyBorder="1" applyAlignment="1">
      <alignment horizontal="left" vertical="center"/>
    </xf>
    <xf numFmtId="3" fontId="2" fillId="0" borderId="0" xfId="0" applyNumberFormat="1" applyFont="1" applyAlignment="1">
      <alignment horizontal="left" vertical="center"/>
    </xf>
    <xf numFmtId="3" fontId="2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1" fontId="2" fillId="0" borderId="0" xfId="0" applyNumberFormat="1" applyFont="1" applyAlignment="1">
      <alignment horizontal="center" vertical="center"/>
    </xf>
    <xf numFmtId="3" fontId="2" fillId="0" borderId="2" xfId="0" applyNumberFormat="1" applyFont="1" applyBorder="1" applyAlignment="1">
      <alignment horizontal="left" vertical="center"/>
    </xf>
    <xf numFmtId="3" fontId="2" fillId="0" borderId="2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176" fontId="2" fillId="0" borderId="2" xfId="0" applyNumberFormat="1" applyFont="1" applyBorder="1" applyAlignment="1">
      <alignment horizontal="center" vertical="center"/>
    </xf>
    <xf numFmtId="11" fontId="2" fillId="0" borderId="2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4" fillId="0" borderId="0" xfId="0" applyFont="1"/>
    <xf numFmtId="177" fontId="2" fillId="0" borderId="0" xfId="0" applyNumberFormat="1" applyFont="1" applyAlignment="1">
      <alignment horizontal="center"/>
    </xf>
    <xf numFmtId="178" fontId="2" fillId="0" borderId="0" xfId="0" applyNumberFormat="1" applyFont="1" applyAlignment="1">
      <alignment horizontal="center"/>
    </xf>
    <xf numFmtId="178" fontId="2" fillId="0" borderId="4" xfId="0" applyNumberFormat="1" applyFont="1" applyBorder="1" applyAlignment="1">
      <alignment horizontal="center"/>
    </xf>
    <xf numFmtId="177" fontId="2" fillId="0" borderId="2" xfId="0" applyNumberFormat="1" applyFont="1" applyBorder="1" applyAlignment="1">
      <alignment horizontal="center"/>
    </xf>
    <xf numFmtId="178" fontId="2" fillId="0" borderId="2" xfId="0" applyNumberFormat="1" applyFont="1" applyBorder="1" applyAlignment="1">
      <alignment horizontal="center"/>
    </xf>
    <xf numFmtId="178" fontId="2" fillId="0" borderId="5" xfId="0" applyNumberFormat="1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2" borderId="12" xfId="0" applyFont="1" applyFill="1" applyBorder="1" applyAlignment="1">
      <alignment horizontal="center" vertical="center"/>
    </xf>
    <xf numFmtId="0" fontId="2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0" fontId="2" fillId="0" borderId="0" xfId="2" applyFont="1" applyAlignment="1">
      <alignment horizontal="left" vertical="center"/>
    </xf>
    <xf numFmtId="0" fontId="2" fillId="0" borderId="0" xfId="2" applyFont="1" applyAlignment="1">
      <alignment horizontal="center" vertical="center"/>
    </xf>
    <xf numFmtId="0" fontId="13" fillId="0" borderId="0" xfId="0" applyFont="1"/>
    <xf numFmtId="0" fontId="16" fillId="0" borderId="0" xfId="0" applyFont="1" applyAlignment="1">
      <alignment horizontal="center"/>
    </xf>
    <xf numFmtId="0" fontId="15" fillId="0" borderId="0" xfId="0" applyFont="1"/>
    <xf numFmtId="0" fontId="1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9" fillId="0" borderId="0" xfId="0" applyFont="1"/>
    <xf numFmtId="0" fontId="2" fillId="2" borderId="3" xfId="0" applyFont="1" applyFill="1" applyBorder="1" applyAlignment="1">
      <alignment horizontal="left"/>
    </xf>
    <xf numFmtId="178" fontId="2" fillId="0" borderId="0" xfId="0" applyNumberFormat="1" applyFont="1" applyAlignment="1">
      <alignment horizontal="left"/>
    </xf>
    <xf numFmtId="0" fontId="2" fillId="0" borderId="4" xfId="0" applyFont="1" applyBorder="1" applyAlignment="1">
      <alignment horizontal="left"/>
    </xf>
    <xf numFmtId="177" fontId="14" fillId="0" borderId="0" xfId="0" applyNumberFormat="1" applyFont="1" applyAlignment="1">
      <alignment horizontal="left"/>
    </xf>
    <xf numFmtId="1" fontId="2" fillId="0" borderId="0" xfId="0" applyNumberFormat="1" applyFont="1" applyAlignment="1">
      <alignment horizontal="left"/>
    </xf>
    <xf numFmtId="0" fontId="2" fillId="0" borderId="2" xfId="0" applyFont="1" applyBorder="1" applyAlignment="1">
      <alignment horizontal="left"/>
    </xf>
    <xf numFmtId="1" fontId="2" fillId="0" borderId="2" xfId="0" applyNumberFormat="1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18" fillId="0" borderId="0" xfId="0" applyFont="1"/>
    <xf numFmtId="0" fontId="19" fillId="0" borderId="0" xfId="0" applyFont="1"/>
    <xf numFmtId="0" fontId="14" fillId="0" borderId="0" xfId="0" applyFont="1" applyAlignment="1">
      <alignment horizontal="left"/>
    </xf>
    <xf numFmtId="0" fontId="20" fillId="0" borderId="0" xfId="0" applyFont="1"/>
    <xf numFmtId="10" fontId="14" fillId="0" borderId="4" xfId="0" applyNumberFormat="1" applyFont="1" applyBorder="1" applyAlignment="1">
      <alignment horizontal="left"/>
    </xf>
    <xf numFmtId="0" fontId="14" fillId="0" borderId="2" xfId="0" applyFont="1" applyBorder="1" applyAlignment="1">
      <alignment horizontal="left"/>
    </xf>
    <xf numFmtId="10" fontId="14" fillId="0" borderId="5" xfId="0" applyNumberFormat="1" applyFont="1" applyBorder="1" applyAlignment="1">
      <alignment horizontal="left"/>
    </xf>
    <xf numFmtId="0" fontId="9" fillId="0" borderId="0" xfId="0" applyFont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0" borderId="1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/>
    </xf>
    <xf numFmtId="0" fontId="2" fillId="0" borderId="14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left" vertical="center"/>
    </xf>
    <xf numFmtId="11" fontId="2" fillId="0" borderId="0" xfId="0" applyNumberFormat="1" applyFont="1" applyAlignment="1">
      <alignment horizontal="center"/>
    </xf>
    <xf numFmtId="11" fontId="2" fillId="0" borderId="4" xfId="0" applyNumberFormat="1" applyFont="1" applyBorder="1" applyAlignment="1">
      <alignment horizontal="center"/>
    </xf>
    <xf numFmtId="0" fontId="2" fillId="0" borderId="9" xfId="0" applyFont="1" applyBorder="1" applyAlignment="1">
      <alignment horizontal="left" vertical="center"/>
    </xf>
    <xf numFmtId="11" fontId="2" fillId="0" borderId="2" xfId="0" applyNumberFormat="1" applyFont="1" applyBorder="1" applyAlignment="1">
      <alignment horizontal="center"/>
    </xf>
    <xf numFmtId="11" fontId="2" fillId="0" borderId="5" xfId="0" applyNumberFormat="1" applyFont="1" applyBorder="1" applyAlignment="1">
      <alignment horizontal="center"/>
    </xf>
    <xf numFmtId="0" fontId="2" fillId="2" borderId="12" xfId="0" applyFont="1" applyFill="1" applyBorder="1" applyAlignment="1"/>
    <xf numFmtId="0" fontId="2" fillId="2" borderId="1" xfId="0" applyFont="1" applyFill="1" applyBorder="1" applyAlignment="1"/>
    <xf numFmtId="0" fontId="2" fillId="2" borderId="13" xfId="0" applyFont="1" applyFill="1" applyBorder="1" applyAlignment="1"/>
    <xf numFmtId="0" fontId="2" fillId="2" borderId="6" xfId="0" applyFont="1" applyFill="1" applyBorder="1" applyAlignment="1"/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0" fillId="0" borderId="0" xfId="0" applyAlignment="1">
      <alignment vertical="center" wrapText="1"/>
    </xf>
    <xf numFmtId="0" fontId="13" fillId="0" borderId="0" xfId="0" applyFont="1" applyAlignment="1">
      <alignment vertical="center" wrapText="1"/>
    </xf>
    <xf numFmtId="176" fontId="2" fillId="0" borderId="0" xfId="0" applyNumberFormat="1" applyFont="1" applyAlignment="1">
      <alignment horizontal="center"/>
    </xf>
    <xf numFmtId="176" fontId="2" fillId="0" borderId="6" xfId="0" applyNumberFormat="1" applyFont="1" applyBorder="1" applyAlignment="1">
      <alignment horizontal="center" vertical="center"/>
    </xf>
    <xf numFmtId="176" fontId="2" fillId="0" borderId="4" xfId="0" applyNumberFormat="1" applyFont="1" applyBorder="1" applyAlignment="1">
      <alignment horizontal="center" vertical="center"/>
    </xf>
    <xf numFmtId="176" fontId="2" fillId="0" borderId="2" xfId="0" applyNumberFormat="1" applyFont="1" applyBorder="1" applyAlignment="1">
      <alignment horizontal="center"/>
    </xf>
    <xf numFmtId="176" fontId="2" fillId="0" borderId="5" xfId="0" applyNumberFormat="1" applyFont="1" applyBorder="1" applyAlignment="1">
      <alignment horizontal="center" vertical="center"/>
    </xf>
    <xf numFmtId="179" fontId="2" fillId="2" borderId="1" xfId="0" applyNumberFormat="1" applyFont="1" applyFill="1" applyBorder="1" applyAlignment="1">
      <alignment horizontal="center" vertical="center" wrapText="1"/>
    </xf>
    <xf numFmtId="179" fontId="2" fillId="0" borderId="0" xfId="0" applyNumberFormat="1" applyFont="1" applyAlignment="1">
      <alignment horizontal="center"/>
    </xf>
    <xf numFmtId="176" fontId="13" fillId="0" borderId="0" xfId="0" applyNumberFormat="1" applyFont="1" applyAlignment="1">
      <alignment vertical="center"/>
    </xf>
    <xf numFmtId="179" fontId="2" fillId="0" borderId="2" xfId="0" applyNumberFormat="1" applyFont="1" applyBorder="1" applyAlignment="1">
      <alignment horizontal="center"/>
    </xf>
    <xf numFmtId="0" fontId="16" fillId="0" borderId="0" xfId="0" applyFont="1" applyAlignment="1">
      <alignment horizontal="center" vertical="center" wrapText="1"/>
    </xf>
    <xf numFmtId="0" fontId="16" fillId="0" borderId="0" xfId="0" applyFont="1"/>
    <xf numFmtId="180" fontId="14" fillId="0" borderId="0" xfId="0" applyNumberFormat="1" applyFont="1" applyAlignment="1">
      <alignment vertical="center"/>
    </xf>
    <xf numFmtId="0" fontId="22" fillId="0" borderId="0" xfId="0" applyFont="1" applyAlignment="1">
      <alignment vertical="center"/>
    </xf>
    <xf numFmtId="180" fontId="14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2" fillId="0" borderId="0" xfId="0" applyFont="1" applyAlignment="1">
      <alignment vertical="center" wrapText="1"/>
    </xf>
    <xf numFmtId="0" fontId="14" fillId="0" borderId="0" xfId="0" applyFont="1" applyAlignment="1">
      <alignment horizontal="center"/>
    </xf>
    <xf numFmtId="180" fontId="14" fillId="0" borderId="0" xfId="0" applyNumberFormat="1" applyFont="1" applyAlignment="1">
      <alignment horizontal="center"/>
    </xf>
    <xf numFmtId="0" fontId="22" fillId="0" borderId="0" xfId="0" applyFont="1" applyAlignment="1">
      <alignment horizontal="center" vertical="center"/>
    </xf>
    <xf numFmtId="0" fontId="14" fillId="0" borderId="2" xfId="0" applyFont="1" applyBorder="1" applyAlignment="1">
      <alignment horizontal="center"/>
    </xf>
    <xf numFmtId="0" fontId="14" fillId="2" borderId="1" xfId="0" applyFont="1" applyFill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0" fontId="17" fillId="0" borderId="0" xfId="0" applyFont="1"/>
    <xf numFmtId="0" fontId="17" fillId="0" borderId="0" xfId="0" applyFont="1" applyAlignment="1">
      <alignment vertical="top" wrapText="1"/>
    </xf>
    <xf numFmtId="0" fontId="24" fillId="0" borderId="0" xfId="0" applyFont="1" applyAlignment="1">
      <alignment vertical="center"/>
    </xf>
    <xf numFmtId="0" fontId="17" fillId="0" borderId="0" xfId="0" applyFont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181" fontId="2" fillId="0" borderId="11" xfId="0" applyNumberFormat="1" applyFont="1" applyBorder="1" applyAlignment="1">
      <alignment horizontal="center" vertical="center"/>
    </xf>
    <xf numFmtId="10" fontId="2" fillId="0" borderId="11" xfId="0" applyNumberFormat="1" applyFont="1" applyBorder="1" applyAlignment="1">
      <alignment horizontal="center" vertical="center"/>
    </xf>
    <xf numFmtId="0" fontId="2" fillId="0" borderId="11" xfId="1" applyNumberFormat="1" applyFont="1" applyFill="1" applyBorder="1" applyAlignment="1">
      <alignment horizontal="center" vertical="center"/>
    </xf>
    <xf numFmtId="0" fontId="2" fillId="0" borderId="6" xfId="1" applyNumberFormat="1" applyFont="1" applyFill="1" applyBorder="1" applyAlignment="1">
      <alignment horizontal="center" vertical="center"/>
    </xf>
    <xf numFmtId="181" fontId="2" fillId="0" borderId="0" xfId="0" applyNumberFormat="1" applyFont="1" applyAlignment="1">
      <alignment horizontal="center" vertical="center"/>
    </xf>
    <xf numFmtId="182" fontId="2" fillId="0" borderId="0" xfId="0" applyNumberFormat="1" applyFont="1" applyAlignment="1">
      <alignment horizontal="center" vertical="center"/>
    </xf>
    <xf numFmtId="10" fontId="2" fillId="0" borderId="2" xfId="0" applyNumberFormat="1" applyFont="1" applyBorder="1" applyAlignment="1">
      <alignment horizontal="center" vertical="center"/>
    </xf>
    <xf numFmtId="182" fontId="2" fillId="0" borderId="2" xfId="0" applyNumberFormat="1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178" fontId="2" fillId="0" borderId="11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178" fontId="2" fillId="0" borderId="0" xfId="0" applyNumberFormat="1" applyFont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" fillId="0" borderId="7" xfId="0" applyFont="1" applyBorder="1" applyAlignment="1">
      <alignment horizontal="left" vertical="center"/>
    </xf>
    <xf numFmtId="10" fontId="2" fillId="0" borderId="7" xfId="0" applyNumberFormat="1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77" fontId="2" fillId="0" borderId="0" xfId="0" applyNumberFormat="1" applyFont="1" applyAlignment="1">
      <alignment horizontal="left" vertical="center"/>
    </xf>
    <xf numFmtId="177" fontId="2" fillId="0" borderId="2" xfId="0" applyNumberFormat="1" applyFont="1" applyBorder="1" applyAlignment="1">
      <alignment horizontal="left" vertical="center"/>
    </xf>
    <xf numFmtId="0" fontId="2" fillId="0" borderId="1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2" borderId="1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center" vertical="center"/>
    </xf>
    <xf numFmtId="10" fontId="2" fillId="0" borderId="7" xfId="0" applyNumberFormat="1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0" fontId="2" fillId="0" borderId="10" xfId="0" applyNumberFormat="1" applyFont="1" applyBorder="1" applyAlignment="1">
      <alignment horizontal="center" vertical="center"/>
    </xf>
    <xf numFmtId="10" fontId="2" fillId="0" borderId="10" xfId="1" applyNumberFormat="1" applyFont="1" applyBorder="1" applyAlignment="1">
      <alignment horizontal="center" vertical="center"/>
    </xf>
    <xf numFmtId="10" fontId="2" fillId="0" borderId="8" xfId="1" applyNumberFormat="1" applyFont="1" applyBorder="1" applyAlignment="1">
      <alignment horizontal="center" vertical="center"/>
    </xf>
    <xf numFmtId="10" fontId="2" fillId="0" borderId="9" xfId="1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left" vertical="center" wrapText="1"/>
    </xf>
  </cellXfs>
  <cellStyles count="3">
    <cellStyle name="百分比" xfId="1" builtinId="5"/>
    <cellStyle name="常规" xfId="0" builtinId="0"/>
    <cellStyle name="常规 2" xfId="2" xr:uid="{48F40D59-6A9B-40FC-BCD9-0BE243A2E34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40"/>
  <sheetViews>
    <sheetView tabSelected="1" workbookViewId="0">
      <selection activeCell="C34" sqref="C34"/>
    </sheetView>
  </sheetViews>
  <sheetFormatPr defaultRowHeight="16.05" customHeight="1"/>
  <cols>
    <col min="1" max="1" width="18.109375" style="99" customWidth="1"/>
    <col min="2" max="2" width="17.21875" style="22" customWidth="1"/>
    <col min="3" max="3" width="84.6640625" style="22" customWidth="1"/>
    <col min="4" max="5" width="8.88671875" style="95"/>
    <col min="6" max="17" width="8.88671875" style="97"/>
  </cols>
  <sheetData>
    <row r="1" spans="1:18" s="2" customFormat="1" ht="16.05" customHeight="1">
      <c r="A1" s="21" t="s">
        <v>1750</v>
      </c>
      <c r="B1" s="45"/>
      <c r="C1" s="45"/>
      <c r="D1" s="98"/>
      <c r="E1" s="98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1"/>
    </row>
    <row r="2" spans="1:18" ht="16.05" customHeight="1">
      <c r="A2" s="10" t="s">
        <v>43</v>
      </c>
      <c r="B2" s="10" t="s">
        <v>0</v>
      </c>
      <c r="C2" s="18" t="s">
        <v>1</v>
      </c>
    </row>
    <row r="3" spans="1:18" ht="16.05" customHeight="1">
      <c r="A3" s="190" t="s">
        <v>61</v>
      </c>
      <c r="B3" s="12" t="s">
        <v>64</v>
      </c>
      <c r="C3" s="6" t="s">
        <v>2</v>
      </c>
    </row>
    <row r="4" spans="1:18" ht="16.05" customHeight="1">
      <c r="A4" s="190"/>
      <c r="B4" s="12" t="s">
        <v>63</v>
      </c>
      <c r="C4" s="6" t="s">
        <v>69</v>
      </c>
    </row>
    <row r="5" spans="1:18" ht="16.05" customHeight="1">
      <c r="A5" s="190" t="s">
        <v>62</v>
      </c>
      <c r="B5" s="12" t="s">
        <v>65</v>
      </c>
      <c r="C5" s="6" t="s">
        <v>3</v>
      </c>
    </row>
    <row r="6" spans="1:18" ht="16.05" customHeight="1">
      <c r="A6" s="190"/>
      <c r="B6" s="12" t="s">
        <v>66</v>
      </c>
      <c r="C6" s="6" t="s">
        <v>71</v>
      </c>
    </row>
    <row r="7" spans="1:18" ht="16.05" customHeight="1">
      <c r="A7" s="15" t="s">
        <v>59</v>
      </c>
      <c r="B7" s="12" t="s">
        <v>42</v>
      </c>
      <c r="C7" s="6" t="s">
        <v>4</v>
      </c>
    </row>
    <row r="8" spans="1:18" ht="16.05" customHeight="1">
      <c r="A8" s="190" t="s">
        <v>41</v>
      </c>
      <c r="B8" s="12" t="s">
        <v>39</v>
      </c>
      <c r="C8" s="6" t="s">
        <v>5</v>
      </c>
    </row>
    <row r="9" spans="1:18" ht="16.05" customHeight="1">
      <c r="A9" s="190"/>
      <c r="B9" s="12" t="s">
        <v>40</v>
      </c>
      <c r="C9" s="6" t="s">
        <v>6</v>
      </c>
    </row>
    <row r="10" spans="1:18" ht="16.05" customHeight="1">
      <c r="A10" s="190" t="s">
        <v>60</v>
      </c>
      <c r="B10" s="12" t="s">
        <v>7</v>
      </c>
      <c r="C10" s="6" t="s">
        <v>8</v>
      </c>
    </row>
    <row r="11" spans="1:18" ht="16.05" customHeight="1">
      <c r="A11" s="190"/>
      <c r="B11" s="12" t="s">
        <v>9</v>
      </c>
      <c r="C11" s="6" t="s">
        <v>10</v>
      </c>
    </row>
    <row r="12" spans="1:18" ht="16.05" customHeight="1">
      <c r="A12" s="190"/>
      <c r="B12" s="12" t="s">
        <v>11</v>
      </c>
      <c r="C12" s="6" t="s">
        <v>12</v>
      </c>
    </row>
    <row r="13" spans="1:18" ht="16.05" customHeight="1">
      <c r="A13" s="190"/>
      <c r="B13" s="12" t="s">
        <v>13</v>
      </c>
      <c r="C13" s="6" t="s">
        <v>14</v>
      </c>
    </row>
    <row r="14" spans="1:18" ht="16.05" customHeight="1">
      <c r="A14" s="190"/>
      <c r="B14" s="12" t="s">
        <v>15</v>
      </c>
      <c r="C14" s="6" t="s">
        <v>16</v>
      </c>
    </row>
    <row r="15" spans="1:18" ht="16.05" customHeight="1">
      <c r="A15" s="190"/>
      <c r="B15" s="12" t="s">
        <v>17</v>
      </c>
      <c r="C15" s="6" t="s">
        <v>18</v>
      </c>
    </row>
    <row r="16" spans="1:18" ht="16.05" customHeight="1">
      <c r="A16" s="190"/>
      <c r="B16" s="12" t="s">
        <v>19</v>
      </c>
      <c r="C16" s="6" t="s">
        <v>20</v>
      </c>
    </row>
    <row r="17" spans="1:3" ht="16.05" customHeight="1">
      <c r="A17" s="190"/>
      <c r="B17" s="12" t="s">
        <v>21</v>
      </c>
      <c r="C17" s="6" t="s">
        <v>22</v>
      </c>
    </row>
    <row r="18" spans="1:3" ht="16.05" customHeight="1">
      <c r="A18" s="190"/>
      <c r="B18" s="12" t="s">
        <v>23</v>
      </c>
      <c r="C18" s="6" t="s">
        <v>24</v>
      </c>
    </row>
    <row r="19" spans="1:3" ht="16.05" customHeight="1">
      <c r="A19" s="190"/>
      <c r="B19" s="12" t="s">
        <v>25</v>
      </c>
      <c r="C19" s="6" t="s">
        <v>26</v>
      </c>
    </row>
    <row r="20" spans="1:3" ht="16.05" customHeight="1">
      <c r="A20" s="190"/>
      <c r="B20" s="12" t="s">
        <v>27</v>
      </c>
      <c r="C20" s="6" t="s">
        <v>28</v>
      </c>
    </row>
    <row r="21" spans="1:3" ht="16.05" customHeight="1">
      <c r="A21" s="190"/>
      <c r="B21" s="12" t="s">
        <v>29</v>
      </c>
      <c r="C21" s="6" t="s">
        <v>30</v>
      </c>
    </row>
    <row r="22" spans="1:3" ht="16.05" customHeight="1">
      <c r="A22" s="190"/>
      <c r="B22" s="12" t="s">
        <v>31</v>
      </c>
      <c r="C22" s="6" t="s">
        <v>32</v>
      </c>
    </row>
    <row r="23" spans="1:3" ht="16.05" customHeight="1">
      <c r="A23" s="190"/>
      <c r="B23" s="12" t="s">
        <v>33</v>
      </c>
      <c r="C23" s="6" t="s">
        <v>34</v>
      </c>
    </row>
    <row r="24" spans="1:3" ht="16.05" customHeight="1">
      <c r="A24" s="190"/>
      <c r="B24" s="12" t="s">
        <v>35</v>
      </c>
      <c r="C24" s="6" t="s">
        <v>36</v>
      </c>
    </row>
    <row r="25" spans="1:3" ht="16.05" customHeight="1">
      <c r="A25" s="191"/>
      <c r="B25" s="13" t="s">
        <v>37</v>
      </c>
      <c r="C25" s="7" t="s">
        <v>38</v>
      </c>
    </row>
    <row r="27" spans="1:3" ht="16.05" customHeight="1">
      <c r="A27" s="21" t="s">
        <v>1751</v>
      </c>
    </row>
    <row r="28" spans="1:3" ht="16.05" customHeight="1">
      <c r="A28" s="14" t="s">
        <v>43</v>
      </c>
      <c r="B28" s="10" t="s">
        <v>0</v>
      </c>
      <c r="C28" s="8" t="s">
        <v>1</v>
      </c>
    </row>
    <row r="29" spans="1:3" ht="16.05" customHeight="1">
      <c r="A29" s="194" t="s">
        <v>61</v>
      </c>
      <c r="B29" s="12" t="s">
        <v>67</v>
      </c>
      <c r="C29" s="9" t="s">
        <v>72</v>
      </c>
    </row>
    <row r="30" spans="1:3" ht="16.05" customHeight="1">
      <c r="A30" s="191"/>
      <c r="B30" s="13" t="s">
        <v>68</v>
      </c>
      <c r="C30" s="7" t="s">
        <v>70</v>
      </c>
    </row>
    <row r="32" spans="1:3" ht="16.05" customHeight="1">
      <c r="A32" s="21" t="s">
        <v>1752</v>
      </c>
      <c r="B32" s="45"/>
    </row>
    <row r="33" spans="1:3" ht="16.05" customHeight="1">
      <c r="A33" s="10" t="s">
        <v>0</v>
      </c>
      <c r="B33" s="192" t="s">
        <v>44</v>
      </c>
      <c r="C33" s="193"/>
    </row>
    <row r="34" spans="1:3" ht="16.05" customHeight="1">
      <c r="A34" s="11" t="s">
        <v>45</v>
      </c>
      <c r="B34" s="3" t="s">
        <v>58</v>
      </c>
      <c r="C34" s="6"/>
    </row>
    <row r="35" spans="1:3" ht="16.05" customHeight="1">
      <c r="A35" s="12" t="s">
        <v>46</v>
      </c>
      <c r="B35" s="3" t="s">
        <v>47</v>
      </c>
      <c r="C35" s="6"/>
    </row>
    <row r="36" spans="1:3" ht="16.05" customHeight="1">
      <c r="A36" s="12" t="s">
        <v>48</v>
      </c>
      <c r="B36" s="3" t="s">
        <v>49</v>
      </c>
      <c r="C36" s="6"/>
    </row>
    <row r="37" spans="1:3" ht="16.05" customHeight="1">
      <c r="A37" s="12" t="s">
        <v>50</v>
      </c>
      <c r="B37" s="3" t="s">
        <v>51</v>
      </c>
      <c r="C37" s="6"/>
    </row>
    <row r="38" spans="1:3" ht="16.05" customHeight="1">
      <c r="A38" s="12" t="s">
        <v>52</v>
      </c>
      <c r="B38" s="3" t="s">
        <v>53</v>
      </c>
      <c r="C38" s="6"/>
    </row>
    <row r="39" spans="1:3" ht="16.05" customHeight="1">
      <c r="A39" s="12" t="s">
        <v>54</v>
      </c>
      <c r="B39" s="3" t="s">
        <v>55</v>
      </c>
      <c r="C39" s="6"/>
    </row>
    <row r="40" spans="1:3" ht="16.05" customHeight="1">
      <c r="A40" s="13" t="s">
        <v>56</v>
      </c>
      <c r="B40" s="4" t="s">
        <v>57</v>
      </c>
      <c r="C40" s="7"/>
    </row>
  </sheetData>
  <mergeCells count="6">
    <mergeCell ref="A3:A4"/>
    <mergeCell ref="A5:A6"/>
    <mergeCell ref="A8:A9"/>
    <mergeCell ref="A10:A25"/>
    <mergeCell ref="B33:C33"/>
    <mergeCell ref="A29:A30"/>
  </mergeCells>
  <phoneticPr fontId="1" type="noConversion"/>
  <pageMargins left="0.7" right="0.7" top="0.75" bottom="0.75" header="0.3" footer="0.3"/>
  <pageSetup paperSize="9" scale="72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19F8B-5E3F-4040-AE15-20E21D8BDD52}">
  <dimension ref="A1:S65"/>
  <sheetViews>
    <sheetView workbookViewId="0">
      <selection activeCell="G51" sqref="G51"/>
    </sheetView>
  </sheetViews>
  <sheetFormatPr defaultColWidth="11.6640625" defaultRowHeight="16.05" customHeight="1"/>
  <cols>
    <col min="1" max="1" width="11.88671875" style="22" customWidth="1"/>
    <col min="2" max="2" width="13.5546875" style="22" customWidth="1"/>
    <col min="3" max="3" width="11.5546875" style="22" customWidth="1"/>
    <col min="4" max="4" width="11.21875" style="22" customWidth="1"/>
    <col min="5" max="5" width="11.44140625" style="22" customWidth="1"/>
    <col min="6" max="6" width="10.5546875" style="22" customWidth="1"/>
    <col min="7" max="7" width="14.5546875" style="22" customWidth="1"/>
    <col min="8" max="8" width="12.77734375" style="22" customWidth="1"/>
    <col min="9" max="9" width="12" style="22" customWidth="1"/>
    <col min="10" max="10" width="11.77734375" style="22" customWidth="1"/>
    <col min="11" max="11" width="11.109375" style="22" customWidth="1"/>
    <col min="12" max="12" width="10.88671875" style="22" customWidth="1"/>
    <col min="13" max="13" width="12.77734375" style="22" customWidth="1"/>
    <col min="14" max="14" width="10.77734375" style="22" customWidth="1"/>
    <col min="15" max="19" width="11.6640625" style="22"/>
    <col min="20" max="16384" width="11.6640625" style="19"/>
  </cols>
  <sheetData>
    <row r="1" spans="1:19" s="5" customFormat="1" ht="16.05" customHeight="1">
      <c r="A1" s="21" t="s">
        <v>1753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</row>
    <row r="2" spans="1:19" s="90" customFormat="1" ht="25.95" customHeight="1">
      <c r="A2" s="23" t="s">
        <v>73</v>
      </c>
      <c r="B2" s="24" t="s">
        <v>74</v>
      </c>
      <c r="C2" s="24" t="s">
        <v>75</v>
      </c>
      <c r="D2" s="24" t="s">
        <v>76</v>
      </c>
      <c r="E2" s="24" t="s">
        <v>77</v>
      </c>
      <c r="F2" s="24" t="s">
        <v>78</v>
      </c>
      <c r="G2" s="25" t="s">
        <v>73</v>
      </c>
      <c r="H2" s="26" t="s">
        <v>74</v>
      </c>
      <c r="I2" s="26" t="s">
        <v>75</v>
      </c>
      <c r="J2" s="26" t="s">
        <v>76</v>
      </c>
      <c r="K2" s="26" t="s">
        <v>77</v>
      </c>
      <c r="L2" s="27" t="s">
        <v>78</v>
      </c>
      <c r="M2" s="89"/>
      <c r="N2" s="89"/>
      <c r="O2" s="89"/>
      <c r="P2" s="89"/>
      <c r="Q2" s="89"/>
      <c r="R2" s="89"/>
      <c r="S2" s="89"/>
    </row>
    <row r="3" spans="1:19" ht="16.05" customHeight="1">
      <c r="A3" s="28" t="s">
        <v>79</v>
      </c>
      <c r="B3" s="29">
        <v>44858602</v>
      </c>
      <c r="C3" s="30">
        <v>999</v>
      </c>
      <c r="D3" s="30">
        <v>269</v>
      </c>
      <c r="E3" s="30">
        <v>802</v>
      </c>
      <c r="F3" s="30">
        <v>196</v>
      </c>
      <c r="G3" s="28" t="s">
        <v>79</v>
      </c>
      <c r="H3" s="30">
        <v>89712866</v>
      </c>
      <c r="I3" s="30">
        <v>2000</v>
      </c>
      <c r="J3" s="30">
        <v>321</v>
      </c>
      <c r="K3" s="30">
        <v>1604</v>
      </c>
      <c r="L3" s="31">
        <v>232</v>
      </c>
      <c r="P3" s="40"/>
    </row>
    <row r="4" spans="1:19" ht="16.05" customHeight="1">
      <c r="A4" s="32" t="s">
        <v>80</v>
      </c>
      <c r="B4" s="33">
        <v>46272866</v>
      </c>
      <c r="C4" s="34">
        <v>999</v>
      </c>
      <c r="D4" s="34">
        <v>900</v>
      </c>
      <c r="E4" s="34">
        <v>888</v>
      </c>
      <c r="F4" s="34">
        <v>798</v>
      </c>
      <c r="G4" s="32" t="s">
        <v>80</v>
      </c>
      <c r="H4" s="34">
        <v>92552524</v>
      </c>
      <c r="I4" s="34">
        <v>2000</v>
      </c>
      <c r="J4" s="34">
        <v>1644</v>
      </c>
      <c r="K4" s="34">
        <v>1776</v>
      </c>
      <c r="L4" s="35">
        <v>1456</v>
      </c>
      <c r="P4" s="40"/>
    </row>
    <row r="5" spans="1:19" ht="16.05" customHeight="1">
      <c r="A5" s="36" t="s">
        <v>81</v>
      </c>
      <c r="B5" s="37">
        <v>40958232</v>
      </c>
      <c r="C5" s="38">
        <v>999</v>
      </c>
      <c r="D5" s="38">
        <v>396</v>
      </c>
      <c r="E5" s="38">
        <v>864</v>
      </c>
      <c r="F5" s="38">
        <v>330</v>
      </c>
      <c r="G5" s="36" t="s">
        <v>81</v>
      </c>
      <c r="H5" s="38">
        <v>81915880</v>
      </c>
      <c r="I5" s="38">
        <v>2000</v>
      </c>
      <c r="J5" s="38">
        <v>494</v>
      </c>
      <c r="K5" s="38">
        <v>1729</v>
      </c>
      <c r="L5" s="39">
        <v>410</v>
      </c>
      <c r="P5" s="40"/>
    </row>
    <row r="6" spans="1:19" ht="16.05" customHeight="1">
      <c r="A6" s="28" t="s">
        <v>79</v>
      </c>
      <c r="B6" s="29">
        <v>224277106</v>
      </c>
      <c r="C6" s="30">
        <v>5000</v>
      </c>
      <c r="D6" s="30">
        <v>406</v>
      </c>
      <c r="E6" s="30">
        <v>4011</v>
      </c>
      <c r="F6" s="30">
        <v>299</v>
      </c>
      <c r="G6" s="28" t="s">
        <v>79</v>
      </c>
      <c r="H6" s="30">
        <v>448541592</v>
      </c>
      <c r="I6" s="30">
        <v>10004</v>
      </c>
      <c r="J6" s="30">
        <v>506</v>
      </c>
      <c r="K6" s="30">
        <v>8026</v>
      </c>
      <c r="L6" s="31">
        <v>388</v>
      </c>
      <c r="P6" s="40"/>
    </row>
    <row r="7" spans="1:19" ht="16.05" customHeight="1">
      <c r="A7" s="32" t="s">
        <v>80</v>
      </c>
      <c r="B7" s="33">
        <v>231384604</v>
      </c>
      <c r="C7" s="34">
        <v>5002</v>
      </c>
      <c r="D7" s="34">
        <v>3323</v>
      </c>
      <c r="E7" s="34">
        <v>4442</v>
      </c>
      <c r="F7" s="34">
        <v>2932</v>
      </c>
      <c r="G7" s="32" t="s">
        <v>80</v>
      </c>
      <c r="H7" s="34">
        <v>462743232</v>
      </c>
      <c r="I7" s="34">
        <v>10005</v>
      </c>
      <c r="J7" s="34">
        <v>5089</v>
      </c>
      <c r="K7" s="34">
        <v>8884</v>
      </c>
      <c r="L7" s="35">
        <v>4469</v>
      </c>
      <c r="P7" s="40"/>
    </row>
    <row r="8" spans="1:19" ht="16.05" customHeight="1">
      <c r="A8" s="36" t="s">
        <v>81</v>
      </c>
      <c r="B8" s="37">
        <v>204788642</v>
      </c>
      <c r="C8" s="38">
        <v>5002</v>
      </c>
      <c r="D8" s="38">
        <v>649</v>
      </c>
      <c r="E8" s="38">
        <v>4324</v>
      </c>
      <c r="F8" s="38">
        <v>546</v>
      </c>
      <c r="G8" s="36" t="s">
        <v>81</v>
      </c>
      <c r="H8" s="38">
        <v>409585810</v>
      </c>
      <c r="I8" s="38">
        <v>10007</v>
      </c>
      <c r="J8" s="38">
        <v>828</v>
      </c>
      <c r="K8" s="38">
        <v>8650</v>
      </c>
      <c r="L8" s="39">
        <v>709</v>
      </c>
      <c r="P8" s="41"/>
    </row>
    <row r="9" spans="1:19" ht="16.05" customHeight="1">
      <c r="A9" s="32" t="s">
        <v>79</v>
      </c>
      <c r="B9" s="33">
        <v>672836798</v>
      </c>
      <c r="C9" s="34">
        <v>15005</v>
      </c>
      <c r="D9" s="34">
        <v>595</v>
      </c>
      <c r="E9" s="34">
        <v>12038</v>
      </c>
      <c r="F9" s="34">
        <v>470</v>
      </c>
      <c r="G9" s="32" t="s">
        <v>79</v>
      </c>
      <c r="H9" s="34">
        <v>781971250.68870521</v>
      </c>
      <c r="I9" s="34">
        <v>20296</v>
      </c>
      <c r="J9" s="34">
        <v>683</v>
      </c>
      <c r="K9" s="34">
        <v>16293.685685685687</v>
      </c>
      <c r="L9" s="35">
        <v>539.51260504201673</v>
      </c>
      <c r="P9" s="41"/>
    </row>
    <row r="10" spans="1:19" ht="16.05" customHeight="1">
      <c r="A10" s="32" t="s">
        <v>80</v>
      </c>
      <c r="B10" s="33">
        <v>694134262</v>
      </c>
      <c r="C10" s="34">
        <v>15009</v>
      </c>
      <c r="D10" s="34">
        <v>6281</v>
      </c>
      <c r="E10" s="34">
        <v>13326</v>
      </c>
      <c r="F10" s="34">
        <v>5496</v>
      </c>
      <c r="G10" s="32" t="s">
        <v>80</v>
      </c>
      <c r="H10" s="34">
        <v>864516911.61616158</v>
      </c>
      <c r="I10" s="34">
        <v>20295</v>
      </c>
      <c r="J10" s="34">
        <v>7288</v>
      </c>
      <c r="K10" s="34">
        <v>18040</v>
      </c>
      <c r="L10" s="35">
        <v>6377.1450405986307</v>
      </c>
      <c r="P10" s="41"/>
    </row>
    <row r="11" spans="1:19" ht="16.05" customHeight="1">
      <c r="A11" s="36" t="s">
        <v>81</v>
      </c>
      <c r="B11" s="37">
        <v>614359432</v>
      </c>
      <c r="C11" s="38">
        <v>15012</v>
      </c>
      <c r="D11" s="38">
        <v>975</v>
      </c>
      <c r="E11" s="38">
        <v>12977</v>
      </c>
      <c r="F11" s="38">
        <v>843</v>
      </c>
      <c r="G11" s="36" t="s">
        <v>81</v>
      </c>
      <c r="H11" s="38">
        <v>755772733.95721924</v>
      </c>
      <c r="I11" s="38">
        <v>20388</v>
      </c>
      <c r="J11" s="38">
        <v>1132</v>
      </c>
      <c r="K11" s="38">
        <v>17632.864864864867</v>
      </c>
      <c r="L11" s="39">
        <v>978.74461538461537</v>
      </c>
      <c r="P11" s="41"/>
    </row>
    <row r="12" spans="1:19" ht="16.05" customHeight="1">
      <c r="P12" s="41"/>
    </row>
    <row r="13" spans="1:19" ht="16.05" customHeight="1">
      <c r="A13" s="21" t="s">
        <v>1754</v>
      </c>
      <c r="P13" s="42"/>
    </row>
    <row r="14" spans="1:19" ht="16.05" customHeight="1">
      <c r="A14" s="23" t="s">
        <v>82</v>
      </c>
      <c r="B14" s="23" t="s">
        <v>83</v>
      </c>
      <c r="C14" s="23" t="s">
        <v>84</v>
      </c>
      <c r="D14" s="27" t="s">
        <v>85</v>
      </c>
      <c r="E14" s="23" t="s">
        <v>86</v>
      </c>
      <c r="F14" s="23" t="s">
        <v>87</v>
      </c>
      <c r="G14" s="23" t="s">
        <v>82</v>
      </c>
      <c r="H14" s="23" t="s">
        <v>83</v>
      </c>
      <c r="I14" s="23" t="s">
        <v>84</v>
      </c>
      <c r="J14" s="27" t="s">
        <v>85</v>
      </c>
      <c r="K14" s="23" t="s">
        <v>86</v>
      </c>
      <c r="L14" s="23" t="s">
        <v>87</v>
      </c>
      <c r="M14" s="43"/>
      <c r="N14" s="43"/>
      <c r="O14" s="43"/>
      <c r="P14" s="43"/>
      <c r="Q14" s="43"/>
      <c r="R14" s="43"/>
      <c r="S14" s="43"/>
    </row>
    <row r="15" spans="1:19" ht="16.05" customHeight="1">
      <c r="A15" s="195">
        <v>500</v>
      </c>
      <c r="B15" s="44">
        <v>5.0000000000000001E-3</v>
      </c>
      <c r="C15" s="194">
        <v>209</v>
      </c>
      <c r="D15" s="45">
        <v>461</v>
      </c>
      <c r="E15" s="45">
        <v>189</v>
      </c>
      <c r="F15" s="46">
        <v>217</v>
      </c>
      <c r="G15" s="195">
        <v>500</v>
      </c>
      <c r="H15" s="44">
        <v>5.0000000000000001E-3</v>
      </c>
      <c r="I15" s="194">
        <v>309</v>
      </c>
      <c r="J15" s="45">
        <v>473</v>
      </c>
      <c r="K15" s="45">
        <v>304</v>
      </c>
      <c r="L15" s="46">
        <v>297</v>
      </c>
      <c r="M15" s="47"/>
      <c r="N15" s="47"/>
      <c r="O15" s="48"/>
      <c r="P15" s="47"/>
      <c r="Q15" s="45"/>
      <c r="R15" s="45"/>
      <c r="S15" s="45"/>
    </row>
    <row r="16" spans="1:19" ht="16.05" customHeight="1">
      <c r="A16" s="195"/>
      <c r="B16" s="44">
        <v>0.01</v>
      </c>
      <c r="C16" s="190"/>
      <c r="D16" s="45">
        <v>462</v>
      </c>
      <c r="E16" s="45">
        <v>187</v>
      </c>
      <c r="F16" s="46">
        <v>218</v>
      </c>
      <c r="G16" s="195"/>
      <c r="H16" s="44">
        <v>0.01</v>
      </c>
      <c r="I16" s="190"/>
      <c r="J16" s="45">
        <v>481</v>
      </c>
      <c r="K16" s="45">
        <v>304</v>
      </c>
      <c r="L16" s="46">
        <v>298</v>
      </c>
      <c r="M16" s="47"/>
      <c r="N16" s="47"/>
      <c r="O16" s="48"/>
      <c r="P16" s="47"/>
      <c r="Q16" s="45"/>
      <c r="R16" s="45"/>
      <c r="S16" s="45"/>
    </row>
    <row r="17" spans="1:19" ht="16.05" customHeight="1">
      <c r="A17" s="195"/>
      <c r="B17" s="44">
        <v>0.02</v>
      </c>
      <c r="C17" s="190"/>
      <c r="D17" s="45">
        <v>464</v>
      </c>
      <c r="E17" s="45">
        <v>189</v>
      </c>
      <c r="F17" s="46">
        <v>222</v>
      </c>
      <c r="G17" s="195"/>
      <c r="H17" s="44">
        <v>0.02</v>
      </c>
      <c r="I17" s="190"/>
      <c r="J17" s="45">
        <v>479</v>
      </c>
      <c r="K17" s="45">
        <v>306</v>
      </c>
      <c r="L17" s="46">
        <v>303</v>
      </c>
      <c r="M17" s="47"/>
      <c r="N17" s="47"/>
      <c r="O17" s="48"/>
      <c r="P17" s="47"/>
      <c r="Q17" s="45"/>
      <c r="R17" s="45"/>
      <c r="S17" s="45"/>
    </row>
    <row r="18" spans="1:19" ht="16.05" customHeight="1">
      <c r="A18" s="195">
        <v>1000</v>
      </c>
      <c r="B18" s="44">
        <v>5.0000000000000001E-3</v>
      </c>
      <c r="C18" s="190">
        <v>240</v>
      </c>
      <c r="D18" s="45">
        <v>849</v>
      </c>
      <c r="E18" s="45">
        <v>234</v>
      </c>
      <c r="F18" s="46">
        <v>258</v>
      </c>
      <c r="G18" s="195">
        <v>1000</v>
      </c>
      <c r="H18" s="44">
        <v>5.0000000000000001E-3</v>
      </c>
      <c r="I18" s="190">
        <v>423</v>
      </c>
      <c r="J18" s="45">
        <v>908</v>
      </c>
      <c r="K18" s="45">
        <v>457</v>
      </c>
      <c r="L18" s="46">
        <v>440</v>
      </c>
      <c r="M18" s="47"/>
      <c r="N18" s="47"/>
      <c r="O18" s="48"/>
      <c r="P18" s="47"/>
      <c r="Q18" s="45"/>
      <c r="R18" s="45"/>
      <c r="S18" s="45"/>
    </row>
    <row r="19" spans="1:19" ht="16.05" customHeight="1">
      <c r="A19" s="195"/>
      <c r="B19" s="44">
        <v>0.01</v>
      </c>
      <c r="C19" s="190"/>
      <c r="D19" s="45">
        <v>857</v>
      </c>
      <c r="E19" s="45">
        <v>238</v>
      </c>
      <c r="F19" s="46">
        <v>264</v>
      </c>
      <c r="G19" s="195"/>
      <c r="H19" s="44">
        <v>0.01</v>
      </c>
      <c r="I19" s="190"/>
      <c r="J19" s="45">
        <v>911</v>
      </c>
      <c r="K19" s="45">
        <v>458</v>
      </c>
      <c r="L19" s="46">
        <v>448</v>
      </c>
      <c r="M19" s="47"/>
      <c r="N19" s="47"/>
      <c r="O19" s="48"/>
      <c r="P19" s="47"/>
      <c r="Q19" s="45"/>
      <c r="R19" s="45"/>
      <c r="S19" s="45"/>
    </row>
    <row r="20" spans="1:19" ht="16.05" customHeight="1">
      <c r="A20" s="195"/>
      <c r="B20" s="44">
        <v>0.02</v>
      </c>
      <c r="C20" s="191"/>
      <c r="D20" s="49">
        <v>863</v>
      </c>
      <c r="E20" s="49">
        <v>241</v>
      </c>
      <c r="F20" s="50">
        <v>272</v>
      </c>
      <c r="G20" s="195"/>
      <c r="H20" s="44">
        <v>0.02</v>
      </c>
      <c r="I20" s="191"/>
      <c r="J20" s="49">
        <v>914</v>
      </c>
      <c r="K20" s="49">
        <v>461</v>
      </c>
      <c r="L20" s="50">
        <v>452</v>
      </c>
      <c r="M20" s="47"/>
      <c r="N20" s="47"/>
      <c r="O20" s="48"/>
      <c r="P20" s="47"/>
      <c r="Q20" s="45"/>
      <c r="R20" s="45"/>
      <c r="S20" s="45"/>
    </row>
    <row r="22" spans="1:19" ht="16.05" customHeight="1">
      <c r="A22" s="21" t="s">
        <v>1755</v>
      </c>
    </row>
    <row r="23" spans="1:19" s="5" customFormat="1" ht="25.95" customHeight="1">
      <c r="A23" s="25" t="s">
        <v>73</v>
      </c>
      <c r="B23" s="26" t="s">
        <v>88</v>
      </c>
      <c r="C23" s="26" t="s">
        <v>75</v>
      </c>
      <c r="D23" s="26" t="s">
        <v>77</v>
      </c>
      <c r="E23" s="26" t="s">
        <v>89</v>
      </c>
      <c r="F23" s="26" t="s">
        <v>90</v>
      </c>
      <c r="G23" s="26" t="s">
        <v>91</v>
      </c>
      <c r="H23" s="27" t="s">
        <v>92</v>
      </c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</row>
    <row r="24" spans="1:19" ht="16.05" customHeight="1">
      <c r="A24" s="51" t="s">
        <v>93</v>
      </c>
      <c r="B24" s="34">
        <v>11302</v>
      </c>
      <c r="C24" s="52">
        <v>599</v>
      </c>
      <c r="D24" s="52">
        <v>518</v>
      </c>
      <c r="E24" s="52">
        <v>366</v>
      </c>
      <c r="F24" s="52">
        <v>307</v>
      </c>
      <c r="G24" s="52">
        <v>371</v>
      </c>
      <c r="H24" s="53">
        <v>314</v>
      </c>
      <c r="L24" s="54"/>
    </row>
    <row r="25" spans="1:19" ht="16.05" customHeight="1">
      <c r="A25" s="55" t="s">
        <v>94</v>
      </c>
      <c r="B25" s="34">
        <v>21886</v>
      </c>
      <c r="C25" s="56">
        <v>1154.5</v>
      </c>
      <c r="D25" s="56">
        <v>1000.5</v>
      </c>
      <c r="E25" s="45">
        <v>533</v>
      </c>
      <c r="F25" s="45">
        <v>438</v>
      </c>
      <c r="G25" s="56">
        <v>532.5</v>
      </c>
      <c r="H25" s="46">
        <v>450</v>
      </c>
    </row>
    <row r="26" spans="1:19" ht="16.05" customHeight="1">
      <c r="A26" s="55" t="s">
        <v>95</v>
      </c>
      <c r="B26" s="34">
        <v>32703</v>
      </c>
      <c r="C26" s="56">
        <v>1720.5</v>
      </c>
      <c r="D26" s="56">
        <v>1489.5</v>
      </c>
      <c r="E26" s="45">
        <v>647</v>
      </c>
      <c r="F26" s="45">
        <v>526</v>
      </c>
      <c r="G26" s="45">
        <v>606</v>
      </c>
      <c r="H26" s="46">
        <v>512</v>
      </c>
      <c r="L26" s="54"/>
    </row>
    <row r="27" spans="1:19" ht="16.05" customHeight="1">
      <c r="A27" s="57" t="s">
        <v>96</v>
      </c>
      <c r="B27" s="38">
        <v>44046</v>
      </c>
      <c r="C27" s="49">
        <v>2299</v>
      </c>
      <c r="D27" s="49">
        <v>1978</v>
      </c>
      <c r="E27" s="49">
        <v>738</v>
      </c>
      <c r="F27" s="49">
        <v>603</v>
      </c>
      <c r="G27" s="49">
        <v>695</v>
      </c>
      <c r="H27" s="50">
        <v>580</v>
      </c>
    </row>
    <row r="28" spans="1:19" ht="16.05" customHeight="1">
      <c r="A28" s="58"/>
      <c r="C28" s="45"/>
      <c r="D28" s="45"/>
      <c r="E28" s="45"/>
      <c r="F28" s="45"/>
      <c r="G28" s="59"/>
      <c r="H28" s="45"/>
      <c r="I28" s="59"/>
    </row>
    <row r="29" spans="1:19" ht="16.05" customHeight="1">
      <c r="A29" s="21" t="s">
        <v>1756</v>
      </c>
      <c r="B29" s="45"/>
      <c r="C29" s="45"/>
      <c r="D29" s="45"/>
      <c r="E29" s="45"/>
      <c r="F29" s="45"/>
      <c r="G29" s="45"/>
      <c r="H29" s="45"/>
      <c r="I29" s="45"/>
      <c r="J29" s="45"/>
      <c r="K29" s="45"/>
      <c r="M29" s="45"/>
    </row>
    <row r="30" spans="1:19" ht="25.95" customHeight="1">
      <c r="A30" s="25" t="s">
        <v>97</v>
      </c>
      <c r="B30" s="26" t="s">
        <v>73</v>
      </c>
      <c r="C30" s="26" t="s">
        <v>74</v>
      </c>
      <c r="D30" s="26" t="s">
        <v>98</v>
      </c>
      <c r="E30" s="26" t="s">
        <v>99</v>
      </c>
      <c r="F30" s="26" t="s">
        <v>100</v>
      </c>
      <c r="G30" s="26" t="s">
        <v>101</v>
      </c>
      <c r="H30" s="26" t="s">
        <v>102</v>
      </c>
      <c r="I30" s="27" t="s">
        <v>103</v>
      </c>
    </row>
    <row r="31" spans="1:19" ht="16.05" customHeight="1">
      <c r="A31" s="60" t="s">
        <v>104</v>
      </c>
      <c r="B31" s="61" t="s">
        <v>105</v>
      </c>
      <c r="C31" s="62">
        <v>100846450</v>
      </c>
      <c r="D31" s="63">
        <v>0.87</v>
      </c>
      <c r="E31" s="64">
        <v>5.5442289999999996</v>
      </c>
      <c r="F31" s="64">
        <v>8.5421390000000006</v>
      </c>
      <c r="G31" s="65">
        <v>1.5900000000000001E-3</v>
      </c>
      <c r="H31" s="65">
        <v>2.9E-5</v>
      </c>
      <c r="I31" s="66" t="s">
        <v>106</v>
      </c>
    </row>
    <row r="32" spans="1:19" ht="16.05" customHeight="1">
      <c r="A32" s="67" t="s">
        <v>107</v>
      </c>
      <c r="B32" s="68" t="s">
        <v>108</v>
      </c>
      <c r="C32" s="69">
        <v>100843908</v>
      </c>
      <c r="D32" s="70">
        <v>0.97760000000000002</v>
      </c>
      <c r="E32" s="71">
        <v>1.800495</v>
      </c>
      <c r="F32" s="71">
        <v>7.3400000000000007E-2</v>
      </c>
      <c r="G32" s="72">
        <v>3.4090000000000001E-3</v>
      </c>
      <c r="H32" s="72">
        <v>2.2800000000000001E-4</v>
      </c>
      <c r="I32" s="66" t="s">
        <v>106</v>
      </c>
    </row>
    <row r="33" spans="1:13" ht="16.05" customHeight="1">
      <c r="A33" s="73" t="s">
        <v>109</v>
      </c>
      <c r="B33" s="73" t="s">
        <v>110</v>
      </c>
      <c r="C33" s="74">
        <v>100843232</v>
      </c>
      <c r="D33" s="75">
        <v>0.93940000000000001</v>
      </c>
      <c r="E33" s="76">
        <v>6.3700409999999996</v>
      </c>
      <c r="F33" s="76">
        <v>0.14532200000000001</v>
      </c>
      <c r="G33" s="77">
        <v>1.75E-3</v>
      </c>
      <c r="H33" s="77">
        <v>6.0000000000000002E-6</v>
      </c>
      <c r="I33" s="78" t="s">
        <v>111</v>
      </c>
    </row>
    <row r="34" spans="1:13" ht="16.05" customHeight="1">
      <c r="A34" s="79" t="s">
        <v>112</v>
      </c>
    </row>
    <row r="35" spans="1:13" ht="16.05" customHeight="1">
      <c r="A35" s="22" t="s">
        <v>113</v>
      </c>
    </row>
    <row r="37" spans="1:13" ht="16.05" customHeight="1">
      <c r="A37" s="21" t="s">
        <v>1757</v>
      </c>
      <c r="B37" s="45"/>
      <c r="C37" s="45"/>
      <c r="D37" s="45"/>
      <c r="E37" s="45"/>
      <c r="F37" s="45"/>
      <c r="G37" s="45"/>
      <c r="H37" s="45"/>
      <c r="I37" s="45"/>
      <c r="J37" s="45"/>
    </row>
    <row r="38" spans="1:13" ht="25.95" customHeight="1">
      <c r="A38" s="25" t="s">
        <v>73</v>
      </c>
      <c r="B38" s="26" t="s">
        <v>74</v>
      </c>
      <c r="C38" s="26" t="s">
        <v>302</v>
      </c>
      <c r="D38" s="26" t="s">
        <v>303</v>
      </c>
      <c r="E38" s="26" t="s">
        <v>304</v>
      </c>
      <c r="F38" s="26" t="s">
        <v>114</v>
      </c>
      <c r="G38" s="26" t="s">
        <v>76</v>
      </c>
      <c r="H38" s="26" t="s">
        <v>78</v>
      </c>
      <c r="I38" s="26" t="s">
        <v>115</v>
      </c>
      <c r="J38" s="27" t="s">
        <v>305</v>
      </c>
      <c r="K38" s="45"/>
      <c r="L38" s="45"/>
      <c r="M38" s="45"/>
    </row>
    <row r="39" spans="1:13" ht="16.05" customHeight="1">
      <c r="A39" s="32" t="s">
        <v>116</v>
      </c>
      <c r="B39" s="34">
        <v>22040884</v>
      </c>
      <c r="C39" s="34">
        <v>15260544</v>
      </c>
      <c r="D39" s="34">
        <v>4424799</v>
      </c>
      <c r="E39" s="80">
        <v>0.28999999999999998</v>
      </c>
      <c r="F39" s="81">
        <v>0.75900000000000001</v>
      </c>
      <c r="G39" s="34">
        <v>372</v>
      </c>
      <c r="H39" s="34">
        <v>286</v>
      </c>
      <c r="I39" s="80">
        <v>0.94299999999999995</v>
      </c>
      <c r="J39" s="82">
        <v>0.90500000000000003</v>
      </c>
      <c r="M39" s="43"/>
    </row>
    <row r="40" spans="1:13" ht="16.05" customHeight="1">
      <c r="A40" s="32" t="s">
        <v>117</v>
      </c>
      <c r="B40" s="34">
        <v>23241706</v>
      </c>
      <c r="C40" s="34">
        <v>15870570</v>
      </c>
      <c r="D40" s="34">
        <v>6147252</v>
      </c>
      <c r="E40" s="80">
        <v>0.38700000000000001</v>
      </c>
      <c r="F40" s="81">
        <v>0.74099999999999999</v>
      </c>
      <c r="G40" s="34">
        <v>519</v>
      </c>
      <c r="H40" s="34">
        <v>421</v>
      </c>
      <c r="I40" s="80">
        <v>0.94399999999999995</v>
      </c>
      <c r="J40" s="82">
        <v>0.91</v>
      </c>
    </row>
    <row r="41" spans="1:13" ht="16.05" customHeight="1">
      <c r="A41" s="32" t="s">
        <v>118</v>
      </c>
      <c r="B41" s="34">
        <v>26296944</v>
      </c>
      <c r="C41" s="34">
        <v>17721646</v>
      </c>
      <c r="D41" s="34">
        <v>7527486</v>
      </c>
      <c r="E41" s="80">
        <v>0.42499999999999999</v>
      </c>
      <c r="F41" s="81">
        <v>0.72799999999999998</v>
      </c>
      <c r="G41" s="34">
        <v>633</v>
      </c>
      <c r="H41" s="34">
        <v>528</v>
      </c>
      <c r="I41" s="80">
        <v>0.94499999999999995</v>
      </c>
      <c r="J41" s="82">
        <v>0.91100000000000003</v>
      </c>
    </row>
    <row r="42" spans="1:13" ht="16.05" customHeight="1">
      <c r="A42" s="36" t="s">
        <v>119</v>
      </c>
      <c r="B42" s="38">
        <v>27655194</v>
      </c>
      <c r="C42" s="38">
        <v>18125057</v>
      </c>
      <c r="D42" s="38">
        <v>7870741</v>
      </c>
      <c r="E42" s="83">
        <v>0.434</v>
      </c>
      <c r="F42" s="84">
        <v>0.70599999999999996</v>
      </c>
      <c r="G42" s="38">
        <v>642</v>
      </c>
      <c r="H42" s="38">
        <v>544</v>
      </c>
      <c r="I42" s="83">
        <v>0.94699999999999995</v>
      </c>
      <c r="J42" s="85">
        <v>0.90900000000000003</v>
      </c>
    </row>
    <row r="43" spans="1:13" ht="16.05" customHeight="1">
      <c r="A43" s="32" t="s">
        <v>120</v>
      </c>
      <c r="B43" s="34">
        <v>25103292</v>
      </c>
      <c r="C43" s="34">
        <v>17043495</v>
      </c>
      <c r="D43" s="34">
        <v>4702415</v>
      </c>
      <c r="E43" s="80">
        <v>0.27600000000000002</v>
      </c>
      <c r="F43" s="81">
        <v>0.748</v>
      </c>
      <c r="G43" s="34">
        <v>399</v>
      </c>
      <c r="H43" s="34">
        <v>314</v>
      </c>
      <c r="I43" s="80">
        <v>0.94199999999999995</v>
      </c>
      <c r="J43" s="82">
        <v>0.90600000000000003</v>
      </c>
    </row>
    <row r="44" spans="1:13" ht="16.05" customHeight="1">
      <c r="A44" s="32" t="s">
        <v>121</v>
      </c>
      <c r="B44" s="34">
        <v>23196108</v>
      </c>
      <c r="C44" s="34">
        <v>14036698</v>
      </c>
      <c r="D44" s="34">
        <v>5523292</v>
      </c>
      <c r="E44" s="80">
        <v>0.39300000000000002</v>
      </c>
      <c r="F44" s="81">
        <v>0.67100000000000004</v>
      </c>
      <c r="G44" s="34">
        <v>465</v>
      </c>
      <c r="H44" s="34">
        <v>373</v>
      </c>
      <c r="I44" s="80">
        <v>0.94399999999999995</v>
      </c>
      <c r="J44" s="82">
        <v>0.90700000000000003</v>
      </c>
    </row>
    <row r="45" spans="1:13" ht="16.05" customHeight="1">
      <c r="A45" s="32" t="s">
        <v>122</v>
      </c>
      <c r="B45" s="34">
        <v>27928334</v>
      </c>
      <c r="C45" s="34">
        <v>18520520</v>
      </c>
      <c r="D45" s="34">
        <v>7155345</v>
      </c>
      <c r="E45" s="80">
        <v>0.38600000000000001</v>
      </c>
      <c r="F45" s="81">
        <v>0.72</v>
      </c>
      <c r="G45" s="34">
        <v>597</v>
      </c>
      <c r="H45" s="34">
        <v>497</v>
      </c>
      <c r="I45" s="80">
        <v>0.94599999999999995</v>
      </c>
      <c r="J45" s="82">
        <v>0.91100000000000003</v>
      </c>
    </row>
    <row r="46" spans="1:13" ht="16.05" customHeight="1">
      <c r="A46" s="36" t="s">
        <v>123</v>
      </c>
      <c r="B46" s="38">
        <v>30341326</v>
      </c>
      <c r="C46" s="38">
        <v>19958014</v>
      </c>
      <c r="D46" s="38">
        <v>7701728</v>
      </c>
      <c r="E46" s="83">
        <v>0.38600000000000001</v>
      </c>
      <c r="F46" s="84">
        <v>0.71099999999999997</v>
      </c>
      <c r="G46" s="38">
        <v>620</v>
      </c>
      <c r="H46" s="38">
        <v>519</v>
      </c>
      <c r="I46" s="83">
        <v>0.94799999999999995</v>
      </c>
      <c r="J46" s="85">
        <v>0.90700000000000003</v>
      </c>
    </row>
    <row r="48" spans="1:13" ht="16.05" customHeight="1">
      <c r="A48" s="21" t="s">
        <v>1758</v>
      </c>
      <c r="B48" s="45"/>
      <c r="C48" s="45"/>
      <c r="D48" s="45"/>
      <c r="E48" s="45"/>
      <c r="F48" s="45"/>
      <c r="G48" s="45"/>
      <c r="H48" s="45"/>
      <c r="I48" s="45"/>
      <c r="J48" s="45"/>
    </row>
    <row r="49" spans="1:6" ht="25.95" customHeight="1">
      <c r="A49" s="23" t="s">
        <v>75</v>
      </c>
      <c r="B49" s="23" t="s">
        <v>73</v>
      </c>
      <c r="C49" s="23" t="s">
        <v>76</v>
      </c>
      <c r="D49" s="23" t="s">
        <v>75</v>
      </c>
      <c r="E49" s="23" t="s">
        <v>73</v>
      </c>
      <c r="F49" s="23" t="s">
        <v>76</v>
      </c>
    </row>
    <row r="50" spans="1:6" ht="16.05" customHeight="1">
      <c r="A50" s="194" t="s">
        <v>124</v>
      </c>
      <c r="B50" s="86" t="s">
        <v>116</v>
      </c>
      <c r="C50" s="86">
        <v>203</v>
      </c>
      <c r="D50" s="194" t="s">
        <v>125</v>
      </c>
      <c r="E50" s="86" t="s">
        <v>116</v>
      </c>
      <c r="F50" s="86">
        <v>204</v>
      </c>
    </row>
    <row r="51" spans="1:6" ht="16.05" customHeight="1">
      <c r="A51" s="190"/>
      <c r="B51" s="86" t="s">
        <v>120</v>
      </c>
      <c r="C51" s="86">
        <v>209</v>
      </c>
      <c r="D51" s="190"/>
      <c r="E51" s="86" t="s">
        <v>120</v>
      </c>
      <c r="F51" s="86">
        <v>210</v>
      </c>
    </row>
    <row r="52" spans="1:6" ht="16.05" customHeight="1">
      <c r="A52" s="190"/>
      <c r="B52" s="86" t="s">
        <v>117</v>
      </c>
      <c r="C52" s="86">
        <v>305</v>
      </c>
      <c r="D52" s="190"/>
      <c r="E52" s="86" t="s">
        <v>117</v>
      </c>
      <c r="F52" s="86">
        <v>330</v>
      </c>
    </row>
    <row r="53" spans="1:6" ht="16.05" customHeight="1">
      <c r="A53" s="190"/>
      <c r="B53" s="86" t="s">
        <v>121</v>
      </c>
      <c r="C53" s="86">
        <v>306</v>
      </c>
      <c r="D53" s="190"/>
      <c r="E53" s="86" t="s">
        <v>121</v>
      </c>
      <c r="F53" s="86">
        <v>334</v>
      </c>
    </row>
    <row r="54" spans="1:6" ht="16.05" customHeight="1">
      <c r="A54" s="190"/>
      <c r="B54" s="86" t="s">
        <v>118</v>
      </c>
      <c r="C54" s="86">
        <v>366</v>
      </c>
      <c r="D54" s="190"/>
      <c r="E54" s="86" t="s">
        <v>118</v>
      </c>
      <c r="F54" s="86">
        <v>418</v>
      </c>
    </row>
    <row r="55" spans="1:6" ht="16.05" customHeight="1">
      <c r="A55" s="190"/>
      <c r="B55" s="86" t="s">
        <v>122</v>
      </c>
      <c r="C55" s="86">
        <v>365</v>
      </c>
      <c r="D55" s="190"/>
      <c r="E55" s="86" t="s">
        <v>122</v>
      </c>
      <c r="F55" s="86">
        <v>427</v>
      </c>
    </row>
    <row r="56" spans="1:6" ht="16.05" customHeight="1">
      <c r="A56" s="190"/>
      <c r="B56" s="86" t="s">
        <v>119</v>
      </c>
      <c r="C56" s="86">
        <v>423</v>
      </c>
      <c r="D56" s="190"/>
      <c r="E56" s="86" t="s">
        <v>119</v>
      </c>
      <c r="F56" s="86">
        <v>557</v>
      </c>
    </row>
    <row r="57" spans="1:6" ht="16.05" customHeight="1">
      <c r="A57" s="191"/>
      <c r="B57" s="87" t="s">
        <v>123</v>
      </c>
      <c r="C57" s="87">
        <v>421</v>
      </c>
      <c r="D57" s="191"/>
      <c r="E57" s="87" t="s">
        <v>123</v>
      </c>
      <c r="F57" s="87">
        <v>552</v>
      </c>
    </row>
    <row r="58" spans="1:6" ht="16.05" customHeight="1">
      <c r="A58" s="194" t="s">
        <v>126</v>
      </c>
      <c r="B58" s="86" t="s">
        <v>116</v>
      </c>
      <c r="C58" s="86">
        <v>337</v>
      </c>
      <c r="D58" s="194" t="s">
        <v>127</v>
      </c>
      <c r="E58" s="86" t="s">
        <v>116</v>
      </c>
      <c r="F58" s="86">
        <v>417</v>
      </c>
    </row>
    <row r="59" spans="1:6" ht="16.05" customHeight="1">
      <c r="A59" s="190"/>
      <c r="B59" s="86" t="s">
        <v>120</v>
      </c>
      <c r="C59" s="86">
        <v>346</v>
      </c>
      <c r="D59" s="190"/>
      <c r="E59" s="86" t="s">
        <v>120</v>
      </c>
      <c r="F59" s="86">
        <v>428</v>
      </c>
    </row>
    <row r="60" spans="1:6" ht="16.05" customHeight="1">
      <c r="A60" s="190"/>
      <c r="B60" s="86" t="s">
        <v>117</v>
      </c>
      <c r="C60" s="86">
        <v>582</v>
      </c>
      <c r="D60" s="190"/>
      <c r="E60" s="86" t="s">
        <v>117</v>
      </c>
      <c r="F60" s="86">
        <v>731</v>
      </c>
    </row>
    <row r="61" spans="1:6" ht="16.05" customHeight="1">
      <c r="A61" s="190"/>
      <c r="B61" s="86" t="s">
        <v>121</v>
      </c>
      <c r="C61" s="86">
        <v>592</v>
      </c>
      <c r="D61" s="190"/>
      <c r="E61" s="86" t="s">
        <v>121</v>
      </c>
      <c r="F61" s="86">
        <v>746</v>
      </c>
    </row>
    <row r="62" spans="1:6" ht="16.05" customHeight="1">
      <c r="A62" s="190"/>
      <c r="B62" s="86" t="s">
        <v>118</v>
      </c>
      <c r="C62" s="86">
        <v>800</v>
      </c>
      <c r="D62" s="190"/>
      <c r="E62" s="86" t="s">
        <v>118</v>
      </c>
      <c r="F62" s="86">
        <v>1029</v>
      </c>
    </row>
    <row r="63" spans="1:6" ht="16.05" customHeight="1">
      <c r="A63" s="190"/>
      <c r="B63" s="86" t="s">
        <v>122</v>
      </c>
      <c r="C63" s="86">
        <v>811</v>
      </c>
      <c r="D63" s="190"/>
      <c r="E63" s="86" t="s">
        <v>122</v>
      </c>
      <c r="F63" s="86">
        <v>1037</v>
      </c>
    </row>
    <row r="64" spans="1:6" ht="16.05" customHeight="1">
      <c r="A64" s="190"/>
      <c r="B64" s="86" t="s">
        <v>119</v>
      </c>
      <c r="C64" s="86">
        <v>1198</v>
      </c>
      <c r="D64" s="190"/>
      <c r="E64" s="86" t="s">
        <v>119</v>
      </c>
      <c r="F64" s="86">
        <v>1607</v>
      </c>
    </row>
    <row r="65" spans="1:6" ht="16.05" customHeight="1">
      <c r="A65" s="191"/>
      <c r="B65" s="87" t="s">
        <v>123</v>
      </c>
      <c r="C65" s="87">
        <v>1187</v>
      </c>
      <c r="D65" s="191"/>
      <c r="E65" s="87" t="s">
        <v>123</v>
      </c>
      <c r="F65" s="87">
        <v>1592</v>
      </c>
    </row>
  </sheetData>
  <mergeCells count="12">
    <mergeCell ref="G15:G17"/>
    <mergeCell ref="I15:I17"/>
    <mergeCell ref="A18:A20"/>
    <mergeCell ref="C18:C20"/>
    <mergeCell ref="G18:G20"/>
    <mergeCell ref="I18:I20"/>
    <mergeCell ref="A50:A57"/>
    <mergeCell ref="D50:D57"/>
    <mergeCell ref="A58:A65"/>
    <mergeCell ref="D58:D65"/>
    <mergeCell ref="A15:A17"/>
    <mergeCell ref="C15:C17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60677-AAAF-4936-8B87-ED3A7E01769D}">
  <dimension ref="A1:AI631"/>
  <sheetViews>
    <sheetView topLeftCell="A133" workbookViewId="0">
      <selection activeCell="B142" sqref="B142"/>
    </sheetView>
  </sheetViews>
  <sheetFormatPr defaultRowHeight="16.05" customHeight="1"/>
  <cols>
    <col min="1" max="1" width="11.77734375" customWidth="1"/>
    <col min="2" max="2" width="17.77734375" customWidth="1"/>
    <col min="3" max="34" width="7.77734375" customWidth="1"/>
  </cols>
  <sheetData>
    <row r="1" spans="1:35" ht="16.05" customHeight="1">
      <c r="A1" s="21" t="s">
        <v>1759</v>
      </c>
      <c r="B1" s="58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</row>
    <row r="2" spans="1:35" ht="16.05" customHeight="1">
      <c r="A2" s="91" t="s">
        <v>128</v>
      </c>
      <c r="B2" s="91" t="s">
        <v>129</v>
      </c>
      <c r="C2" s="92" t="s">
        <v>130</v>
      </c>
      <c r="D2" s="92" t="s">
        <v>131</v>
      </c>
      <c r="E2" s="92" t="s">
        <v>132</v>
      </c>
      <c r="F2" s="92" t="s">
        <v>133</v>
      </c>
      <c r="G2" s="92" t="s">
        <v>134</v>
      </c>
      <c r="H2" s="92" t="s">
        <v>135</v>
      </c>
      <c r="I2" s="92" t="s">
        <v>136</v>
      </c>
      <c r="J2" s="92" t="s">
        <v>137</v>
      </c>
      <c r="K2" s="92" t="s">
        <v>138</v>
      </c>
      <c r="L2" s="92" t="s">
        <v>139</v>
      </c>
      <c r="M2" s="92" t="s">
        <v>140</v>
      </c>
      <c r="N2" s="92" t="s">
        <v>141</v>
      </c>
      <c r="O2" s="92" t="s">
        <v>142</v>
      </c>
      <c r="P2" s="92" t="s">
        <v>143</v>
      </c>
      <c r="Q2" s="92" t="s">
        <v>144</v>
      </c>
      <c r="R2" s="92" t="s">
        <v>145</v>
      </c>
      <c r="S2" s="92" t="s">
        <v>146</v>
      </c>
      <c r="T2" s="92" t="s">
        <v>147</v>
      </c>
      <c r="U2" s="92" t="s">
        <v>148</v>
      </c>
      <c r="V2" s="92" t="s">
        <v>149</v>
      </c>
      <c r="W2" s="92" t="s">
        <v>150</v>
      </c>
      <c r="X2" s="92" t="s">
        <v>151</v>
      </c>
      <c r="Y2" s="92" t="s">
        <v>152</v>
      </c>
      <c r="Z2" s="92" t="s">
        <v>153</v>
      </c>
      <c r="AA2" s="92" t="s">
        <v>154</v>
      </c>
      <c r="AB2" s="92" t="s">
        <v>155</v>
      </c>
      <c r="AC2" s="92" t="s">
        <v>156</v>
      </c>
      <c r="AD2" s="92" t="s">
        <v>157</v>
      </c>
      <c r="AE2" s="92" t="s">
        <v>158</v>
      </c>
      <c r="AF2" s="92" t="s">
        <v>159</v>
      </c>
      <c r="AG2" s="92" t="s">
        <v>160</v>
      </c>
      <c r="AH2" s="92" t="s">
        <v>161</v>
      </c>
      <c r="AI2" s="92" t="s">
        <v>162</v>
      </c>
    </row>
    <row r="3" spans="1:35" ht="16.05" customHeight="1">
      <c r="A3" s="93" t="s">
        <v>2027</v>
      </c>
      <c r="B3" s="93" t="s">
        <v>163</v>
      </c>
      <c r="C3" s="94">
        <v>0</v>
      </c>
      <c r="D3" s="94">
        <v>0</v>
      </c>
      <c r="E3" s="94">
        <v>0</v>
      </c>
      <c r="F3" s="94">
        <v>0</v>
      </c>
      <c r="G3" s="94">
        <v>0</v>
      </c>
      <c r="H3" s="94">
        <v>0</v>
      </c>
      <c r="I3" s="94">
        <v>0</v>
      </c>
      <c r="J3" s="94">
        <v>0</v>
      </c>
      <c r="K3" s="94">
        <v>0</v>
      </c>
      <c r="L3" s="94">
        <v>0</v>
      </c>
      <c r="M3" s="94">
        <v>0</v>
      </c>
      <c r="N3" s="94">
        <v>0</v>
      </c>
      <c r="O3" s="94">
        <v>0</v>
      </c>
      <c r="P3" s="94">
        <v>0</v>
      </c>
      <c r="Q3" s="94">
        <v>0</v>
      </c>
      <c r="R3" s="94">
        <v>3</v>
      </c>
      <c r="S3" s="94">
        <v>0</v>
      </c>
      <c r="T3" s="94">
        <v>0</v>
      </c>
      <c r="U3" s="94">
        <v>0</v>
      </c>
      <c r="V3" s="94">
        <v>0</v>
      </c>
      <c r="W3" s="94">
        <v>0</v>
      </c>
      <c r="X3" s="94">
        <v>0</v>
      </c>
      <c r="Y3" s="94">
        <v>0</v>
      </c>
      <c r="Z3" s="94">
        <v>3</v>
      </c>
      <c r="AA3" s="94">
        <v>0</v>
      </c>
      <c r="AB3" s="94">
        <v>1</v>
      </c>
      <c r="AC3" s="94">
        <v>0</v>
      </c>
      <c r="AD3" s="94">
        <v>3</v>
      </c>
      <c r="AE3" s="94">
        <v>1</v>
      </c>
      <c r="AF3" s="94">
        <v>3</v>
      </c>
      <c r="AG3" s="94">
        <v>3</v>
      </c>
      <c r="AH3" s="94">
        <v>252</v>
      </c>
      <c r="AI3" s="94">
        <v>182</v>
      </c>
    </row>
    <row r="4" spans="1:35" ht="16.05" customHeight="1">
      <c r="A4" s="93" t="s">
        <v>2027</v>
      </c>
      <c r="B4" s="93" t="s">
        <v>164</v>
      </c>
      <c r="C4" s="94">
        <v>724</v>
      </c>
      <c r="D4" s="94">
        <v>28</v>
      </c>
      <c r="E4" s="94">
        <v>22</v>
      </c>
      <c r="F4" s="94">
        <v>0</v>
      </c>
      <c r="G4" s="94">
        <v>17</v>
      </c>
      <c r="H4" s="94">
        <v>2</v>
      </c>
      <c r="I4" s="94">
        <v>0</v>
      </c>
      <c r="J4" s="94">
        <v>1</v>
      </c>
      <c r="K4" s="94">
        <v>69</v>
      </c>
      <c r="L4" s="94">
        <v>3</v>
      </c>
      <c r="M4" s="94">
        <v>9</v>
      </c>
      <c r="N4" s="94">
        <v>1</v>
      </c>
      <c r="O4" s="94">
        <v>4</v>
      </c>
      <c r="P4" s="94">
        <v>0</v>
      </c>
      <c r="Q4" s="94">
        <v>3</v>
      </c>
      <c r="R4" s="94">
        <v>0</v>
      </c>
      <c r="S4" s="94">
        <v>73</v>
      </c>
      <c r="T4" s="94">
        <v>2</v>
      </c>
      <c r="U4" s="94">
        <v>2</v>
      </c>
      <c r="V4" s="94">
        <v>1</v>
      </c>
      <c r="W4" s="94">
        <v>7</v>
      </c>
      <c r="X4" s="94">
        <v>2</v>
      </c>
      <c r="Y4" s="94">
        <v>1</v>
      </c>
      <c r="Z4" s="94">
        <v>0</v>
      </c>
      <c r="AA4" s="94">
        <v>11</v>
      </c>
      <c r="AB4" s="94">
        <v>0</v>
      </c>
      <c r="AC4" s="94">
        <v>1</v>
      </c>
      <c r="AD4" s="94">
        <v>0</v>
      </c>
      <c r="AE4" s="94">
        <v>3</v>
      </c>
      <c r="AF4" s="94">
        <v>1</v>
      </c>
      <c r="AG4" s="94">
        <v>0</v>
      </c>
      <c r="AH4" s="94">
        <v>0</v>
      </c>
      <c r="AI4" s="94">
        <v>277</v>
      </c>
    </row>
    <row r="5" spans="1:35" ht="16.05" customHeight="1">
      <c r="A5" s="93" t="s">
        <v>2026</v>
      </c>
      <c r="B5" s="93" t="s">
        <v>165</v>
      </c>
      <c r="C5" s="94">
        <v>0</v>
      </c>
      <c r="D5" s="94">
        <v>0</v>
      </c>
      <c r="E5" s="94">
        <v>1</v>
      </c>
      <c r="F5" s="94">
        <v>1</v>
      </c>
      <c r="G5" s="94">
        <v>0</v>
      </c>
      <c r="H5" s="94">
        <v>2</v>
      </c>
      <c r="I5" s="94">
        <v>0</v>
      </c>
      <c r="J5" s="94">
        <v>2</v>
      </c>
      <c r="K5" s="94">
        <v>1</v>
      </c>
      <c r="L5" s="94">
        <v>0</v>
      </c>
      <c r="M5" s="94">
        <v>1</v>
      </c>
      <c r="N5" s="94">
        <v>5</v>
      </c>
      <c r="O5" s="94">
        <v>0</v>
      </c>
      <c r="P5" s="94">
        <v>1</v>
      </c>
      <c r="Q5" s="94">
        <v>2</v>
      </c>
      <c r="R5" s="94">
        <v>13</v>
      </c>
      <c r="S5" s="94">
        <v>0</v>
      </c>
      <c r="T5" s="94">
        <v>1</v>
      </c>
      <c r="U5" s="94">
        <v>0</v>
      </c>
      <c r="V5" s="94">
        <v>0</v>
      </c>
      <c r="W5" s="94">
        <v>0</v>
      </c>
      <c r="X5" s="94">
        <v>2</v>
      </c>
      <c r="Y5" s="94">
        <v>2</v>
      </c>
      <c r="Z5" s="94">
        <v>15</v>
      </c>
      <c r="AA5" s="94">
        <v>0</v>
      </c>
      <c r="AB5" s="94">
        <v>0</v>
      </c>
      <c r="AC5" s="94">
        <v>0</v>
      </c>
      <c r="AD5" s="94">
        <v>11</v>
      </c>
      <c r="AE5" s="94">
        <v>1</v>
      </c>
      <c r="AF5" s="94">
        <v>13</v>
      </c>
      <c r="AG5" s="94">
        <v>13</v>
      </c>
      <c r="AH5" s="94">
        <v>354</v>
      </c>
      <c r="AI5" s="94">
        <v>164</v>
      </c>
    </row>
    <row r="6" spans="1:35" ht="16.05" customHeight="1">
      <c r="A6" s="93" t="s">
        <v>2026</v>
      </c>
      <c r="B6" s="93" t="s">
        <v>166</v>
      </c>
      <c r="C6" s="94">
        <v>1</v>
      </c>
      <c r="D6" s="94">
        <v>0</v>
      </c>
      <c r="E6" s="94">
        <v>0</v>
      </c>
      <c r="F6" s="94">
        <v>0</v>
      </c>
      <c r="G6" s="94">
        <v>0</v>
      </c>
      <c r="H6" s="94">
        <v>0</v>
      </c>
      <c r="I6" s="94">
        <v>0</v>
      </c>
      <c r="J6" s="94">
        <v>0</v>
      </c>
      <c r="K6" s="94">
        <v>0</v>
      </c>
      <c r="L6" s="94">
        <v>0</v>
      </c>
      <c r="M6" s="94">
        <v>0</v>
      </c>
      <c r="N6" s="94">
        <v>0</v>
      </c>
      <c r="O6" s="94">
        <v>0</v>
      </c>
      <c r="P6" s="94">
        <v>0</v>
      </c>
      <c r="Q6" s="94">
        <v>0</v>
      </c>
      <c r="R6" s="94">
        <v>0</v>
      </c>
      <c r="S6" s="94">
        <v>0</v>
      </c>
      <c r="T6" s="94">
        <v>0</v>
      </c>
      <c r="U6" s="94">
        <v>0</v>
      </c>
      <c r="V6" s="94">
        <v>0</v>
      </c>
      <c r="W6" s="94">
        <v>0</v>
      </c>
      <c r="X6" s="94">
        <v>0</v>
      </c>
      <c r="Y6" s="94">
        <v>0</v>
      </c>
      <c r="Z6" s="94">
        <v>0</v>
      </c>
      <c r="AA6" s="94">
        <v>0</v>
      </c>
      <c r="AB6" s="94">
        <v>0</v>
      </c>
      <c r="AC6" s="94">
        <v>0</v>
      </c>
      <c r="AD6" s="94">
        <v>0</v>
      </c>
      <c r="AE6" s="94">
        <v>0</v>
      </c>
      <c r="AF6" s="94">
        <v>0</v>
      </c>
      <c r="AG6" s="94">
        <v>0</v>
      </c>
      <c r="AH6" s="94">
        <v>0</v>
      </c>
      <c r="AI6" s="94">
        <v>2</v>
      </c>
    </row>
    <row r="7" spans="1:35" ht="16.05" customHeight="1">
      <c r="A7" s="93" t="s">
        <v>2026</v>
      </c>
      <c r="B7" s="93" t="s">
        <v>167</v>
      </c>
      <c r="C7" s="94">
        <v>473</v>
      </c>
      <c r="D7" s="94">
        <v>216</v>
      </c>
      <c r="E7" s="94">
        <v>126</v>
      </c>
      <c r="F7" s="94">
        <v>133</v>
      </c>
      <c r="G7" s="94">
        <v>121</v>
      </c>
      <c r="H7" s="94">
        <v>67</v>
      </c>
      <c r="I7" s="94">
        <v>46</v>
      </c>
      <c r="J7" s="94">
        <v>88</v>
      </c>
      <c r="K7" s="94">
        <v>111</v>
      </c>
      <c r="L7" s="94">
        <v>56</v>
      </c>
      <c r="M7" s="94">
        <v>31</v>
      </c>
      <c r="N7" s="94">
        <v>59</v>
      </c>
      <c r="O7" s="94">
        <v>60</v>
      </c>
      <c r="P7" s="94">
        <v>44</v>
      </c>
      <c r="Q7" s="94">
        <v>55</v>
      </c>
      <c r="R7" s="94">
        <v>81</v>
      </c>
      <c r="S7" s="94">
        <v>187</v>
      </c>
      <c r="T7" s="94">
        <v>49</v>
      </c>
      <c r="U7" s="94">
        <v>45</v>
      </c>
      <c r="V7" s="94">
        <v>57</v>
      </c>
      <c r="W7" s="94">
        <v>47</v>
      </c>
      <c r="X7" s="94">
        <v>18</v>
      </c>
      <c r="Y7" s="94">
        <v>51</v>
      </c>
      <c r="Z7" s="94">
        <v>83</v>
      </c>
      <c r="AA7" s="94">
        <v>109</v>
      </c>
      <c r="AB7" s="94">
        <v>48</v>
      </c>
      <c r="AC7" s="94">
        <v>30</v>
      </c>
      <c r="AD7" s="94">
        <v>87</v>
      </c>
      <c r="AE7" s="94">
        <v>93</v>
      </c>
      <c r="AF7" s="94">
        <v>80</v>
      </c>
      <c r="AG7" s="94">
        <v>113</v>
      </c>
      <c r="AH7" s="94">
        <v>450</v>
      </c>
      <c r="AI7" s="94">
        <v>462</v>
      </c>
    </row>
    <row r="8" spans="1:35" ht="16.05" customHeight="1">
      <c r="A8" s="93" t="s">
        <v>2026</v>
      </c>
      <c r="B8" s="93" t="s">
        <v>168</v>
      </c>
      <c r="C8" s="94">
        <v>0</v>
      </c>
      <c r="D8" s="94">
        <v>0</v>
      </c>
      <c r="E8" s="94">
        <v>0</v>
      </c>
      <c r="F8" s="94">
        <v>0</v>
      </c>
      <c r="G8" s="94">
        <v>0</v>
      </c>
      <c r="H8" s="94">
        <v>0</v>
      </c>
      <c r="I8" s="94">
        <v>0</v>
      </c>
      <c r="J8" s="94">
        <v>0</v>
      </c>
      <c r="K8" s="94">
        <v>0</v>
      </c>
      <c r="L8" s="94">
        <v>0</v>
      </c>
      <c r="M8" s="94">
        <v>0</v>
      </c>
      <c r="N8" s="94">
        <v>0</v>
      </c>
      <c r="O8" s="94">
        <v>0</v>
      </c>
      <c r="P8" s="94">
        <v>0</v>
      </c>
      <c r="Q8" s="94">
        <v>0</v>
      </c>
      <c r="R8" s="94">
        <v>13</v>
      </c>
      <c r="S8" s="94">
        <v>0</v>
      </c>
      <c r="T8" s="94">
        <v>0</v>
      </c>
      <c r="U8" s="94">
        <v>0</v>
      </c>
      <c r="V8" s="94">
        <v>0</v>
      </c>
      <c r="W8" s="94">
        <v>0</v>
      </c>
      <c r="X8" s="94">
        <v>0</v>
      </c>
      <c r="Y8" s="94">
        <v>0</v>
      </c>
      <c r="Z8" s="94">
        <v>10</v>
      </c>
      <c r="AA8" s="94">
        <v>0</v>
      </c>
      <c r="AB8" s="94">
        <v>0</v>
      </c>
      <c r="AC8" s="94">
        <v>0</v>
      </c>
      <c r="AD8" s="94">
        <v>8</v>
      </c>
      <c r="AE8" s="94">
        <v>1</v>
      </c>
      <c r="AF8" s="94">
        <v>7</v>
      </c>
      <c r="AG8" s="94">
        <v>7</v>
      </c>
      <c r="AH8" s="94">
        <v>2476</v>
      </c>
      <c r="AI8" s="94">
        <v>427</v>
      </c>
    </row>
    <row r="9" spans="1:35" ht="16.05" customHeight="1">
      <c r="A9" s="93" t="s">
        <v>2026</v>
      </c>
      <c r="B9" s="93" t="s">
        <v>169</v>
      </c>
      <c r="C9" s="94">
        <v>0</v>
      </c>
      <c r="D9" s="94">
        <v>0</v>
      </c>
      <c r="E9" s="94">
        <v>0</v>
      </c>
      <c r="F9" s="94">
        <v>0</v>
      </c>
      <c r="G9" s="94">
        <v>0</v>
      </c>
      <c r="H9" s="94">
        <v>0</v>
      </c>
      <c r="I9" s="94">
        <v>0</v>
      </c>
      <c r="J9" s="94">
        <v>0</v>
      </c>
      <c r="K9" s="94">
        <v>0</v>
      </c>
      <c r="L9" s="94">
        <v>0</v>
      </c>
      <c r="M9" s="94">
        <v>0</v>
      </c>
      <c r="N9" s="94">
        <v>0</v>
      </c>
      <c r="O9" s="94">
        <v>0</v>
      </c>
      <c r="P9" s="94">
        <v>0</v>
      </c>
      <c r="Q9" s="94">
        <v>0</v>
      </c>
      <c r="R9" s="94">
        <v>0</v>
      </c>
      <c r="S9" s="94">
        <v>0</v>
      </c>
      <c r="T9" s="94">
        <v>0</v>
      </c>
      <c r="U9" s="94">
        <v>0</v>
      </c>
      <c r="V9" s="94">
        <v>0</v>
      </c>
      <c r="W9" s="94">
        <v>0</v>
      </c>
      <c r="X9" s="94">
        <v>0</v>
      </c>
      <c r="Y9" s="94">
        <v>0</v>
      </c>
      <c r="Z9" s="94">
        <v>0</v>
      </c>
      <c r="AA9" s="94">
        <v>0</v>
      </c>
      <c r="AB9" s="94">
        <v>0</v>
      </c>
      <c r="AC9" s="94">
        <v>0</v>
      </c>
      <c r="AD9" s="94">
        <v>0</v>
      </c>
      <c r="AE9" s="94">
        <v>2</v>
      </c>
      <c r="AF9" s="94">
        <v>0</v>
      </c>
      <c r="AG9" s="94">
        <v>6</v>
      </c>
      <c r="AH9" s="94">
        <v>120</v>
      </c>
      <c r="AI9" s="94">
        <v>71</v>
      </c>
    </row>
    <row r="10" spans="1:35" ht="16.05" customHeight="1">
      <c r="A10" s="93" t="s">
        <v>2026</v>
      </c>
      <c r="B10" s="93" t="s">
        <v>170</v>
      </c>
      <c r="C10" s="94">
        <v>11</v>
      </c>
      <c r="D10" s="94">
        <v>34</v>
      </c>
      <c r="E10" s="94">
        <v>3</v>
      </c>
      <c r="F10" s="94">
        <v>56</v>
      </c>
      <c r="G10" s="94">
        <v>3</v>
      </c>
      <c r="H10" s="94">
        <v>6</v>
      </c>
      <c r="I10" s="94">
        <v>0</v>
      </c>
      <c r="J10" s="94">
        <v>72</v>
      </c>
      <c r="K10" s="94">
        <v>6</v>
      </c>
      <c r="L10" s="94">
        <v>2</v>
      </c>
      <c r="M10" s="94">
        <v>1</v>
      </c>
      <c r="N10" s="94">
        <v>8</v>
      </c>
      <c r="O10" s="94">
        <v>6</v>
      </c>
      <c r="P10" s="94">
        <v>0</v>
      </c>
      <c r="Q10" s="94">
        <v>3</v>
      </c>
      <c r="R10" s="94">
        <v>116</v>
      </c>
      <c r="S10" s="94">
        <v>21</v>
      </c>
      <c r="T10" s="94">
        <v>18</v>
      </c>
      <c r="U10" s="94">
        <v>1</v>
      </c>
      <c r="V10" s="94">
        <v>7</v>
      </c>
      <c r="W10" s="94">
        <v>2</v>
      </c>
      <c r="X10" s="94">
        <v>3</v>
      </c>
      <c r="Y10" s="94">
        <v>0</v>
      </c>
      <c r="Z10" s="94">
        <v>28</v>
      </c>
      <c r="AA10" s="94">
        <v>13</v>
      </c>
      <c r="AB10" s="94">
        <v>4</v>
      </c>
      <c r="AC10" s="94">
        <v>1</v>
      </c>
      <c r="AD10" s="94">
        <v>21</v>
      </c>
      <c r="AE10" s="94">
        <v>9</v>
      </c>
      <c r="AF10" s="94">
        <v>20</v>
      </c>
      <c r="AG10" s="94">
        <v>23</v>
      </c>
      <c r="AH10" s="94">
        <v>2278</v>
      </c>
      <c r="AI10" s="94">
        <v>692</v>
      </c>
    </row>
    <row r="11" spans="1:35" ht="16.05" customHeight="1">
      <c r="A11" s="93" t="s">
        <v>2026</v>
      </c>
      <c r="B11" s="93" t="s">
        <v>171</v>
      </c>
      <c r="C11" s="94">
        <v>2</v>
      </c>
      <c r="D11" s="94">
        <v>3</v>
      </c>
      <c r="E11" s="94">
        <v>0</v>
      </c>
      <c r="F11" s="94">
        <v>6</v>
      </c>
      <c r="G11" s="94">
        <v>0</v>
      </c>
      <c r="H11" s="94">
        <v>0</v>
      </c>
      <c r="I11" s="94">
        <v>2</v>
      </c>
      <c r="J11" s="94">
        <v>0</v>
      </c>
      <c r="K11" s="94">
        <v>0</v>
      </c>
      <c r="L11" s="94">
        <v>2</v>
      </c>
      <c r="M11" s="94">
        <v>0</v>
      </c>
      <c r="N11" s="94">
        <v>1</v>
      </c>
      <c r="O11" s="94">
        <v>1</v>
      </c>
      <c r="P11" s="94">
        <v>0</v>
      </c>
      <c r="Q11" s="94">
        <v>0</v>
      </c>
      <c r="R11" s="94">
        <v>2</v>
      </c>
      <c r="S11" s="94">
        <v>3</v>
      </c>
      <c r="T11" s="94">
        <v>3</v>
      </c>
      <c r="U11" s="94">
        <v>10</v>
      </c>
      <c r="V11" s="94">
        <v>46</v>
      </c>
      <c r="W11" s="94">
        <v>1</v>
      </c>
      <c r="X11" s="94">
        <v>2</v>
      </c>
      <c r="Y11" s="94">
        <v>0</v>
      </c>
      <c r="Z11" s="94">
        <v>11</v>
      </c>
      <c r="AA11" s="94">
        <v>2</v>
      </c>
      <c r="AB11" s="94">
        <v>52</v>
      </c>
      <c r="AC11" s="94">
        <v>3</v>
      </c>
      <c r="AD11" s="94">
        <v>12</v>
      </c>
      <c r="AE11" s="94">
        <v>27</v>
      </c>
      <c r="AF11" s="94">
        <v>14</v>
      </c>
      <c r="AG11" s="94">
        <v>12</v>
      </c>
      <c r="AH11" s="94">
        <v>231</v>
      </c>
      <c r="AI11" s="94">
        <v>509</v>
      </c>
    </row>
    <row r="12" spans="1:35" ht="16.05" customHeight="1">
      <c r="A12" s="93" t="s">
        <v>2026</v>
      </c>
      <c r="B12" s="93" t="s">
        <v>172</v>
      </c>
      <c r="C12" s="94">
        <v>3</v>
      </c>
      <c r="D12" s="94">
        <v>4</v>
      </c>
      <c r="E12" s="94">
        <v>0</v>
      </c>
      <c r="F12" s="94">
        <v>10</v>
      </c>
      <c r="G12" s="94">
        <v>0</v>
      </c>
      <c r="H12" s="94">
        <v>1</v>
      </c>
      <c r="I12" s="94">
        <v>1</v>
      </c>
      <c r="J12" s="94">
        <v>15</v>
      </c>
      <c r="K12" s="94">
        <v>0</v>
      </c>
      <c r="L12" s="94">
        <v>3</v>
      </c>
      <c r="M12" s="94">
        <v>1</v>
      </c>
      <c r="N12" s="94">
        <v>13</v>
      </c>
      <c r="O12" s="94">
        <v>1</v>
      </c>
      <c r="P12" s="94">
        <v>5</v>
      </c>
      <c r="Q12" s="94">
        <v>3</v>
      </c>
      <c r="R12" s="94">
        <v>82</v>
      </c>
      <c r="S12" s="94">
        <v>2</v>
      </c>
      <c r="T12" s="94">
        <v>4</v>
      </c>
      <c r="U12" s="94">
        <v>1</v>
      </c>
      <c r="V12" s="94">
        <v>9</v>
      </c>
      <c r="W12" s="94">
        <v>2</v>
      </c>
      <c r="X12" s="94">
        <v>5</v>
      </c>
      <c r="Y12" s="94">
        <v>5</v>
      </c>
      <c r="Z12" s="94">
        <v>58</v>
      </c>
      <c r="AA12" s="94">
        <v>3</v>
      </c>
      <c r="AB12" s="94">
        <v>10</v>
      </c>
      <c r="AC12" s="94">
        <v>8</v>
      </c>
      <c r="AD12" s="94">
        <v>52</v>
      </c>
      <c r="AE12" s="94">
        <v>18</v>
      </c>
      <c r="AF12" s="94">
        <v>48</v>
      </c>
      <c r="AG12" s="94">
        <v>87</v>
      </c>
      <c r="AH12" s="94">
        <v>1679</v>
      </c>
      <c r="AI12" s="94">
        <v>556</v>
      </c>
    </row>
    <row r="13" spans="1:35" ht="16.05" customHeight="1">
      <c r="A13" s="93" t="s">
        <v>2026</v>
      </c>
      <c r="B13" s="93" t="s">
        <v>173</v>
      </c>
      <c r="C13" s="94">
        <v>26</v>
      </c>
      <c r="D13" s="94">
        <v>45</v>
      </c>
      <c r="E13" s="94">
        <v>18</v>
      </c>
      <c r="F13" s="94">
        <v>45</v>
      </c>
      <c r="G13" s="94">
        <v>15</v>
      </c>
      <c r="H13" s="94">
        <v>13</v>
      </c>
      <c r="I13" s="94">
        <v>30</v>
      </c>
      <c r="J13" s="94">
        <v>42</v>
      </c>
      <c r="K13" s="94">
        <v>15</v>
      </c>
      <c r="L13" s="94">
        <v>19</v>
      </c>
      <c r="M13" s="94">
        <v>6</v>
      </c>
      <c r="N13" s="94">
        <v>16</v>
      </c>
      <c r="O13" s="94">
        <v>16</v>
      </c>
      <c r="P13" s="94">
        <v>21</v>
      </c>
      <c r="Q13" s="94">
        <v>12</v>
      </c>
      <c r="R13" s="94">
        <v>62</v>
      </c>
      <c r="S13" s="94">
        <v>49</v>
      </c>
      <c r="T13" s="94">
        <v>15</v>
      </c>
      <c r="U13" s="94">
        <v>14</v>
      </c>
      <c r="V13" s="94">
        <v>25</v>
      </c>
      <c r="W13" s="94">
        <v>20</v>
      </c>
      <c r="X13" s="94">
        <v>8</v>
      </c>
      <c r="Y13" s="94">
        <v>13</v>
      </c>
      <c r="Z13" s="94">
        <v>41</v>
      </c>
      <c r="AA13" s="94">
        <v>62</v>
      </c>
      <c r="AB13" s="94">
        <v>15</v>
      </c>
      <c r="AC13" s="94">
        <v>28</v>
      </c>
      <c r="AD13" s="94">
        <v>43</v>
      </c>
      <c r="AE13" s="94">
        <v>65</v>
      </c>
      <c r="AF13" s="94">
        <v>49</v>
      </c>
      <c r="AG13" s="94">
        <v>104</v>
      </c>
      <c r="AH13" s="94">
        <v>1041</v>
      </c>
      <c r="AI13" s="94">
        <v>333</v>
      </c>
    </row>
    <row r="14" spans="1:35" ht="16.05" customHeight="1">
      <c r="A14" s="93" t="s">
        <v>2026</v>
      </c>
      <c r="B14" s="93" t="s">
        <v>174</v>
      </c>
      <c r="C14" s="94">
        <v>0</v>
      </c>
      <c r="D14" s="94">
        <v>0</v>
      </c>
      <c r="E14" s="94">
        <v>0</v>
      </c>
      <c r="F14" s="94">
        <v>0</v>
      </c>
      <c r="G14" s="94">
        <v>0</v>
      </c>
      <c r="H14" s="94">
        <v>0</v>
      </c>
      <c r="I14" s="94">
        <v>0</v>
      </c>
      <c r="J14" s="94">
        <v>0</v>
      </c>
      <c r="K14" s="94">
        <v>0</v>
      </c>
      <c r="L14" s="94">
        <v>0</v>
      </c>
      <c r="M14" s="94">
        <v>0</v>
      </c>
      <c r="N14" s="94">
        <v>0</v>
      </c>
      <c r="O14" s="94">
        <v>0</v>
      </c>
      <c r="P14" s="94">
        <v>0</v>
      </c>
      <c r="Q14" s="94">
        <v>0</v>
      </c>
      <c r="R14" s="94">
        <v>1</v>
      </c>
      <c r="S14" s="94">
        <v>0</v>
      </c>
      <c r="T14" s="94">
        <v>0</v>
      </c>
      <c r="U14" s="94">
        <v>0</v>
      </c>
      <c r="V14" s="94">
        <v>0</v>
      </c>
      <c r="W14" s="94">
        <v>0</v>
      </c>
      <c r="X14" s="94">
        <v>1</v>
      </c>
      <c r="Y14" s="94">
        <v>0</v>
      </c>
      <c r="Z14" s="94">
        <v>1</v>
      </c>
      <c r="AA14" s="94">
        <v>0</v>
      </c>
      <c r="AB14" s="94">
        <v>0</v>
      </c>
      <c r="AC14" s="94">
        <v>1</v>
      </c>
      <c r="AD14" s="94">
        <v>0</v>
      </c>
      <c r="AE14" s="94">
        <v>0</v>
      </c>
      <c r="AF14" s="94">
        <v>0</v>
      </c>
      <c r="AG14" s="94">
        <v>0</v>
      </c>
      <c r="AH14" s="94">
        <v>181</v>
      </c>
      <c r="AI14" s="94">
        <v>501</v>
      </c>
    </row>
    <row r="15" spans="1:35" ht="16.05" customHeight="1">
      <c r="A15" s="93" t="s">
        <v>2026</v>
      </c>
      <c r="B15" s="93" t="s">
        <v>175</v>
      </c>
      <c r="C15" s="94">
        <v>65</v>
      </c>
      <c r="D15" s="94">
        <v>50</v>
      </c>
      <c r="E15" s="94">
        <v>41</v>
      </c>
      <c r="F15" s="94">
        <v>33</v>
      </c>
      <c r="G15" s="94">
        <v>44</v>
      </c>
      <c r="H15" s="94">
        <v>41</v>
      </c>
      <c r="I15" s="94">
        <v>39</v>
      </c>
      <c r="J15" s="94">
        <v>30</v>
      </c>
      <c r="K15" s="94">
        <v>55</v>
      </c>
      <c r="L15" s="94">
        <v>21</v>
      </c>
      <c r="M15" s="94">
        <v>30</v>
      </c>
      <c r="N15" s="94">
        <v>48</v>
      </c>
      <c r="O15" s="94">
        <v>74</v>
      </c>
      <c r="P15" s="94">
        <v>82</v>
      </c>
      <c r="Q15" s="94">
        <v>60</v>
      </c>
      <c r="R15" s="94">
        <v>55</v>
      </c>
      <c r="S15" s="94">
        <v>68</v>
      </c>
      <c r="T15" s="94">
        <v>26</v>
      </c>
      <c r="U15" s="94">
        <v>34</v>
      </c>
      <c r="V15" s="94">
        <v>40</v>
      </c>
      <c r="W15" s="94">
        <v>37</v>
      </c>
      <c r="X15" s="94">
        <v>43</v>
      </c>
      <c r="Y15" s="94">
        <v>93</v>
      </c>
      <c r="Z15" s="94">
        <v>78</v>
      </c>
      <c r="AA15" s="94">
        <v>79</v>
      </c>
      <c r="AB15" s="94">
        <v>58</v>
      </c>
      <c r="AC15" s="94">
        <v>57</v>
      </c>
      <c r="AD15" s="94">
        <v>136</v>
      </c>
      <c r="AE15" s="94">
        <v>99</v>
      </c>
      <c r="AF15" s="94">
        <v>128</v>
      </c>
      <c r="AG15" s="94">
        <v>98</v>
      </c>
      <c r="AH15" s="94">
        <v>223</v>
      </c>
      <c r="AI15" s="94">
        <v>553</v>
      </c>
    </row>
    <row r="16" spans="1:35" ht="16.05" customHeight="1">
      <c r="A16" s="93" t="s">
        <v>2026</v>
      </c>
      <c r="B16" s="93" t="s">
        <v>176</v>
      </c>
      <c r="C16" s="94">
        <v>893</v>
      </c>
      <c r="D16" s="94">
        <v>106</v>
      </c>
      <c r="E16" s="94">
        <v>110</v>
      </c>
      <c r="F16" s="94">
        <v>31</v>
      </c>
      <c r="G16" s="94">
        <v>94</v>
      </c>
      <c r="H16" s="94">
        <v>14</v>
      </c>
      <c r="I16" s="94">
        <v>29</v>
      </c>
      <c r="J16" s="94">
        <v>3</v>
      </c>
      <c r="K16" s="94">
        <v>116</v>
      </c>
      <c r="L16" s="94">
        <v>5</v>
      </c>
      <c r="M16" s="94">
        <v>14</v>
      </c>
      <c r="N16" s="94">
        <v>1</v>
      </c>
      <c r="O16" s="94">
        <v>28</v>
      </c>
      <c r="P16" s="94">
        <v>1</v>
      </c>
      <c r="Q16" s="94">
        <v>3</v>
      </c>
      <c r="R16" s="94">
        <v>0</v>
      </c>
      <c r="S16" s="94">
        <v>152</v>
      </c>
      <c r="T16" s="94">
        <v>13</v>
      </c>
      <c r="U16" s="94">
        <v>4</v>
      </c>
      <c r="V16" s="94">
        <v>0</v>
      </c>
      <c r="W16" s="94">
        <v>15</v>
      </c>
      <c r="X16" s="94">
        <v>1</v>
      </c>
      <c r="Y16" s="94">
        <v>1</v>
      </c>
      <c r="Z16" s="94">
        <v>0</v>
      </c>
      <c r="AA16" s="94">
        <v>34</v>
      </c>
      <c r="AB16" s="94">
        <v>0</v>
      </c>
      <c r="AC16" s="94">
        <v>1</v>
      </c>
      <c r="AD16" s="94">
        <v>0</v>
      </c>
      <c r="AE16" s="94">
        <v>1</v>
      </c>
      <c r="AF16" s="94">
        <v>1</v>
      </c>
      <c r="AG16" s="94">
        <v>0</v>
      </c>
      <c r="AH16" s="94">
        <v>2</v>
      </c>
      <c r="AI16" s="94">
        <v>477</v>
      </c>
    </row>
    <row r="17" spans="1:35" ht="16.05" customHeight="1">
      <c r="A17" s="93" t="s">
        <v>2026</v>
      </c>
      <c r="B17" s="93" t="s">
        <v>177</v>
      </c>
      <c r="C17" s="94">
        <v>63</v>
      </c>
      <c r="D17" s="94">
        <v>13</v>
      </c>
      <c r="E17" s="94">
        <v>14</v>
      </c>
      <c r="F17" s="94">
        <v>3</v>
      </c>
      <c r="G17" s="94">
        <v>6</v>
      </c>
      <c r="H17" s="94">
        <v>1</v>
      </c>
      <c r="I17" s="94">
        <v>2</v>
      </c>
      <c r="J17" s="94">
        <v>2</v>
      </c>
      <c r="K17" s="94">
        <v>5</v>
      </c>
      <c r="L17" s="94">
        <v>2</v>
      </c>
      <c r="M17" s="94">
        <v>3</v>
      </c>
      <c r="N17" s="94">
        <v>3</v>
      </c>
      <c r="O17" s="94">
        <v>5</v>
      </c>
      <c r="P17" s="94">
        <v>3</v>
      </c>
      <c r="Q17" s="94">
        <v>3</v>
      </c>
      <c r="R17" s="94">
        <v>17</v>
      </c>
      <c r="S17" s="94">
        <v>14</v>
      </c>
      <c r="T17" s="94">
        <v>6</v>
      </c>
      <c r="U17" s="94">
        <v>3</v>
      </c>
      <c r="V17" s="94">
        <v>6</v>
      </c>
      <c r="W17" s="94">
        <v>2</v>
      </c>
      <c r="X17" s="94">
        <v>5</v>
      </c>
      <c r="Y17" s="94">
        <v>6</v>
      </c>
      <c r="Z17" s="94">
        <v>15</v>
      </c>
      <c r="AA17" s="94">
        <v>13</v>
      </c>
      <c r="AB17" s="94">
        <v>7</v>
      </c>
      <c r="AC17" s="94">
        <v>9</v>
      </c>
      <c r="AD17" s="94">
        <v>22</v>
      </c>
      <c r="AE17" s="94">
        <v>23</v>
      </c>
      <c r="AF17" s="94">
        <v>27</v>
      </c>
      <c r="AG17" s="94">
        <v>55</v>
      </c>
      <c r="AH17" s="94">
        <v>391</v>
      </c>
      <c r="AI17" s="94">
        <v>345</v>
      </c>
    </row>
    <row r="18" spans="1:35" ht="16.05" customHeight="1">
      <c r="A18" s="93" t="s">
        <v>2026</v>
      </c>
      <c r="B18" s="93" t="s">
        <v>178</v>
      </c>
      <c r="C18" s="94">
        <v>0</v>
      </c>
      <c r="D18" s="94">
        <v>0</v>
      </c>
      <c r="E18" s="94">
        <v>0</v>
      </c>
      <c r="F18" s="94">
        <v>1</v>
      </c>
      <c r="G18" s="94">
        <v>0</v>
      </c>
      <c r="H18" s="94">
        <v>0</v>
      </c>
      <c r="I18" s="94">
        <v>0</v>
      </c>
      <c r="J18" s="94">
        <v>0</v>
      </c>
      <c r="K18" s="94">
        <v>0</v>
      </c>
      <c r="L18" s="94">
        <v>0</v>
      </c>
      <c r="M18" s="94">
        <v>0</v>
      </c>
      <c r="N18" s="94">
        <v>0</v>
      </c>
      <c r="O18" s="94">
        <v>0</v>
      </c>
      <c r="P18" s="94">
        <v>0</v>
      </c>
      <c r="Q18" s="94">
        <v>0</v>
      </c>
      <c r="R18" s="94">
        <v>7</v>
      </c>
      <c r="S18" s="94">
        <v>0</v>
      </c>
      <c r="T18" s="94">
        <v>1</v>
      </c>
      <c r="U18" s="94">
        <v>0</v>
      </c>
      <c r="V18" s="94">
        <v>1</v>
      </c>
      <c r="W18" s="94">
        <v>0</v>
      </c>
      <c r="X18" s="94">
        <v>0</v>
      </c>
      <c r="Y18" s="94">
        <v>1</v>
      </c>
      <c r="Z18" s="94">
        <v>7</v>
      </c>
      <c r="AA18" s="94">
        <v>1</v>
      </c>
      <c r="AB18" s="94">
        <v>1</v>
      </c>
      <c r="AC18" s="94">
        <v>0</v>
      </c>
      <c r="AD18" s="94">
        <v>11</v>
      </c>
      <c r="AE18" s="94">
        <v>3</v>
      </c>
      <c r="AF18" s="94">
        <v>9</v>
      </c>
      <c r="AG18" s="94">
        <v>13</v>
      </c>
      <c r="AH18" s="94">
        <v>798</v>
      </c>
      <c r="AI18" s="94">
        <v>332</v>
      </c>
    </row>
    <row r="19" spans="1:35" ht="16.05" customHeight="1">
      <c r="A19" s="93" t="s">
        <v>2026</v>
      </c>
      <c r="B19" s="93" t="s">
        <v>179</v>
      </c>
      <c r="C19" s="94">
        <v>107</v>
      </c>
      <c r="D19" s="94">
        <v>27</v>
      </c>
      <c r="E19" s="94">
        <v>30</v>
      </c>
      <c r="F19" s="94">
        <v>3</v>
      </c>
      <c r="G19" s="94">
        <v>17</v>
      </c>
      <c r="H19" s="94">
        <v>18</v>
      </c>
      <c r="I19" s="94">
        <v>2</v>
      </c>
      <c r="J19" s="94">
        <v>8</v>
      </c>
      <c r="K19" s="94">
        <v>11</v>
      </c>
      <c r="L19" s="94">
        <v>4</v>
      </c>
      <c r="M19" s="94">
        <v>18</v>
      </c>
      <c r="N19" s="94">
        <v>3</v>
      </c>
      <c r="O19" s="94">
        <v>1</v>
      </c>
      <c r="P19" s="94">
        <v>1</v>
      </c>
      <c r="Q19" s="94">
        <v>2</v>
      </c>
      <c r="R19" s="94">
        <v>14</v>
      </c>
      <c r="S19" s="94">
        <v>12</v>
      </c>
      <c r="T19" s="94">
        <v>1</v>
      </c>
      <c r="U19" s="94">
        <v>7</v>
      </c>
      <c r="V19" s="94">
        <v>8</v>
      </c>
      <c r="W19" s="94">
        <v>11</v>
      </c>
      <c r="X19" s="94">
        <v>5</v>
      </c>
      <c r="Y19" s="94">
        <v>1</v>
      </c>
      <c r="Z19" s="94">
        <v>13</v>
      </c>
      <c r="AA19" s="94">
        <v>5</v>
      </c>
      <c r="AB19" s="94">
        <v>5</v>
      </c>
      <c r="AC19" s="94">
        <v>6</v>
      </c>
      <c r="AD19" s="94">
        <v>7</v>
      </c>
      <c r="AE19" s="94">
        <v>8</v>
      </c>
      <c r="AF19" s="94">
        <v>10</v>
      </c>
      <c r="AG19" s="94">
        <v>20</v>
      </c>
      <c r="AH19" s="94">
        <v>382</v>
      </c>
      <c r="AI19" s="94">
        <v>303</v>
      </c>
    </row>
    <row r="20" spans="1:35" ht="16.05" customHeight="1">
      <c r="A20" s="93" t="s">
        <v>2026</v>
      </c>
      <c r="B20" s="93" t="s">
        <v>180</v>
      </c>
      <c r="C20" s="94">
        <v>1018</v>
      </c>
      <c r="D20" s="94">
        <v>64</v>
      </c>
      <c r="E20" s="94">
        <v>49</v>
      </c>
      <c r="F20" s="94">
        <v>23</v>
      </c>
      <c r="G20" s="94">
        <v>43</v>
      </c>
      <c r="H20" s="94">
        <v>7</v>
      </c>
      <c r="I20" s="94">
        <v>19</v>
      </c>
      <c r="J20" s="94">
        <v>10</v>
      </c>
      <c r="K20" s="94">
        <v>34</v>
      </c>
      <c r="L20" s="94">
        <v>8</v>
      </c>
      <c r="M20" s="94">
        <v>3</v>
      </c>
      <c r="N20" s="94">
        <v>5</v>
      </c>
      <c r="O20" s="94">
        <v>8</v>
      </c>
      <c r="P20" s="94">
        <v>16</v>
      </c>
      <c r="Q20" s="94">
        <v>8</v>
      </c>
      <c r="R20" s="94">
        <v>9</v>
      </c>
      <c r="S20" s="94">
        <v>31</v>
      </c>
      <c r="T20" s="94">
        <v>9</v>
      </c>
      <c r="U20" s="94">
        <v>6</v>
      </c>
      <c r="V20" s="94">
        <v>5</v>
      </c>
      <c r="W20" s="94">
        <v>5</v>
      </c>
      <c r="X20" s="94">
        <v>2</v>
      </c>
      <c r="Y20" s="94">
        <v>9</v>
      </c>
      <c r="Z20" s="94">
        <v>9</v>
      </c>
      <c r="AA20" s="94">
        <v>6</v>
      </c>
      <c r="AB20" s="94">
        <v>5</v>
      </c>
      <c r="AC20" s="94">
        <v>3</v>
      </c>
      <c r="AD20" s="94">
        <v>15</v>
      </c>
      <c r="AE20" s="94">
        <v>4</v>
      </c>
      <c r="AF20" s="94">
        <v>5</v>
      </c>
      <c r="AG20" s="94">
        <v>7</v>
      </c>
      <c r="AH20" s="94">
        <v>23</v>
      </c>
      <c r="AI20" s="94">
        <v>139</v>
      </c>
    </row>
    <row r="21" spans="1:35" ht="16.05" customHeight="1">
      <c r="A21" s="93" t="s">
        <v>2026</v>
      </c>
      <c r="B21" s="93" t="s">
        <v>181</v>
      </c>
      <c r="C21" s="94">
        <v>100</v>
      </c>
      <c r="D21" s="94">
        <v>49</v>
      </c>
      <c r="E21" s="94">
        <v>33</v>
      </c>
      <c r="F21" s="94">
        <v>40</v>
      </c>
      <c r="G21" s="94">
        <v>19</v>
      </c>
      <c r="H21" s="94">
        <v>48</v>
      </c>
      <c r="I21" s="94">
        <v>25</v>
      </c>
      <c r="J21" s="94">
        <v>55</v>
      </c>
      <c r="K21" s="94">
        <v>13</v>
      </c>
      <c r="L21" s="94">
        <v>20</v>
      </c>
      <c r="M21" s="94">
        <v>28</v>
      </c>
      <c r="N21" s="94">
        <v>68</v>
      </c>
      <c r="O21" s="94">
        <v>18</v>
      </c>
      <c r="P21" s="94">
        <v>35</v>
      </c>
      <c r="Q21" s="94">
        <v>25</v>
      </c>
      <c r="R21" s="94">
        <v>126</v>
      </c>
      <c r="S21" s="94">
        <v>16</v>
      </c>
      <c r="T21" s="94">
        <v>20</v>
      </c>
      <c r="U21" s="94">
        <v>16</v>
      </c>
      <c r="V21" s="94">
        <v>28</v>
      </c>
      <c r="W21" s="94">
        <v>9</v>
      </c>
      <c r="X21" s="94">
        <v>35</v>
      </c>
      <c r="Y21" s="94">
        <v>31</v>
      </c>
      <c r="Z21" s="94">
        <v>107</v>
      </c>
      <c r="AA21" s="94">
        <v>10</v>
      </c>
      <c r="AB21" s="94">
        <v>22</v>
      </c>
      <c r="AC21" s="94">
        <v>15</v>
      </c>
      <c r="AD21" s="94">
        <v>63</v>
      </c>
      <c r="AE21" s="94">
        <v>13</v>
      </c>
      <c r="AF21" s="94">
        <v>44</v>
      </c>
      <c r="AG21" s="94">
        <v>41</v>
      </c>
      <c r="AH21" s="94">
        <v>354</v>
      </c>
      <c r="AI21" s="94">
        <v>394</v>
      </c>
    </row>
    <row r="22" spans="1:35" ht="16.05" customHeight="1">
      <c r="A22" s="93" t="s">
        <v>2026</v>
      </c>
      <c r="B22" s="93" t="s">
        <v>182</v>
      </c>
      <c r="C22" s="94">
        <v>354</v>
      </c>
      <c r="D22" s="94">
        <v>88</v>
      </c>
      <c r="E22" s="94">
        <v>67</v>
      </c>
      <c r="F22" s="94">
        <v>77</v>
      </c>
      <c r="G22" s="94">
        <v>43</v>
      </c>
      <c r="H22" s="94">
        <v>38</v>
      </c>
      <c r="I22" s="94">
        <v>33</v>
      </c>
      <c r="J22" s="94">
        <v>79</v>
      </c>
      <c r="K22" s="94">
        <v>42</v>
      </c>
      <c r="L22" s="94">
        <v>24</v>
      </c>
      <c r="M22" s="94">
        <v>20</v>
      </c>
      <c r="N22" s="94">
        <v>43</v>
      </c>
      <c r="O22" s="94">
        <v>25</v>
      </c>
      <c r="P22" s="94">
        <v>29</v>
      </c>
      <c r="Q22" s="94">
        <v>44</v>
      </c>
      <c r="R22" s="94">
        <v>225</v>
      </c>
      <c r="S22" s="94">
        <v>85</v>
      </c>
      <c r="T22" s="94">
        <v>42</v>
      </c>
      <c r="U22" s="94">
        <v>27</v>
      </c>
      <c r="V22" s="94">
        <v>35</v>
      </c>
      <c r="W22" s="94">
        <v>20</v>
      </c>
      <c r="X22" s="94">
        <v>26</v>
      </c>
      <c r="Y22" s="94">
        <v>20</v>
      </c>
      <c r="Z22" s="94">
        <v>191</v>
      </c>
      <c r="AA22" s="94">
        <v>75</v>
      </c>
      <c r="AB22" s="94">
        <v>38</v>
      </c>
      <c r="AC22" s="94">
        <v>22</v>
      </c>
      <c r="AD22" s="94">
        <v>166</v>
      </c>
      <c r="AE22" s="94">
        <v>85</v>
      </c>
      <c r="AF22" s="94">
        <v>170</v>
      </c>
      <c r="AG22" s="94">
        <v>222</v>
      </c>
      <c r="AH22" s="94">
        <v>23353</v>
      </c>
      <c r="AI22" s="94">
        <v>4627</v>
      </c>
    </row>
    <row r="23" spans="1:35" ht="16.05" customHeight="1">
      <c r="A23" s="93" t="s">
        <v>2026</v>
      </c>
      <c r="B23" s="93" t="s">
        <v>183</v>
      </c>
      <c r="C23" s="94">
        <v>2034</v>
      </c>
      <c r="D23" s="94">
        <v>156</v>
      </c>
      <c r="E23" s="94">
        <v>121</v>
      </c>
      <c r="F23" s="94">
        <v>32</v>
      </c>
      <c r="G23" s="94">
        <v>138</v>
      </c>
      <c r="H23" s="94">
        <v>14</v>
      </c>
      <c r="I23" s="94">
        <v>28</v>
      </c>
      <c r="J23" s="94">
        <v>8</v>
      </c>
      <c r="K23" s="94">
        <v>151</v>
      </c>
      <c r="L23" s="94">
        <v>11</v>
      </c>
      <c r="M23" s="94">
        <v>5</v>
      </c>
      <c r="N23" s="94">
        <v>4</v>
      </c>
      <c r="O23" s="94">
        <v>35</v>
      </c>
      <c r="P23" s="94">
        <v>2</v>
      </c>
      <c r="Q23" s="94">
        <v>6</v>
      </c>
      <c r="R23" s="94">
        <v>3</v>
      </c>
      <c r="S23" s="94">
        <v>167</v>
      </c>
      <c r="T23" s="94">
        <v>5</v>
      </c>
      <c r="U23" s="94">
        <v>8</v>
      </c>
      <c r="V23" s="94">
        <v>0</v>
      </c>
      <c r="W23" s="94">
        <v>6</v>
      </c>
      <c r="X23" s="94">
        <v>1</v>
      </c>
      <c r="Y23" s="94">
        <v>3</v>
      </c>
      <c r="Z23" s="94">
        <v>1</v>
      </c>
      <c r="AA23" s="94">
        <v>50</v>
      </c>
      <c r="AB23" s="94">
        <v>5</v>
      </c>
      <c r="AC23" s="94">
        <v>1</v>
      </c>
      <c r="AD23" s="94">
        <v>0</v>
      </c>
      <c r="AE23" s="94">
        <v>10</v>
      </c>
      <c r="AF23" s="94">
        <v>2</v>
      </c>
      <c r="AG23" s="94">
        <v>5</v>
      </c>
      <c r="AH23" s="94">
        <v>4</v>
      </c>
      <c r="AI23" s="94">
        <v>1746</v>
      </c>
    </row>
    <row r="24" spans="1:35" ht="16.05" customHeight="1">
      <c r="A24" s="93" t="s">
        <v>2026</v>
      </c>
      <c r="B24" s="93" t="s">
        <v>184</v>
      </c>
      <c r="C24" s="94">
        <v>0</v>
      </c>
      <c r="D24" s="94">
        <v>1</v>
      </c>
      <c r="E24" s="94">
        <v>0</v>
      </c>
      <c r="F24" s="94">
        <v>5</v>
      </c>
      <c r="G24" s="94">
        <v>0</v>
      </c>
      <c r="H24" s="94">
        <v>0</v>
      </c>
      <c r="I24" s="94">
        <v>1</v>
      </c>
      <c r="J24" s="94">
        <v>6</v>
      </c>
      <c r="K24" s="94">
        <v>0</v>
      </c>
      <c r="L24" s="94">
        <v>0</v>
      </c>
      <c r="M24" s="94">
        <v>0</v>
      </c>
      <c r="N24" s="94">
        <v>1</v>
      </c>
      <c r="O24" s="94">
        <v>0</v>
      </c>
      <c r="P24" s="94">
        <v>1</v>
      </c>
      <c r="Q24" s="94">
        <v>1</v>
      </c>
      <c r="R24" s="94">
        <v>3</v>
      </c>
      <c r="S24" s="94">
        <v>0</v>
      </c>
      <c r="T24" s="94">
        <v>0</v>
      </c>
      <c r="U24" s="94">
        <v>0</v>
      </c>
      <c r="V24" s="94">
        <v>2</v>
      </c>
      <c r="W24" s="94">
        <v>0</v>
      </c>
      <c r="X24" s="94">
        <v>0</v>
      </c>
      <c r="Y24" s="94">
        <v>1</v>
      </c>
      <c r="Z24" s="94">
        <v>3</v>
      </c>
      <c r="AA24" s="94">
        <v>0</v>
      </c>
      <c r="AB24" s="94">
        <v>0</v>
      </c>
      <c r="AC24" s="94">
        <v>2</v>
      </c>
      <c r="AD24" s="94">
        <v>0</v>
      </c>
      <c r="AE24" s="94">
        <v>1</v>
      </c>
      <c r="AF24" s="94">
        <v>2</v>
      </c>
      <c r="AG24" s="94">
        <v>2</v>
      </c>
      <c r="AH24" s="94">
        <v>3</v>
      </c>
      <c r="AI24" s="94">
        <v>51</v>
      </c>
    </row>
    <row r="25" spans="1:35" ht="16.05" customHeight="1">
      <c r="A25" s="93" t="s">
        <v>2026</v>
      </c>
      <c r="B25" s="93" t="s">
        <v>185</v>
      </c>
      <c r="C25" s="94">
        <v>576</v>
      </c>
      <c r="D25" s="94">
        <v>92</v>
      </c>
      <c r="E25" s="94">
        <v>101</v>
      </c>
      <c r="F25" s="94">
        <v>35</v>
      </c>
      <c r="G25" s="94">
        <v>96</v>
      </c>
      <c r="H25" s="94">
        <v>10</v>
      </c>
      <c r="I25" s="94">
        <v>32</v>
      </c>
      <c r="J25" s="94">
        <v>10</v>
      </c>
      <c r="K25" s="94">
        <v>114</v>
      </c>
      <c r="L25" s="94">
        <v>6</v>
      </c>
      <c r="M25" s="94">
        <v>11</v>
      </c>
      <c r="N25" s="94">
        <v>0</v>
      </c>
      <c r="O25" s="94">
        <v>20</v>
      </c>
      <c r="P25" s="94">
        <v>5</v>
      </c>
      <c r="Q25" s="94">
        <v>7</v>
      </c>
      <c r="R25" s="94">
        <v>5</v>
      </c>
      <c r="S25" s="94">
        <v>126</v>
      </c>
      <c r="T25" s="94">
        <v>17</v>
      </c>
      <c r="U25" s="94">
        <v>7</v>
      </c>
      <c r="V25" s="94">
        <v>4</v>
      </c>
      <c r="W25" s="94">
        <v>16</v>
      </c>
      <c r="X25" s="94">
        <v>0</v>
      </c>
      <c r="Y25" s="94">
        <v>2</v>
      </c>
      <c r="Z25" s="94">
        <v>0</v>
      </c>
      <c r="AA25" s="94">
        <v>28</v>
      </c>
      <c r="AB25" s="94">
        <v>5</v>
      </c>
      <c r="AC25" s="94">
        <v>5</v>
      </c>
      <c r="AD25" s="94">
        <v>1</v>
      </c>
      <c r="AE25" s="94">
        <v>10</v>
      </c>
      <c r="AF25" s="94">
        <v>2</v>
      </c>
      <c r="AG25" s="94">
        <v>6</v>
      </c>
      <c r="AH25" s="94">
        <v>23</v>
      </c>
      <c r="AI25" s="94">
        <v>499</v>
      </c>
    </row>
    <row r="26" spans="1:35" ht="16.05" customHeight="1">
      <c r="A26" s="93" t="s">
        <v>2026</v>
      </c>
      <c r="B26" s="93" t="s">
        <v>186</v>
      </c>
      <c r="C26" s="94">
        <v>22</v>
      </c>
      <c r="D26" s="94">
        <v>38</v>
      </c>
      <c r="E26" s="94">
        <v>16</v>
      </c>
      <c r="F26" s="94">
        <v>60</v>
      </c>
      <c r="G26" s="94">
        <v>14</v>
      </c>
      <c r="H26" s="94">
        <v>18</v>
      </c>
      <c r="I26" s="94">
        <v>4</v>
      </c>
      <c r="J26" s="94">
        <v>94</v>
      </c>
      <c r="K26" s="94">
        <v>16</v>
      </c>
      <c r="L26" s="94">
        <v>19</v>
      </c>
      <c r="M26" s="94">
        <v>8</v>
      </c>
      <c r="N26" s="94">
        <v>37</v>
      </c>
      <c r="O26" s="94">
        <v>5</v>
      </c>
      <c r="P26" s="94">
        <v>11</v>
      </c>
      <c r="Q26" s="94">
        <v>3</v>
      </c>
      <c r="R26" s="94">
        <v>167</v>
      </c>
      <c r="S26" s="94">
        <v>32</v>
      </c>
      <c r="T26" s="94">
        <v>28</v>
      </c>
      <c r="U26" s="94">
        <v>16</v>
      </c>
      <c r="V26" s="94">
        <v>28</v>
      </c>
      <c r="W26" s="94">
        <v>14</v>
      </c>
      <c r="X26" s="94">
        <v>20</v>
      </c>
      <c r="Y26" s="94">
        <v>9</v>
      </c>
      <c r="Z26" s="94">
        <v>62</v>
      </c>
      <c r="AA26" s="94">
        <v>43</v>
      </c>
      <c r="AB26" s="94">
        <v>21</v>
      </c>
      <c r="AC26" s="94">
        <v>26</v>
      </c>
      <c r="AD26" s="94">
        <v>30</v>
      </c>
      <c r="AE26" s="94">
        <v>53</v>
      </c>
      <c r="AF26" s="94">
        <v>48</v>
      </c>
      <c r="AG26" s="94">
        <v>102</v>
      </c>
      <c r="AH26" s="94">
        <v>2649</v>
      </c>
      <c r="AI26" s="94">
        <v>621</v>
      </c>
    </row>
    <row r="27" spans="1:35" ht="16.05" customHeight="1">
      <c r="A27" s="93" t="s">
        <v>2026</v>
      </c>
      <c r="B27" s="93" t="s">
        <v>187</v>
      </c>
      <c r="C27" s="94">
        <v>4</v>
      </c>
      <c r="D27" s="94">
        <v>17</v>
      </c>
      <c r="E27" s="94">
        <v>7</v>
      </c>
      <c r="F27" s="94">
        <v>10</v>
      </c>
      <c r="G27" s="94">
        <v>8</v>
      </c>
      <c r="H27" s="94">
        <v>35</v>
      </c>
      <c r="I27" s="94">
        <v>0</v>
      </c>
      <c r="J27" s="94">
        <v>16</v>
      </c>
      <c r="K27" s="94">
        <v>4</v>
      </c>
      <c r="L27" s="94">
        <v>7</v>
      </c>
      <c r="M27" s="94">
        <v>16</v>
      </c>
      <c r="N27" s="94">
        <v>10</v>
      </c>
      <c r="O27" s="94">
        <v>3</v>
      </c>
      <c r="P27" s="94">
        <v>4</v>
      </c>
      <c r="Q27" s="94">
        <v>6</v>
      </c>
      <c r="R27" s="94">
        <v>42</v>
      </c>
      <c r="S27" s="94">
        <v>15</v>
      </c>
      <c r="T27" s="94">
        <v>7</v>
      </c>
      <c r="U27" s="94">
        <v>32</v>
      </c>
      <c r="V27" s="94">
        <v>13</v>
      </c>
      <c r="W27" s="94">
        <v>5</v>
      </c>
      <c r="X27" s="94">
        <v>7</v>
      </c>
      <c r="Y27" s="94">
        <v>7</v>
      </c>
      <c r="Z27" s="94">
        <v>32</v>
      </c>
      <c r="AA27" s="94">
        <v>26</v>
      </c>
      <c r="AB27" s="94">
        <v>43</v>
      </c>
      <c r="AC27" s="94">
        <v>7</v>
      </c>
      <c r="AD27" s="94">
        <v>34</v>
      </c>
      <c r="AE27" s="94">
        <v>68</v>
      </c>
      <c r="AF27" s="94">
        <v>44</v>
      </c>
      <c r="AG27" s="94">
        <v>112</v>
      </c>
      <c r="AH27" s="94">
        <v>1950</v>
      </c>
      <c r="AI27" s="94">
        <v>420</v>
      </c>
    </row>
    <row r="28" spans="1:35" ht="16.05" customHeight="1">
      <c r="A28" s="93" t="s">
        <v>2026</v>
      </c>
      <c r="B28" s="93" t="s">
        <v>188</v>
      </c>
      <c r="C28" s="94">
        <v>0</v>
      </c>
      <c r="D28" s="94">
        <v>0</v>
      </c>
      <c r="E28" s="94">
        <v>0</v>
      </c>
      <c r="F28" s="94">
        <v>0</v>
      </c>
      <c r="G28" s="94">
        <v>0</v>
      </c>
      <c r="H28" s="94">
        <v>0</v>
      </c>
      <c r="I28" s="94">
        <v>0</v>
      </c>
      <c r="J28" s="94">
        <v>0</v>
      </c>
      <c r="K28" s="94">
        <v>0</v>
      </c>
      <c r="L28" s="94">
        <v>0</v>
      </c>
      <c r="M28" s="94">
        <v>0</v>
      </c>
      <c r="N28" s="94">
        <v>0</v>
      </c>
      <c r="O28" s="94">
        <v>0</v>
      </c>
      <c r="P28" s="94">
        <v>0</v>
      </c>
      <c r="Q28" s="94">
        <v>0</v>
      </c>
      <c r="R28" s="94">
        <v>1</v>
      </c>
      <c r="S28" s="94">
        <v>0</v>
      </c>
      <c r="T28" s="94">
        <v>0</v>
      </c>
      <c r="U28" s="94">
        <v>0</v>
      </c>
      <c r="V28" s="94">
        <v>0</v>
      </c>
      <c r="W28" s="94">
        <v>0</v>
      </c>
      <c r="X28" s="94">
        <v>0</v>
      </c>
      <c r="Y28" s="94">
        <v>0</v>
      </c>
      <c r="Z28" s="94">
        <v>1</v>
      </c>
      <c r="AA28" s="94">
        <v>0</v>
      </c>
      <c r="AB28" s="94">
        <v>0</v>
      </c>
      <c r="AC28" s="94">
        <v>0</v>
      </c>
      <c r="AD28" s="94">
        <v>1</v>
      </c>
      <c r="AE28" s="94">
        <v>0</v>
      </c>
      <c r="AF28" s="94">
        <v>2</v>
      </c>
      <c r="AG28" s="94">
        <v>2</v>
      </c>
      <c r="AH28" s="94">
        <v>146</v>
      </c>
      <c r="AI28" s="94">
        <v>151</v>
      </c>
    </row>
    <row r="29" spans="1:35" ht="16.05" customHeight="1">
      <c r="A29" s="93" t="s">
        <v>2026</v>
      </c>
      <c r="B29" s="93" t="s">
        <v>189</v>
      </c>
      <c r="C29" s="94">
        <v>0</v>
      </c>
      <c r="D29" s="94">
        <v>0</v>
      </c>
      <c r="E29" s="94">
        <v>0</v>
      </c>
      <c r="F29" s="94">
        <v>1</v>
      </c>
      <c r="G29" s="94">
        <v>0</v>
      </c>
      <c r="H29" s="94">
        <v>0</v>
      </c>
      <c r="I29" s="94">
        <v>0</v>
      </c>
      <c r="J29" s="94">
        <v>6</v>
      </c>
      <c r="K29" s="94">
        <v>0</v>
      </c>
      <c r="L29" s="94">
        <v>2</v>
      </c>
      <c r="M29" s="94">
        <v>0</v>
      </c>
      <c r="N29" s="94">
        <v>4</v>
      </c>
      <c r="O29" s="94">
        <v>2</v>
      </c>
      <c r="P29" s="94">
        <v>3</v>
      </c>
      <c r="Q29" s="94">
        <v>5</v>
      </c>
      <c r="R29" s="94">
        <v>15</v>
      </c>
      <c r="S29" s="94">
        <v>0</v>
      </c>
      <c r="T29" s="94">
        <v>2</v>
      </c>
      <c r="U29" s="94">
        <v>0</v>
      </c>
      <c r="V29" s="94">
        <v>5</v>
      </c>
      <c r="W29" s="94">
        <v>2</v>
      </c>
      <c r="X29" s="94">
        <v>2</v>
      </c>
      <c r="Y29" s="94">
        <v>9</v>
      </c>
      <c r="Z29" s="94">
        <v>18</v>
      </c>
      <c r="AA29" s="94">
        <v>2</v>
      </c>
      <c r="AB29" s="94">
        <v>7</v>
      </c>
      <c r="AC29" s="94">
        <v>6</v>
      </c>
      <c r="AD29" s="94">
        <v>28</v>
      </c>
      <c r="AE29" s="94">
        <v>7</v>
      </c>
      <c r="AF29" s="94">
        <v>39</v>
      </c>
      <c r="AG29" s="94">
        <v>48</v>
      </c>
      <c r="AH29" s="94">
        <v>1999</v>
      </c>
      <c r="AI29" s="94">
        <v>874</v>
      </c>
    </row>
    <row r="30" spans="1:35" ht="16.05" customHeight="1">
      <c r="A30" s="93" t="s">
        <v>2026</v>
      </c>
      <c r="B30" s="93" t="s">
        <v>190</v>
      </c>
      <c r="C30" s="94">
        <v>11</v>
      </c>
      <c r="D30" s="94">
        <v>13</v>
      </c>
      <c r="E30" s="94">
        <v>5</v>
      </c>
      <c r="F30" s="94">
        <v>33</v>
      </c>
      <c r="G30" s="94">
        <v>9</v>
      </c>
      <c r="H30" s="94">
        <v>8</v>
      </c>
      <c r="I30" s="94">
        <v>11</v>
      </c>
      <c r="J30" s="94">
        <v>71</v>
      </c>
      <c r="K30" s="94">
        <v>10</v>
      </c>
      <c r="L30" s="94">
        <v>9</v>
      </c>
      <c r="M30" s="94">
        <v>12</v>
      </c>
      <c r="N30" s="94">
        <v>31</v>
      </c>
      <c r="O30" s="94">
        <v>15</v>
      </c>
      <c r="P30" s="94">
        <v>24</v>
      </c>
      <c r="Q30" s="94">
        <v>42</v>
      </c>
      <c r="R30" s="94">
        <v>170</v>
      </c>
      <c r="S30" s="94">
        <v>12</v>
      </c>
      <c r="T30" s="94">
        <v>29</v>
      </c>
      <c r="U30" s="94">
        <v>8</v>
      </c>
      <c r="V30" s="94">
        <v>45</v>
      </c>
      <c r="W30" s="94">
        <v>15</v>
      </c>
      <c r="X30" s="94">
        <v>25</v>
      </c>
      <c r="Y30" s="94">
        <v>32</v>
      </c>
      <c r="Z30" s="94">
        <v>141</v>
      </c>
      <c r="AA30" s="94">
        <v>32</v>
      </c>
      <c r="AB30" s="94">
        <v>52</v>
      </c>
      <c r="AC30" s="94">
        <v>29</v>
      </c>
      <c r="AD30" s="94">
        <v>145</v>
      </c>
      <c r="AE30" s="94">
        <v>63</v>
      </c>
      <c r="AF30" s="94">
        <v>165</v>
      </c>
      <c r="AG30" s="94">
        <v>206</v>
      </c>
      <c r="AH30" s="94">
        <v>1805</v>
      </c>
      <c r="AI30" s="94">
        <v>861</v>
      </c>
    </row>
    <row r="31" spans="1:35" ht="16.05" customHeight="1">
      <c r="A31" s="93" t="s">
        <v>2026</v>
      </c>
      <c r="B31" s="93" t="s">
        <v>191</v>
      </c>
      <c r="C31" s="94">
        <v>22</v>
      </c>
      <c r="D31" s="94">
        <v>10</v>
      </c>
      <c r="E31" s="94">
        <v>6</v>
      </c>
      <c r="F31" s="94">
        <v>5</v>
      </c>
      <c r="G31" s="94">
        <v>2</v>
      </c>
      <c r="H31" s="94">
        <v>2</v>
      </c>
      <c r="I31" s="94">
        <v>4</v>
      </c>
      <c r="J31" s="94">
        <v>1</v>
      </c>
      <c r="K31" s="94">
        <v>4</v>
      </c>
      <c r="L31" s="94">
        <v>1</v>
      </c>
      <c r="M31" s="94">
        <v>2</v>
      </c>
      <c r="N31" s="94">
        <v>1</v>
      </c>
      <c r="O31" s="94">
        <v>2</v>
      </c>
      <c r="P31" s="94">
        <v>0</v>
      </c>
      <c r="Q31" s="94">
        <v>1</v>
      </c>
      <c r="R31" s="94">
        <v>0</v>
      </c>
      <c r="S31" s="94">
        <v>6</v>
      </c>
      <c r="T31" s="94">
        <v>1</v>
      </c>
      <c r="U31" s="94">
        <v>0</v>
      </c>
      <c r="V31" s="94">
        <v>1</v>
      </c>
      <c r="W31" s="94">
        <v>2</v>
      </c>
      <c r="X31" s="94">
        <v>0</v>
      </c>
      <c r="Y31" s="94">
        <v>0</v>
      </c>
      <c r="Z31" s="94">
        <v>0</v>
      </c>
      <c r="AA31" s="94">
        <v>2</v>
      </c>
      <c r="AB31" s="94">
        <v>0</v>
      </c>
      <c r="AC31" s="94">
        <v>0</v>
      </c>
      <c r="AD31" s="94">
        <v>1</v>
      </c>
      <c r="AE31" s="94">
        <v>1</v>
      </c>
      <c r="AF31" s="94">
        <v>0</v>
      </c>
      <c r="AG31" s="94">
        <v>0</v>
      </c>
      <c r="AH31" s="94">
        <v>1</v>
      </c>
      <c r="AI31" s="94">
        <v>60</v>
      </c>
    </row>
    <row r="32" spans="1:35" ht="16.05" customHeight="1">
      <c r="A32" s="93" t="s">
        <v>2026</v>
      </c>
      <c r="B32" s="93" t="s">
        <v>192</v>
      </c>
      <c r="C32" s="94">
        <v>0</v>
      </c>
      <c r="D32" s="94">
        <v>0</v>
      </c>
      <c r="E32" s="94">
        <v>1</v>
      </c>
      <c r="F32" s="94">
        <v>1</v>
      </c>
      <c r="G32" s="94">
        <v>1</v>
      </c>
      <c r="H32" s="94">
        <v>1</v>
      </c>
      <c r="I32" s="94">
        <v>0</v>
      </c>
      <c r="J32" s="94">
        <v>1</v>
      </c>
      <c r="K32" s="94">
        <v>0</v>
      </c>
      <c r="L32" s="94">
        <v>1</v>
      </c>
      <c r="M32" s="94">
        <v>1</v>
      </c>
      <c r="N32" s="94">
        <v>0</v>
      </c>
      <c r="O32" s="94">
        <v>0</v>
      </c>
      <c r="P32" s="94">
        <v>0</v>
      </c>
      <c r="Q32" s="94">
        <v>1</v>
      </c>
      <c r="R32" s="94">
        <v>9</v>
      </c>
      <c r="S32" s="94">
        <v>0</v>
      </c>
      <c r="T32" s="94">
        <v>0</v>
      </c>
      <c r="U32" s="94">
        <v>1</v>
      </c>
      <c r="V32" s="94">
        <v>0</v>
      </c>
      <c r="W32" s="94">
        <v>2</v>
      </c>
      <c r="X32" s="94">
        <v>1</v>
      </c>
      <c r="Y32" s="94">
        <v>0</v>
      </c>
      <c r="Z32" s="94">
        <v>3</v>
      </c>
      <c r="AA32" s="94">
        <v>0</v>
      </c>
      <c r="AB32" s="94">
        <v>0</v>
      </c>
      <c r="AC32" s="94">
        <v>1</v>
      </c>
      <c r="AD32" s="94">
        <v>2</v>
      </c>
      <c r="AE32" s="94">
        <v>3</v>
      </c>
      <c r="AF32" s="94">
        <v>4</v>
      </c>
      <c r="AG32" s="94">
        <v>5</v>
      </c>
      <c r="AH32" s="94">
        <v>630</v>
      </c>
      <c r="AI32" s="94">
        <v>288</v>
      </c>
    </row>
    <row r="33" spans="1:35" ht="16.05" customHeight="1">
      <c r="A33" s="93" t="s">
        <v>2026</v>
      </c>
      <c r="B33" s="93" t="s">
        <v>193</v>
      </c>
      <c r="C33" s="94">
        <v>19</v>
      </c>
      <c r="D33" s="94">
        <v>2</v>
      </c>
      <c r="E33" s="94">
        <v>1</v>
      </c>
      <c r="F33" s="94">
        <v>0</v>
      </c>
      <c r="G33" s="94">
        <v>0</v>
      </c>
      <c r="H33" s="94">
        <v>0</v>
      </c>
      <c r="I33" s="94">
        <v>0</v>
      </c>
      <c r="J33" s="94">
        <v>0</v>
      </c>
      <c r="K33" s="94">
        <v>0</v>
      </c>
      <c r="L33" s="94">
        <v>0</v>
      </c>
      <c r="M33" s="94">
        <v>0</v>
      </c>
      <c r="N33" s="94">
        <v>0</v>
      </c>
      <c r="O33" s="94">
        <v>0</v>
      </c>
      <c r="P33" s="94">
        <v>0</v>
      </c>
      <c r="Q33" s="94">
        <v>0</v>
      </c>
      <c r="R33" s="94">
        <v>0</v>
      </c>
      <c r="S33" s="94">
        <v>3</v>
      </c>
      <c r="T33" s="94">
        <v>0</v>
      </c>
      <c r="U33" s="94">
        <v>0</v>
      </c>
      <c r="V33" s="94">
        <v>0</v>
      </c>
      <c r="W33" s="94">
        <v>0</v>
      </c>
      <c r="X33" s="94">
        <v>0</v>
      </c>
      <c r="Y33" s="94">
        <v>0</v>
      </c>
      <c r="Z33" s="94">
        <v>0</v>
      </c>
      <c r="AA33" s="94">
        <v>0</v>
      </c>
      <c r="AB33" s="94">
        <v>0</v>
      </c>
      <c r="AC33" s="94">
        <v>0</v>
      </c>
      <c r="AD33" s="94">
        <v>0</v>
      </c>
      <c r="AE33" s="94">
        <v>0</v>
      </c>
      <c r="AF33" s="94">
        <v>0</v>
      </c>
      <c r="AG33" s="94">
        <v>0</v>
      </c>
      <c r="AH33" s="94">
        <v>0</v>
      </c>
      <c r="AI33" s="94">
        <v>92</v>
      </c>
    </row>
    <row r="34" spans="1:35" ht="16.05" customHeight="1">
      <c r="A34" s="93" t="s">
        <v>2026</v>
      </c>
      <c r="B34" s="93" t="s">
        <v>194</v>
      </c>
      <c r="C34" s="94">
        <v>59</v>
      </c>
      <c r="D34" s="94">
        <v>9</v>
      </c>
      <c r="E34" s="94">
        <v>2</v>
      </c>
      <c r="F34" s="94">
        <v>2</v>
      </c>
      <c r="G34" s="94">
        <v>3</v>
      </c>
      <c r="H34" s="94">
        <v>0</v>
      </c>
      <c r="I34" s="94">
        <v>0</v>
      </c>
      <c r="J34" s="94">
        <v>0</v>
      </c>
      <c r="K34" s="94">
        <v>5</v>
      </c>
      <c r="L34" s="94">
        <v>0</v>
      </c>
      <c r="M34" s="94">
        <v>0</v>
      </c>
      <c r="N34" s="94">
        <v>0</v>
      </c>
      <c r="O34" s="94">
        <v>2</v>
      </c>
      <c r="P34" s="94">
        <v>0</v>
      </c>
      <c r="Q34" s="94">
        <v>0</v>
      </c>
      <c r="R34" s="94">
        <v>0</v>
      </c>
      <c r="S34" s="94">
        <v>34</v>
      </c>
      <c r="T34" s="94">
        <v>4</v>
      </c>
      <c r="U34" s="94">
        <v>3</v>
      </c>
      <c r="V34" s="94">
        <v>0</v>
      </c>
      <c r="W34" s="94">
        <v>3</v>
      </c>
      <c r="X34" s="94">
        <v>1</v>
      </c>
      <c r="Y34" s="94">
        <v>0</v>
      </c>
      <c r="Z34" s="94">
        <v>0</v>
      </c>
      <c r="AA34" s="94">
        <v>30</v>
      </c>
      <c r="AB34" s="94">
        <v>2</v>
      </c>
      <c r="AC34" s="94">
        <v>4</v>
      </c>
      <c r="AD34" s="94">
        <v>0</v>
      </c>
      <c r="AE34" s="94">
        <v>20</v>
      </c>
      <c r="AF34" s="94">
        <v>2</v>
      </c>
      <c r="AG34" s="94">
        <v>2</v>
      </c>
      <c r="AH34" s="94">
        <v>0</v>
      </c>
      <c r="AI34" s="94">
        <v>271</v>
      </c>
    </row>
    <row r="35" spans="1:35" ht="16.05" customHeight="1">
      <c r="A35" s="93" t="s">
        <v>2026</v>
      </c>
      <c r="B35" s="93" t="s">
        <v>195</v>
      </c>
      <c r="C35" s="94">
        <v>1381</v>
      </c>
      <c r="D35" s="94">
        <v>241</v>
      </c>
      <c r="E35" s="94">
        <v>149</v>
      </c>
      <c r="F35" s="94">
        <v>113</v>
      </c>
      <c r="G35" s="94">
        <v>173</v>
      </c>
      <c r="H35" s="94">
        <v>27</v>
      </c>
      <c r="I35" s="94">
        <v>60</v>
      </c>
      <c r="J35" s="94">
        <v>58</v>
      </c>
      <c r="K35" s="94">
        <v>190</v>
      </c>
      <c r="L35" s="94">
        <v>52</v>
      </c>
      <c r="M35" s="94">
        <v>22</v>
      </c>
      <c r="N35" s="94">
        <v>10</v>
      </c>
      <c r="O35" s="94">
        <v>69</v>
      </c>
      <c r="P35" s="94">
        <v>22</v>
      </c>
      <c r="Q35" s="94">
        <v>31</v>
      </c>
      <c r="R35" s="94">
        <v>25</v>
      </c>
      <c r="S35" s="94">
        <v>252</v>
      </c>
      <c r="T35" s="94">
        <v>32</v>
      </c>
      <c r="U35" s="94">
        <v>65</v>
      </c>
      <c r="V35" s="94">
        <v>16</v>
      </c>
      <c r="W35" s="94">
        <v>55</v>
      </c>
      <c r="X35" s="94">
        <v>5</v>
      </c>
      <c r="Y35" s="94">
        <v>19</v>
      </c>
      <c r="Z35" s="94">
        <v>5</v>
      </c>
      <c r="AA35" s="94">
        <v>80</v>
      </c>
      <c r="AB35" s="94">
        <v>33</v>
      </c>
      <c r="AC35" s="94">
        <v>34</v>
      </c>
      <c r="AD35" s="94">
        <v>14</v>
      </c>
      <c r="AE35" s="94">
        <v>42</v>
      </c>
      <c r="AF35" s="94">
        <v>23</v>
      </c>
      <c r="AG35" s="94">
        <v>32</v>
      </c>
      <c r="AH35" s="94">
        <v>34</v>
      </c>
      <c r="AI35" s="94">
        <v>459</v>
      </c>
    </row>
    <row r="36" spans="1:35" ht="16.05" customHeight="1">
      <c r="A36" s="93" t="s">
        <v>2026</v>
      </c>
      <c r="B36" s="93" t="s">
        <v>196</v>
      </c>
      <c r="C36" s="94">
        <v>1</v>
      </c>
      <c r="D36" s="94">
        <v>6</v>
      </c>
      <c r="E36" s="94">
        <v>1</v>
      </c>
      <c r="F36" s="94">
        <v>15</v>
      </c>
      <c r="G36" s="94">
        <v>0</v>
      </c>
      <c r="H36" s="94">
        <v>1</v>
      </c>
      <c r="I36" s="94">
        <v>4</v>
      </c>
      <c r="J36" s="94">
        <v>44</v>
      </c>
      <c r="K36" s="94">
        <v>0</v>
      </c>
      <c r="L36" s="94">
        <v>0</v>
      </c>
      <c r="M36" s="94">
        <v>2</v>
      </c>
      <c r="N36" s="94">
        <v>4</v>
      </c>
      <c r="O36" s="94">
        <v>2</v>
      </c>
      <c r="P36" s="94">
        <v>4</v>
      </c>
      <c r="Q36" s="94">
        <v>5</v>
      </c>
      <c r="R36" s="94">
        <v>115</v>
      </c>
      <c r="S36" s="94">
        <v>3</v>
      </c>
      <c r="T36" s="94">
        <v>11</v>
      </c>
      <c r="U36" s="94">
        <v>0</v>
      </c>
      <c r="V36" s="94">
        <v>26</v>
      </c>
      <c r="W36" s="94">
        <v>2</v>
      </c>
      <c r="X36" s="94">
        <v>5</v>
      </c>
      <c r="Y36" s="94">
        <v>2</v>
      </c>
      <c r="Z36" s="94">
        <v>61</v>
      </c>
      <c r="AA36" s="94">
        <v>15</v>
      </c>
      <c r="AB36" s="94">
        <v>24</v>
      </c>
      <c r="AC36" s="94">
        <v>4</v>
      </c>
      <c r="AD36" s="94">
        <v>35</v>
      </c>
      <c r="AE36" s="94">
        <v>32</v>
      </c>
      <c r="AF36" s="94">
        <v>25</v>
      </c>
      <c r="AG36" s="94">
        <v>58</v>
      </c>
      <c r="AH36" s="94">
        <v>977</v>
      </c>
      <c r="AI36" s="94">
        <v>679</v>
      </c>
    </row>
    <row r="37" spans="1:35" ht="16.05" customHeight="1">
      <c r="A37" s="93" t="s">
        <v>2026</v>
      </c>
      <c r="B37" s="93" t="s">
        <v>197</v>
      </c>
      <c r="C37" s="94">
        <v>1</v>
      </c>
      <c r="D37" s="94">
        <v>5</v>
      </c>
      <c r="E37" s="94">
        <v>1</v>
      </c>
      <c r="F37" s="94">
        <v>14</v>
      </c>
      <c r="G37" s="94">
        <v>8</v>
      </c>
      <c r="H37" s="94">
        <v>2</v>
      </c>
      <c r="I37" s="94">
        <v>2</v>
      </c>
      <c r="J37" s="94">
        <v>66</v>
      </c>
      <c r="K37" s="94">
        <v>7</v>
      </c>
      <c r="L37" s="94">
        <v>13</v>
      </c>
      <c r="M37" s="94">
        <v>2</v>
      </c>
      <c r="N37" s="94">
        <v>11</v>
      </c>
      <c r="O37" s="94">
        <v>19</v>
      </c>
      <c r="P37" s="94">
        <v>6</v>
      </c>
      <c r="Q37" s="94">
        <v>8</v>
      </c>
      <c r="R37" s="94">
        <v>161</v>
      </c>
      <c r="S37" s="94">
        <v>6</v>
      </c>
      <c r="T37" s="94">
        <v>2</v>
      </c>
      <c r="U37" s="94">
        <v>9</v>
      </c>
      <c r="V37" s="94">
        <v>39</v>
      </c>
      <c r="W37" s="94">
        <v>9</v>
      </c>
      <c r="X37" s="94">
        <v>2</v>
      </c>
      <c r="Y37" s="94">
        <v>38</v>
      </c>
      <c r="Z37" s="94">
        <v>67</v>
      </c>
      <c r="AA37" s="94">
        <v>41</v>
      </c>
      <c r="AB37" s="94">
        <v>20</v>
      </c>
      <c r="AC37" s="94">
        <v>29</v>
      </c>
      <c r="AD37" s="94">
        <v>92</v>
      </c>
      <c r="AE37" s="94">
        <v>63</v>
      </c>
      <c r="AF37" s="94">
        <v>104</v>
      </c>
      <c r="AG37" s="94">
        <v>197</v>
      </c>
      <c r="AH37" s="94">
        <v>1024</v>
      </c>
      <c r="AI37" s="94">
        <v>690</v>
      </c>
    </row>
    <row r="38" spans="1:35" ht="16.05" customHeight="1">
      <c r="A38" s="93" t="s">
        <v>2026</v>
      </c>
      <c r="B38" s="93" t="s">
        <v>198</v>
      </c>
      <c r="C38" s="94">
        <v>2083</v>
      </c>
      <c r="D38" s="94">
        <v>360</v>
      </c>
      <c r="E38" s="94">
        <v>174</v>
      </c>
      <c r="F38" s="94">
        <v>174</v>
      </c>
      <c r="G38" s="94">
        <v>141</v>
      </c>
      <c r="H38" s="94">
        <v>56</v>
      </c>
      <c r="I38" s="94">
        <v>59</v>
      </c>
      <c r="J38" s="94">
        <v>130</v>
      </c>
      <c r="K38" s="94">
        <v>182</v>
      </c>
      <c r="L38" s="94">
        <v>23</v>
      </c>
      <c r="M38" s="94">
        <v>34</v>
      </c>
      <c r="N38" s="94">
        <v>20</v>
      </c>
      <c r="O38" s="94">
        <v>63</v>
      </c>
      <c r="P38" s="94">
        <v>9</v>
      </c>
      <c r="Q38" s="94">
        <v>67</v>
      </c>
      <c r="R38" s="94">
        <v>75</v>
      </c>
      <c r="S38" s="94">
        <v>372</v>
      </c>
      <c r="T38" s="94">
        <v>40</v>
      </c>
      <c r="U38" s="94">
        <v>23</v>
      </c>
      <c r="V38" s="94">
        <v>9</v>
      </c>
      <c r="W38" s="94">
        <v>52</v>
      </c>
      <c r="X38" s="94">
        <v>3</v>
      </c>
      <c r="Y38" s="94">
        <v>15</v>
      </c>
      <c r="Z38" s="94">
        <v>11</v>
      </c>
      <c r="AA38" s="94">
        <v>232</v>
      </c>
      <c r="AB38" s="94">
        <v>8</v>
      </c>
      <c r="AC38" s="94">
        <v>16</v>
      </c>
      <c r="AD38" s="94">
        <v>3</v>
      </c>
      <c r="AE38" s="94">
        <v>151</v>
      </c>
      <c r="AF38" s="94">
        <v>8</v>
      </c>
      <c r="AG38" s="94">
        <v>80</v>
      </c>
      <c r="AH38" s="94">
        <v>33</v>
      </c>
      <c r="AI38" s="94">
        <v>631</v>
      </c>
    </row>
    <row r="39" spans="1:35" ht="16.05" customHeight="1">
      <c r="A39" s="93" t="s">
        <v>2026</v>
      </c>
      <c r="B39" s="93" t="s">
        <v>199</v>
      </c>
      <c r="C39" s="94">
        <v>27</v>
      </c>
      <c r="D39" s="94">
        <v>19</v>
      </c>
      <c r="E39" s="94">
        <v>2</v>
      </c>
      <c r="F39" s="94">
        <v>18</v>
      </c>
      <c r="G39" s="94">
        <v>3</v>
      </c>
      <c r="H39" s="94">
        <v>3</v>
      </c>
      <c r="I39" s="94">
        <v>1</v>
      </c>
      <c r="J39" s="94">
        <v>29</v>
      </c>
      <c r="K39" s="94">
        <v>11</v>
      </c>
      <c r="L39" s="94">
        <v>1</v>
      </c>
      <c r="M39" s="94">
        <v>1</v>
      </c>
      <c r="N39" s="94">
        <v>3</v>
      </c>
      <c r="O39" s="94">
        <v>3</v>
      </c>
      <c r="P39" s="94">
        <v>1</v>
      </c>
      <c r="Q39" s="94">
        <v>7</v>
      </c>
      <c r="R39" s="94">
        <v>46</v>
      </c>
      <c r="S39" s="94">
        <v>36</v>
      </c>
      <c r="T39" s="94">
        <v>4</v>
      </c>
      <c r="U39" s="94">
        <v>4</v>
      </c>
      <c r="V39" s="94">
        <v>4</v>
      </c>
      <c r="W39" s="94">
        <v>7</v>
      </c>
      <c r="X39" s="94">
        <v>2</v>
      </c>
      <c r="Y39" s="94">
        <v>3</v>
      </c>
      <c r="Z39" s="94">
        <v>16</v>
      </c>
      <c r="AA39" s="94">
        <v>39</v>
      </c>
      <c r="AB39" s="94">
        <v>11</v>
      </c>
      <c r="AC39" s="94">
        <v>13</v>
      </c>
      <c r="AD39" s="94">
        <v>19</v>
      </c>
      <c r="AE39" s="94">
        <v>48</v>
      </c>
      <c r="AF39" s="94">
        <v>40</v>
      </c>
      <c r="AG39" s="94">
        <v>68</v>
      </c>
      <c r="AH39" s="94">
        <v>568</v>
      </c>
      <c r="AI39" s="94">
        <v>728</v>
      </c>
    </row>
    <row r="40" spans="1:35" ht="16.05" customHeight="1">
      <c r="A40" s="93" t="s">
        <v>2026</v>
      </c>
      <c r="B40" s="93" t="s">
        <v>200</v>
      </c>
      <c r="C40" s="94">
        <v>9</v>
      </c>
      <c r="D40" s="94">
        <v>8</v>
      </c>
      <c r="E40" s="94">
        <v>3</v>
      </c>
      <c r="F40" s="94">
        <v>11</v>
      </c>
      <c r="G40" s="94">
        <v>4</v>
      </c>
      <c r="H40" s="94">
        <v>6</v>
      </c>
      <c r="I40" s="94">
        <v>9</v>
      </c>
      <c r="J40" s="94">
        <v>30</v>
      </c>
      <c r="K40" s="94">
        <v>6</v>
      </c>
      <c r="L40" s="94">
        <v>5</v>
      </c>
      <c r="M40" s="94">
        <v>3</v>
      </c>
      <c r="N40" s="94">
        <v>4</v>
      </c>
      <c r="O40" s="94">
        <v>2</v>
      </c>
      <c r="P40" s="94">
        <v>10</v>
      </c>
      <c r="Q40" s="94">
        <v>32</v>
      </c>
      <c r="R40" s="94">
        <v>39</v>
      </c>
      <c r="S40" s="94">
        <v>4</v>
      </c>
      <c r="T40" s="94">
        <v>12</v>
      </c>
      <c r="U40" s="94">
        <v>8</v>
      </c>
      <c r="V40" s="94">
        <v>15</v>
      </c>
      <c r="W40" s="94">
        <v>7</v>
      </c>
      <c r="X40" s="94">
        <v>7</v>
      </c>
      <c r="Y40" s="94">
        <v>4</v>
      </c>
      <c r="Z40" s="94">
        <v>30</v>
      </c>
      <c r="AA40" s="94">
        <v>12</v>
      </c>
      <c r="AB40" s="94">
        <v>23</v>
      </c>
      <c r="AC40" s="94">
        <v>9</v>
      </c>
      <c r="AD40" s="94">
        <v>26</v>
      </c>
      <c r="AE40" s="94">
        <v>31</v>
      </c>
      <c r="AF40" s="94">
        <v>57</v>
      </c>
      <c r="AG40" s="94">
        <v>35</v>
      </c>
      <c r="AH40" s="94">
        <v>138</v>
      </c>
      <c r="AI40" s="94">
        <v>550</v>
      </c>
    </row>
    <row r="41" spans="1:35" ht="16.05" customHeight="1">
      <c r="A41" s="93" t="s">
        <v>2026</v>
      </c>
      <c r="B41" s="93" t="s">
        <v>201</v>
      </c>
      <c r="C41" s="94">
        <v>403</v>
      </c>
      <c r="D41" s="94">
        <v>77</v>
      </c>
      <c r="E41" s="94">
        <v>44</v>
      </c>
      <c r="F41" s="94">
        <v>36</v>
      </c>
      <c r="G41" s="94">
        <v>32</v>
      </c>
      <c r="H41" s="94">
        <v>14</v>
      </c>
      <c r="I41" s="94">
        <v>16</v>
      </c>
      <c r="J41" s="94">
        <v>20</v>
      </c>
      <c r="K41" s="94">
        <v>26</v>
      </c>
      <c r="L41" s="94">
        <v>6</v>
      </c>
      <c r="M41" s="94">
        <v>5</v>
      </c>
      <c r="N41" s="94">
        <v>8</v>
      </c>
      <c r="O41" s="94">
        <v>15</v>
      </c>
      <c r="P41" s="94">
        <v>2</v>
      </c>
      <c r="Q41" s="94">
        <v>5</v>
      </c>
      <c r="R41" s="94">
        <v>15</v>
      </c>
      <c r="S41" s="94">
        <v>93</v>
      </c>
      <c r="T41" s="94">
        <v>6</v>
      </c>
      <c r="U41" s="94">
        <v>4</v>
      </c>
      <c r="V41" s="94">
        <v>3</v>
      </c>
      <c r="W41" s="94">
        <v>4</v>
      </c>
      <c r="X41" s="94">
        <v>1</v>
      </c>
      <c r="Y41" s="94">
        <v>2</v>
      </c>
      <c r="Z41" s="94">
        <v>5</v>
      </c>
      <c r="AA41" s="94">
        <v>32</v>
      </c>
      <c r="AB41" s="94">
        <v>3</v>
      </c>
      <c r="AC41" s="94">
        <v>3</v>
      </c>
      <c r="AD41" s="94">
        <v>0</v>
      </c>
      <c r="AE41" s="94">
        <v>5</v>
      </c>
      <c r="AF41" s="94">
        <v>3</v>
      </c>
      <c r="AG41" s="94">
        <v>10</v>
      </c>
      <c r="AH41" s="94">
        <v>38</v>
      </c>
      <c r="AI41" s="94">
        <v>133</v>
      </c>
    </row>
    <row r="42" spans="1:35" ht="16.05" customHeight="1">
      <c r="A42" s="93" t="s">
        <v>2026</v>
      </c>
      <c r="B42" s="93" t="s">
        <v>202</v>
      </c>
      <c r="C42" s="94">
        <v>0</v>
      </c>
      <c r="D42" s="94">
        <v>0</v>
      </c>
      <c r="E42" s="94">
        <v>0</v>
      </c>
      <c r="F42" s="94">
        <v>7</v>
      </c>
      <c r="G42" s="94">
        <v>0</v>
      </c>
      <c r="H42" s="94">
        <v>0</v>
      </c>
      <c r="I42" s="94">
        <v>0</v>
      </c>
      <c r="J42" s="94">
        <v>10</v>
      </c>
      <c r="K42" s="94">
        <v>0</v>
      </c>
      <c r="L42" s="94">
        <v>1</v>
      </c>
      <c r="M42" s="94">
        <v>0</v>
      </c>
      <c r="N42" s="94">
        <v>3</v>
      </c>
      <c r="O42" s="94">
        <v>0</v>
      </c>
      <c r="P42" s="94">
        <v>1</v>
      </c>
      <c r="Q42" s="94">
        <v>0</v>
      </c>
      <c r="R42" s="94">
        <v>25</v>
      </c>
      <c r="S42" s="94">
        <v>0</v>
      </c>
      <c r="T42" s="94">
        <v>0</v>
      </c>
      <c r="U42" s="94">
        <v>0</v>
      </c>
      <c r="V42" s="94">
        <v>2</v>
      </c>
      <c r="W42" s="94">
        <v>1</v>
      </c>
      <c r="X42" s="94">
        <v>0</v>
      </c>
      <c r="Y42" s="94">
        <v>1</v>
      </c>
      <c r="Z42" s="94">
        <v>12</v>
      </c>
      <c r="AA42" s="94">
        <v>0</v>
      </c>
      <c r="AB42" s="94">
        <v>0</v>
      </c>
      <c r="AC42" s="94">
        <v>1</v>
      </c>
      <c r="AD42" s="94">
        <v>7</v>
      </c>
      <c r="AE42" s="94">
        <v>0</v>
      </c>
      <c r="AF42" s="94">
        <v>5</v>
      </c>
      <c r="AG42" s="94">
        <v>6</v>
      </c>
      <c r="AH42" s="94">
        <v>502</v>
      </c>
      <c r="AI42" s="94">
        <v>261</v>
      </c>
    </row>
    <row r="43" spans="1:35" ht="16.05" customHeight="1">
      <c r="A43" s="93" t="s">
        <v>2026</v>
      </c>
      <c r="B43" s="93" t="s">
        <v>203</v>
      </c>
      <c r="C43" s="94">
        <v>131</v>
      </c>
      <c r="D43" s="94">
        <v>29</v>
      </c>
      <c r="E43" s="94">
        <v>26</v>
      </c>
      <c r="F43" s="94">
        <v>6</v>
      </c>
      <c r="G43" s="94">
        <v>16</v>
      </c>
      <c r="H43" s="94">
        <v>10</v>
      </c>
      <c r="I43" s="94">
        <v>5</v>
      </c>
      <c r="J43" s="94">
        <v>9</v>
      </c>
      <c r="K43" s="94">
        <v>24</v>
      </c>
      <c r="L43" s="94">
        <v>5</v>
      </c>
      <c r="M43" s="94">
        <v>11</v>
      </c>
      <c r="N43" s="94">
        <v>6</v>
      </c>
      <c r="O43" s="94">
        <v>9</v>
      </c>
      <c r="P43" s="94">
        <v>1</v>
      </c>
      <c r="Q43" s="94">
        <v>4</v>
      </c>
      <c r="R43" s="94">
        <v>10</v>
      </c>
      <c r="S43" s="94">
        <v>28</v>
      </c>
      <c r="T43" s="94">
        <v>3</v>
      </c>
      <c r="U43" s="94">
        <v>7</v>
      </c>
      <c r="V43" s="94">
        <v>6</v>
      </c>
      <c r="W43" s="94">
        <v>6</v>
      </c>
      <c r="X43" s="94">
        <v>6</v>
      </c>
      <c r="Y43" s="94">
        <v>6</v>
      </c>
      <c r="Z43" s="94">
        <v>9</v>
      </c>
      <c r="AA43" s="94">
        <v>10</v>
      </c>
      <c r="AB43" s="94">
        <v>7</v>
      </c>
      <c r="AC43" s="94">
        <v>2</v>
      </c>
      <c r="AD43" s="94">
        <v>6</v>
      </c>
      <c r="AE43" s="94">
        <v>8</v>
      </c>
      <c r="AF43" s="94">
        <v>6</v>
      </c>
      <c r="AG43" s="94">
        <v>11</v>
      </c>
      <c r="AH43" s="94">
        <v>78</v>
      </c>
      <c r="AI43" s="94">
        <v>193</v>
      </c>
    </row>
    <row r="44" spans="1:35" ht="16.05" customHeight="1">
      <c r="A44" s="93" t="s">
        <v>2026</v>
      </c>
      <c r="B44" s="93" t="s">
        <v>204</v>
      </c>
      <c r="C44" s="94">
        <v>5</v>
      </c>
      <c r="D44" s="94">
        <v>7</v>
      </c>
      <c r="E44" s="94">
        <v>3</v>
      </c>
      <c r="F44" s="94">
        <v>6</v>
      </c>
      <c r="G44" s="94">
        <v>2</v>
      </c>
      <c r="H44" s="94">
        <v>7</v>
      </c>
      <c r="I44" s="94">
        <v>1</v>
      </c>
      <c r="J44" s="94">
        <v>8</v>
      </c>
      <c r="K44" s="94">
        <v>1</v>
      </c>
      <c r="L44" s="94">
        <v>0</v>
      </c>
      <c r="M44" s="94">
        <v>1</v>
      </c>
      <c r="N44" s="94">
        <v>6</v>
      </c>
      <c r="O44" s="94">
        <v>0</v>
      </c>
      <c r="P44" s="94">
        <v>1</v>
      </c>
      <c r="Q44" s="94">
        <v>2</v>
      </c>
      <c r="R44" s="94">
        <v>15</v>
      </c>
      <c r="S44" s="94">
        <v>3</v>
      </c>
      <c r="T44" s="94">
        <v>2</v>
      </c>
      <c r="U44" s="94">
        <v>4</v>
      </c>
      <c r="V44" s="94">
        <v>1</v>
      </c>
      <c r="W44" s="94">
        <v>0</v>
      </c>
      <c r="X44" s="94">
        <v>1</v>
      </c>
      <c r="Y44" s="94">
        <v>0</v>
      </c>
      <c r="Z44" s="94">
        <v>11</v>
      </c>
      <c r="AA44" s="94">
        <v>2</v>
      </c>
      <c r="AB44" s="94">
        <v>3</v>
      </c>
      <c r="AC44" s="94">
        <v>0</v>
      </c>
      <c r="AD44" s="94">
        <v>4</v>
      </c>
      <c r="AE44" s="94">
        <v>7</v>
      </c>
      <c r="AF44" s="94">
        <v>1</v>
      </c>
      <c r="AG44" s="94">
        <v>14</v>
      </c>
      <c r="AH44" s="94">
        <v>286</v>
      </c>
      <c r="AI44" s="94">
        <v>128</v>
      </c>
    </row>
    <row r="45" spans="1:35" ht="16.05" customHeight="1">
      <c r="A45" s="93" t="s">
        <v>2026</v>
      </c>
      <c r="B45" s="93" t="s">
        <v>205</v>
      </c>
      <c r="C45" s="94">
        <v>18</v>
      </c>
      <c r="D45" s="94">
        <v>23</v>
      </c>
      <c r="E45" s="94">
        <v>7</v>
      </c>
      <c r="F45" s="94">
        <v>58</v>
      </c>
      <c r="G45" s="94">
        <v>1</v>
      </c>
      <c r="H45" s="94">
        <v>11</v>
      </c>
      <c r="I45" s="94">
        <v>5</v>
      </c>
      <c r="J45" s="94">
        <v>81</v>
      </c>
      <c r="K45" s="94">
        <v>4</v>
      </c>
      <c r="L45" s="94">
        <v>2</v>
      </c>
      <c r="M45" s="94">
        <v>2</v>
      </c>
      <c r="N45" s="94">
        <v>20</v>
      </c>
      <c r="O45" s="94">
        <v>1</v>
      </c>
      <c r="P45" s="94">
        <v>4</v>
      </c>
      <c r="Q45" s="94">
        <v>0</v>
      </c>
      <c r="R45" s="94">
        <v>135</v>
      </c>
      <c r="S45" s="94">
        <v>13</v>
      </c>
      <c r="T45" s="94">
        <v>37</v>
      </c>
      <c r="U45" s="94">
        <v>2</v>
      </c>
      <c r="V45" s="94">
        <v>22</v>
      </c>
      <c r="W45" s="94">
        <v>1</v>
      </c>
      <c r="X45" s="94">
        <v>8</v>
      </c>
      <c r="Y45" s="94">
        <v>3</v>
      </c>
      <c r="Z45" s="94">
        <v>56</v>
      </c>
      <c r="AA45" s="94">
        <v>39</v>
      </c>
      <c r="AB45" s="94">
        <v>23</v>
      </c>
      <c r="AC45" s="94">
        <v>7</v>
      </c>
      <c r="AD45" s="94">
        <v>42</v>
      </c>
      <c r="AE45" s="94">
        <v>8</v>
      </c>
      <c r="AF45" s="94">
        <v>39</v>
      </c>
      <c r="AG45" s="94">
        <v>48</v>
      </c>
      <c r="AH45" s="94">
        <v>2463</v>
      </c>
      <c r="AI45" s="94">
        <v>550</v>
      </c>
    </row>
    <row r="46" spans="1:35" ht="16.05" customHeight="1">
      <c r="A46" s="93" t="s">
        <v>2026</v>
      </c>
      <c r="B46" s="93" t="s">
        <v>206</v>
      </c>
      <c r="C46" s="94">
        <v>55</v>
      </c>
      <c r="D46" s="94">
        <v>0</v>
      </c>
      <c r="E46" s="94">
        <v>0</v>
      </c>
      <c r="F46" s="94">
        <v>0</v>
      </c>
      <c r="G46" s="94">
        <v>0</v>
      </c>
      <c r="H46" s="94">
        <v>0</v>
      </c>
      <c r="I46" s="94">
        <v>0</v>
      </c>
      <c r="J46" s="94">
        <v>0</v>
      </c>
      <c r="K46" s="94">
        <v>1</v>
      </c>
      <c r="L46" s="94">
        <v>0</v>
      </c>
      <c r="M46" s="94">
        <v>0</v>
      </c>
      <c r="N46" s="94">
        <v>0</v>
      </c>
      <c r="O46" s="94">
        <v>0</v>
      </c>
      <c r="P46" s="94">
        <v>0</v>
      </c>
      <c r="Q46" s="94">
        <v>0</v>
      </c>
      <c r="R46" s="94">
        <v>0</v>
      </c>
      <c r="S46" s="94">
        <v>2</v>
      </c>
      <c r="T46" s="94">
        <v>0</v>
      </c>
      <c r="U46" s="94">
        <v>0</v>
      </c>
      <c r="V46" s="94">
        <v>0</v>
      </c>
      <c r="W46" s="94">
        <v>0</v>
      </c>
      <c r="X46" s="94">
        <v>0</v>
      </c>
      <c r="Y46" s="94">
        <v>0</v>
      </c>
      <c r="Z46" s="94">
        <v>0</v>
      </c>
      <c r="AA46" s="94">
        <v>0</v>
      </c>
      <c r="AB46" s="94">
        <v>0</v>
      </c>
      <c r="AC46" s="94">
        <v>0</v>
      </c>
      <c r="AD46" s="94">
        <v>0</v>
      </c>
      <c r="AE46" s="94">
        <v>0</v>
      </c>
      <c r="AF46" s="94">
        <v>0</v>
      </c>
      <c r="AG46" s="94">
        <v>0</v>
      </c>
      <c r="AH46" s="94">
        <v>0</v>
      </c>
      <c r="AI46" s="94">
        <v>148</v>
      </c>
    </row>
    <row r="47" spans="1:35" ht="16.05" customHeight="1">
      <c r="A47" s="93" t="s">
        <v>2026</v>
      </c>
      <c r="B47" s="93" t="s">
        <v>207</v>
      </c>
      <c r="C47" s="94">
        <v>552</v>
      </c>
      <c r="D47" s="94">
        <v>33</v>
      </c>
      <c r="E47" s="94">
        <v>29</v>
      </c>
      <c r="F47" s="94">
        <v>0</v>
      </c>
      <c r="G47" s="94">
        <v>27</v>
      </c>
      <c r="H47" s="94">
        <v>4</v>
      </c>
      <c r="I47" s="94">
        <v>0</v>
      </c>
      <c r="J47" s="94">
        <v>0</v>
      </c>
      <c r="K47" s="94">
        <v>46</v>
      </c>
      <c r="L47" s="94">
        <v>1</v>
      </c>
      <c r="M47" s="94">
        <v>4</v>
      </c>
      <c r="N47" s="94">
        <v>2</v>
      </c>
      <c r="O47" s="94">
        <v>0</v>
      </c>
      <c r="P47" s="94">
        <v>6</v>
      </c>
      <c r="Q47" s="94">
        <v>0</v>
      </c>
      <c r="R47" s="94">
        <v>0</v>
      </c>
      <c r="S47" s="94">
        <v>59</v>
      </c>
      <c r="T47" s="94">
        <v>5</v>
      </c>
      <c r="U47" s="94">
        <v>2</v>
      </c>
      <c r="V47" s="94">
        <v>1</v>
      </c>
      <c r="W47" s="94">
        <v>11</v>
      </c>
      <c r="X47" s="94">
        <v>0</v>
      </c>
      <c r="Y47" s="94">
        <v>2</v>
      </c>
      <c r="Z47" s="94">
        <v>0</v>
      </c>
      <c r="AA47" s="94">
        <v>4</v>
      </c>
      <c r="AB47" s="94">
        <v>1</v>
      </c>
      <c r="AC47" s="94">
        <v>9</v>
      </c>
      <c r="AD47" s="94">
        <v>0</v>
      </c>
      <c r="AE47" s="94">
        <v>0</v>
      </c>
      <c r="AF47" s="94">
        <v>2</v>
      </c>
      <c r="AG47" s="94">
        <v>0</v>
      </c>
      <c r="AH47" s="94">
        <v>0</v>
      </c>
      <c r="AI47" s="94">
        <v>529</v>
      </c>
    </row>
    <row r="48" spans="1:35" ht="16.05" customHeight="1">
      <c r="A48" s="93" t="s">
        <v>2026</v>
      </c>
      <c r="B48" s="93" t="s">
        <v>208</v>
      </c>
      <c r="C48" s="94">
        <v>0</v>
      </c>
      <c r="D48" s="94">
        <v>5</v>
      </c>
      <c r="E48" s="94">
        <v>1</v>
      </c>
      <c r="F48" s="94">
        <v>10</v>
      </c>
      <c r="G48" s="94">
        <v>2</v>
      </c>
      <c r="H48" s="94">
        <v>1</v>
      </c>
      <c r="I48" s="94">
        <v>11</v>
      </c>
      <c r="J48" s="94">
        <v>10</v>
      </c>
      <c r="K48" s="94">
        <v>4</v>
      </c>
      <c r="L48" s="94">
        <v>7</v>
      </c>
      <c r="M48" s="94">
        <v>4</v>
      </c>
      <c r="N48" s="94">
        <v>17</v>
      </c>
      <c r="O48" s="94">
        <v>5</v>
      </c>
      <c r="P48" s="94">
        <v>2</v>
      </c>
      <c r="Q48" s="94">
        <v>12</v>
      </c>
      <c r="R48" s="94">
        <v>34</v>
      </c>
      <c r="S48" s="94">
        <v>3</v>
      </c>
      <c r="T48" s="94">
        <v>5</v>
      </c>
      <c r="U48" s="94">
        <v>7</v>
      </c>
      <c r="V48" s="94">
        <v>21</v>
      </c>
      <c r="W48" s="94">
        <v>0</v>
      </c>
      <c r="X48" s="94">
        <v>3</v>
      </c>
      <c r="Y48" s="94">
        <v>5</v>
      </c>
      <c r="Z48" s="94">
        <v>30</v>
      </c>
      <c r="AA48" s="94">
        <v>4</v>
      </c>
      <c r="AB48" s="94">
        <v>29</v>
      </c>
      <c r="AC48" s="94">
        <v>1</v>
      </c>
      <c r="AD48" s="94">
        <v>25</v>
      </c>
      <c r="AE48" s="94">
        <v>4</v>
      </c>
      <c r="AF48" s="94">
        <v>14</v>
      </c>
      <c r="AG48" s="94">
        <v>27</v>
      </c>
      <c r="AH48" s="94">
        <v>112</v>
      </c>
      <c r="AI48" s="94">
        <v>444</v>
      </c>
    </row>
    <row r="49" spans="1:35" ht="16.05" customHeight="1">
      <c r="A49" s="93" t="s">
        <v>2026</v>
      </c>
      <c r="B49" s="93" t="s">
        <v>209</v>
      </c>
      <c r="C49" s="94">
        <v>285</v>
      </c>
      <c r="D49" s="94">
        <v>38</v>
      </c>
      <c r="E49" s="94">
        <v>38</v>
      </c>
      <c r="F49" s="94">
        <v>8</v>
      </c>
      <c r="G49" s="94">
        <v>44</v>
      </c>
      <c r="H49" s="94">
        <v>6</v>
      </c>
      <c r="I49" s="94">
        <v>15</v>
      </c>
      <c r="J49" s="94">
        <v>13</v>
      </c>
      <c r="K49" s="94">
        <v>45</v>
      </c>
      <c r="L49" s="94">
        <v>9</v>
      </c>
      <c r="M49" s="94">
        <v>10</v>
      </c>
      <c r="N49" s="94">
        <v>6</v>
      </c>
      <c r="O49" s="94">
        <v>19</v>
      </c>
      <c r="P49" s="94">
        <v>5</v>
      </c>
      <c r="Q49" s="94">
        <v>24</v>
      </c>
      <c r="R49" s="94">
        <v>28</v>
      </c>
      <c r="S49" s="94">
        <v>101</v>
      </c>
      <c r="T49" s="94">
        <v>12</v>
      </c>
      <c r="U49" s="94">
        <v>15</v>
      </c>
      <c r="V49" s="94">
        <v>6</v>
      </c>
      <c r="W49" s="94">
        <v>11</v>
      </c>
      <c r="X49" s="94">
        <v>4</v>
      </c>
      <c r="Y49" s="94">
        <v>8</v>
      </c>
      <c r="Z49" s="94">
        <v>10</v>
      </c>
      <c r="AA49" s="94">
        <v>74</v>
      </c>
      <c r="AB49" s="94">
        <v>7</v>
      </c>
      <c r="AC49" s="94">
        <v>8</v>
      </c>
      <c r="AD49" s="94">
        <v>6</v>
      </c>
      <c r="AE49" s="94">
        <v>69</v>
      </c>
      <c r="AF49" s="94">
        <v>8</v>
      </c>
      <c r="AG49" s="94">
        <v>57</v>
      </c>
      <c r="AH49" s="94">
        <v>53</v>
      </c>
      <c r="AI49" s="94">
        <v>444</v>
      </c>
    </row>
    <row r="50" spans="1:35" ht="16.05" customHeight="1">
      <c r="A50" s="93" t="s">
        <v>2026</v>
      </c>
      <c r="B50" s="93" t="s">
        <v>210</v>
      </c>
      <c r="C50" s="94">
        <v>70</v>
      </c>
      <c r="D50" s="94">
        <v>2</v>
      </c>
      <c r="E50" s="94">
        <v>0</v>
      </c>
      <c r="F50" s="94">
        <v>0</v>
      </c>
      <c r="G50" s="94">
        <v>1</v>
      </c>
      <c r="H50" s="94">
        <v>0</v>
      </c>
      <c r="I50" s="94">
        <v>0</v>
      </c>
      <c r="J50" s="94">
        <v>0</v>
      </c>
      <c r="K50" s="94">
        <v>4</v>
      </c>
      <c r="L50" s="94">
        <v>0</v>
      </c>
      <c r="M50" s="94">
        <v>0</v>
      </c>
      <c r="N50" s="94">
        <v>0</v>
      </c>
      <c r="O50" s="94">
        <v>0</v>
      </c>
      <c r="P50" s="94">
        <v>0</v>
      </c>
      <c r="Q50" s="94">
        <v>0</v>
      </c>
      <c r="R50" s="94">
        <v>0</v>
      </c>
      <c r="S50" s="94">
        <v>2</v>
      </c>
      <c r="T50" s="94">
        <v>0</v>
      </c>
      <c r="U50" s="94">
        <v>0</v>
      </c>
      <c r="V50" s="94">
        <v>0</v>
      </c>
      <c r="W50" s="94">
        <v>0</v>
      </c>
      <c r="X50" s="94">
        <v>0</v>
      </c>
      <c r="Y50" s="94">
        <v>0</v>
      </c>
      <c r="Z50" s="94">
        <v>0</v>
      </c>
      <c r="AA50" s="94">
        <v>0</v>
      </c>
      <c r="AB50" s="94">
        <v>0</v>
      </c>
      <c r="AC50" s="94">
        <v>0</v>
      </c>
      <c r="AD50" s="94">
        <v>0</v>
      </c>
      <c r="AE50" s="94">
        <v>0</v>
      </c>
      <c r="AF50" s="94">
        <v>0</v>
      </c>
      <c r="AG50" s="94">
        <v>0</v>
      </c>
      <c r="AH50" s="94">
        <v>0</v>
      </c>
      <c r="AI50" s="94">
        <v>112</v>
      </c>
    </row>
    <row r="51" spans="1:35" ht="16.05" customHeight="1">
      <c r="A51" s="93" t="s">
        <v>2026</v>
      </c>
      <c r="B51" s="93" t="s">
        <v>211</v>
      </c>
      <c r="C51" s="94">
        <v>18</v>
      </c>
      <c r="D51" s="94">
        <v>9</v>
      </c>
      <c r="E51" s="94">
        <v>5</v>
      </c>
      <c r="F51" s="94">
        <v>5</v>
      </c>
      <c r="G51" s="94">
        <v>5</v>
      </c>
      <c r="H51" s="94">
        <v>0</v>
      </c>
      <c r="I51" s="94">
        <v>0</v>
      </c>
      <c r="J51" s="94">
        <v>0</v>
      </c>
      <c r="K51" s="94">
        <v>5</v>
      </c>
      <c r="L51" s="94">
        <v>0</v>
      </c>
      <c r="M51" s="94">
        <v>0</v>
      </c>
      <c r="N51" s="94">
        <v>0</v>
      </c>
      <c r="O51" s="94">
        <v>0</v>
      </c>
      <c r="P51" s="94">
        <v>2</v>
      </c>
      <c r="Q51" s="94">
        <v>0</v>
      </c>
      <c r="R51" s="94">
        <v>23</v>
      </c>
      <c r="S51" s="94">
        <v>10</v>
      </c>
      <c r="T51" s="94">
        <v>1</v>
      </c>
      <c r="U51" s="94">
        <v>0</v>
      </c>
      <c r="V51" s="94">
        <v>0</v>
      </c>
      <c r="W51" s="94">
        <v>0</v>
      </c>
      <c r="X51" s="94">
        <v>0</v>
      </c>
      <c r="Y51" s="94">
        <v>3</v>
      </c>
      <c r="Z51" s="94">
        <v>24</v>
      </c>
      <c r="AA51" s="94">
        <v>2</v>
      </c>
      <c r="AB51" s="94">
        <v>0</v>
      </c>
      <c r="AC51" s="94">
        <v>0</v>
      </c>
      <c r="AD51" s="94">
        <v>25</v>
      </c>
      <c r="AE51" s="94">
        <v>0</v>
      </c>
      <c r="AF51" s="94">
        <v>21</v>
      </c>
      <c r="AG51" s="94">
        <v>12</v>
      </c>
      <c r="AH51" s="94">
        <v>1270</v>
      </c>
      <c r="AI51" s="94">
        <v>521</v>
      </c>
    </row>
    <row r="52" spans="1:35" ht="16.05" customHeight="1">
      <c r="A52" s="93" t="s">
        <v>2026</v>
      </c>
      <c r="B52" s="93" t="s">
        <v>212</v>
      </c>
      <c r="C52" s="94">
        <v>283</v>
      </c>
      <c r="D52" s="94">
        <v>37</v>
      </c>
      <c r="E52" s="94">
        <v>24</v>
      </c>
      <c r="F52" s="94">
        <v>22</v>
      </c>
      <c r="G52" s="94">
        <v>25</v>
      </c>
      <c r="H52" s="94">
        <v>4</v>
      </c>
      <c r="I52" s="94">
        <v>15</v>
      </c>
      <c r="J52" s="94">
        <v>15</v>
      </c>
      <c r="K52" s="94">
        <v>28</v>
      </c>
      <c r="L52" s="94">
        <v>3</v>
      </c>
      <c r="M52" s="94">
        <v>4</v>
      </c>
      <c r="N52" s="94">
        <v>1</v>
      </c>
      <c r="O52" s="94">
        <v>16</v>
      </c>
      <c r="P52" s="94">
        <v>1</v>
      </c>
      <c r="Q52" s="94">
        <v>8</v>
      </c>
      <c r="R52" s="94">
        <v>11</v>
      </c>
      <c r="S52" s="94">
        <v>77</v>
      </c>
      <c r="T52" s="94">
        <v>7</v>
      </c>
      <c r="U52" s="94">
        <v>8</v>
      </c>
      <c r="V52" s="94">
        <v>4</v>
      </c>
      <c r="W52" s="94">
        <v>11</v>
      </c>
      <c r="X52" s="94">
        <v>2</v>
      </c>
      <c r="Y52" s="94">
        <v>4</v>
      </c>
      <c r="Z52" s="94">
        <v>1</v>
      </c>
      <c r="AA52" s="94">
        <v>50</v>
      </c>
      <c r="AB52" s="94">
        <v>6</v>
      </c>
      <c r="AC52" s="94">
        <v>6</v>
      </c>
      <c r="AD52" s="94">
        <v>4</v>
      </c>
      <c r="AE52" s="94">
        <v>32</v>
      </c>
      <c r="AF52" s="94">
        <v>8</v>
      </c>
      <c r="AG52" s="94">
        <v>21</v>
      </c>
      <c r="AH52" s="94">
        <v>17</v>
      </c>
      <c r="AI52" s="94">
        <v>283</v>
      </c>
    </row>
    <row r="53" spans="1:35" ht="16.05" customHeight="1">
      <c r="A53" s="93" t="s">
        <v>2026</v>
      </c>
      <c r="B53" s="93" t="s">
        <v>213</v>
      </c>
      <c r="C53" s="94">
        <v>0</v>
      </c>
      <c r="D53" s="94">
        <v>2</v>
      </c>
      <c r="E53" s="94">
        <v>0</v>
      </c>
      <c r="F53" s="94">
        <v>0</v>
      </c>
      <c r="G53" s="94">
        <v>0</v>
      </c>
      <c r="H53" s="94">
        <v>0</v>
      </c>
      <c r="I53" s="94">
        <v>0</v>
      </c>
      <c r="J53" s="94">
        <v>1</v>
      </c>
      <c r="K53" s="94">
        <v>0</v>
      </c>
      <c r="L53" s="94">
        <v>0</v>
      </c>
      <c r="M53" s="94">
        <v>0</v>
      </c>
      <c r="N53" s="94">
        <v>0</v>
      </c>
      <c r="O53" s="94">
        <v>0</v>
      </c>
      <c r="P53" s="94">
        <v>0</v>
      </c>
      <c r="Q53" s="94">
        <v>0</v>
      </c>
      <c r="R53" s="94">
        <v>3</v>
      </c>
      <c r="S53" s="94">
        <v>0</v>
      </c>
      <c r="T53" s="94">
        <v>0</v>
      </c>
      <c r="U53" s="94">
        <v>0</v>
      </c>
      <c r="V53" s="94">
        <v>0</v>
      </c>
      <c r="W53" s="94">
        <v>0</v>
      </c>
      <c r="X53" s="94">
        <v>0</v>
      </c>
      <c r="Y53" s="94">
        <v>0</v>
      </c>
      <c r="Z53" s="94">
        <v>3</v>
      </c>
      <c r="AA53" s="94">
        <v>1</v>
      </c>
      <c r="AB53" s="94">
        <v>2</v>
      </c>
      <c r="AC53" s="94">
        <v>0</v>
      </c>
      <c r="AD53" s="94">
        <v>5</v>
      </c>
      <c r="AE53" s="94">
        <v>4</v>
      </c>
      <c r="AF53" s="94">
        <v>5</v>
      </c>
      <c r="AG53" s="94">
        <v>6</v>
      </c>
      <c r="AH53" s="94">
        <v>678</v>
      </c>
      <c r="AI53" s="94">
        <v>647</v>
      </c>
    </row>
    <row r="54" spans="1:35" ht="16.05" customHeight="1">
      <c r="A54" s="93" t="s">
        <v>2026</v>
      </c>
      <c r="B54" s="93" t="s">
        <v>214</v>
      </c>
      <c r="C54" s="94">
        <v>0</v>
      </c>
      <c r="D54" s="94">
        <v>0</v>
      </c>
      <c r="E54" s="94">
        <v>0</v>
      </c>
      <c r="F54" s="94">
        <v>0</v>
      </c>
      <c r="G54" s="94">
        <v>0</v>
      </c>
      <c r="H54" s="94">
        <v>0</v>
      </c>
      <c r="I54" s="94">
        <v>0</v>
      </c>
      <c r="J54" s="94">
        <v>2</v>
      </c>
      <c r="K54" s="94">
        <v>0</v>
      </c>
      <c r="L54" s="94">
        <v>0</v>
      </c>
      <c r="M54" s="94">
        <v>0</v>
      </c>
      <c r="N54" s="94">
        <v>1</v>
      </c>
      <c r="O54" s="94">
        <v>0</v>
      </c>
      <c r="P54" s="94">
        <v>0</v>
      </c>
      <c r="Q54" s="94">
        <v>0</v>
      </c>
      <c r="R54" s="94">
        <v>31</v>
      </c>
      <c r="S54" s="94">
        <v>0</v>
      </c>
      <c r="T54" s="94">
        <v>0</v>
      </c>
      <c r="U54" s="94">
        <v>0</v>
      </c>
      <c r="V54" s="94">
        <v>1</v>
      </c>
      <c r="W54" s="94">
        <v>0</v>
      </c>
      <c r="X54" s="94">
        <v>1</v>
      </c>
      <c r="Y54" s="94">
        <v>0</v>
      </c>
      <c r="Z54" s="94">
        <v>26</v>
      </c>
      <c r="AA54" s="94">
        <v>0</v>
      </c>
      <c r="AB54" s="94">
        <v>2</v>
      </c>
      <c r="AC54" s="94">
        <v>0</v>
      </c>
      <c r="AD54" s="94">
        <v>25</v>
      </c>
      <c r="AE54" s="94">
        <v>3</v>
      </c>
      <c r="AF54" s="94">
        <v>23</v>
      </c>
      <c r="AG54" s="94">
        <v>29</v>
      </c>
      <c r="AH54" s="94">
        <v>3123</v>
      </c>
      <c r="AI54" s="94">
        <v>837</v>
      </c>
    </row>
    <row r="55" spans="1:35" ht="16.05" customHeight="1">
      <c r="A55" s="93" t="s">
        <v>2026</v>
      </c>
      <c r="B55" s="93" t="s">
        <v>215</v>
      </c>
      <c r="C55" s="94">
        <v>2223</v>
      </c>
      <c r="D55" s="94">
        <v>144</v>
      </c>
      <c r="E55" s="94">
        <v>115</v>
      </c>
      <c r="F55" s="94">
        <v>23</v>
      </c>
      <c r="G55" s="94">
        <v>112</v>
      </c>
      <c r="H55" s="94">
        <v>16</v>
      </c>
      <c r="I55" s="94">
        <v>14</v>
      </c>
      <c r="J55" s="94">
        <v>5</v>
      </c>
      <c r="K55" s="94">
        <v>120</v>
      </c>
      <c r="L55" s="94">
        <v>9</v>
      </c>
      <c r="M55" s="94">
        <v>14</v>
      </c>
      <c r="N55" s="94">
        <v>2</v>
      </c>
      <c r="O55" s="94">
        <v>16</v>
      </c>
      <c r="P55" s="94">
        <v>5</v>
      </c>
      <c r="Q55" s="94">
        <v>6</v>
      </c>
      <c r="R55" s="94">
        <v>4</v>
      </c>
      <c r="S55" s="94">
        <v>124</v>
      </c>
      <c r="T55" s="94">
        <v>12</v>
      </c>
      <c r="U55" s="94">
        <v>11</v>
      </c>
      <c r="V55" s="94">
        <v>0</v>
      </c>
      <c r="W55" s="94">
        <v>15</v>
      </c>
      <c r="X55" s="94">
        <v>0</v>
      </c>
      <c r="Y55" s="94">
        <v>5</v>
      </c>
      <c r="Z55" s="94">
        <v>1</v>
      </c>
      <c r="AA55" s="94">
        <v>19</v>
      </c>
      <c r="AB55" s="94">
        <v>0</v>
      </c>
      <c r="AC55" s="94">
        <v>3</v>
      </c>
      <c r="AD55" s="94">
        <v>4</v>
      </c>
      <c r="AE55" s="94">
        <v>8</v>
      </c>
      <c r="AF55" s="94">
        <v>1</v>
      </c>
      <c r="AG55" s="94">
        <v>3</v>
      </c>
      <c r="AH55" s="94">
        <v>3</v>
      </c>
      <c r="AI55" s="94">
        <v>352</v>
      </c>
    </row>
    <row r="56" spans="1:35" ht="16.05" customHeight="1">
      <c r="A56" s="93" t="s">
        <v>2026</v>
      </c>
      <c r="B56" s="93" t="s">
        <v>216</v>
      </c>
      <c r="C56" s="94">
        <v>0</v>
      </c>
      <c r="D56" s="94">
        <v>0</v>
      </c>
      <c r="E56" s="94">
        <v>0</v>
      </c>
      <c r="F56" s="94">
        <v>0</v>
      </c>
      <c r="G56" s="94">
        <v>0</v>
      </c>
      <c r="H56" s="94">
        <v>0</v>
      </c>
      <c r="I56" s="94">
        <v>0</v>
      </c>
      <c r="J56" s="94">
        <v>0</v>
      </c>
      <c r="K56" s="94">
        <v>0</v>
      </c>
      <c r="L56" s="94">
        <v>0</v>
      </c>
      <c r="M56" s="94">
        <v>0</v>
      </c>
      <c r="N56" s="94">
        <v>0</v>
      </c>
      <c r="O56" s="94">
        <v>0</v>
      </c>
      <c r="P56" s="94">
        <v>0</v>
      </c>
      <c r="Q56" s="94">
        <v>0</v>
      </c>
      <c r="R56" s="94">
        <v>2</v>
      </c>
      <c r="S56" s="94">
        <v>0</v>
      </c>
      <c r="T56" s="94">
        <v>0</v>
      </c>
      <c r="U56" s="94">
        <v>0</v>
      </c>
      <c r="V56" s="94">
        <v>0</v>
      </c>
      <c r="W56" s="94">
        <v>0</v>
      </c>
      <c r="X56" s="94">
        <v>0</v>
      </c>
      <c r="Y56" s="94">
        <v>0</v>
      </c>
      <c r="Z56" s="94">
        <v>1</v>
      </c>
      <c r="AA56" s="94">
        <v>0</v>
      </c>
      <c r="AB56" s="94">
        <v>0</v>
      </c>
      <c r="AC56" s="94">
        <v>0</v>
      </c>
      <c r="AD56" s="94">
        <v>1</v>
      </c>
      <c r="AE56" s="94">
        <v>0</v>
      </c>
      <c r="AF56" s="94">
        <v>1</v>
      </c>
      <c r="AG56" s="94">
        <v>1</v>
      </c>
      <c r="AH56" s="94">
        <v>1463</v>
      </c>
      <c r="AI56" s="94">
        <v>305</v>
      </c>
    </row>
    <row r="57" spans="1:35" ht="16.05" customHeight="1">
      <c r="A57" s="93" t="s">
        <v>2026</v>
      </c>
      <c r="B57" s="93" t="s">
        <v>217</v>
      </c>
      <c r="C57" s="94">
        <v>0</v>
      </c>
      <c r="D57" s="94">
        <v>1</v>
      </c>
      <c r="E57" s="94">
        <v>3</v>
      </c>
      <c r="F57" s="94">
        <v>2</v>
      </c>
      <c r="G57" s="94">
        <v>3</v>
      </c>
      <c r="H57" s="94">
        <v>4</v>
      </c>
      <c r="I57" s="94">
        <v>4</v>
      </c>
      <c r="J57" s="94">
        <v>7</v>
      </c>
      <c r="K57" s="94">
        <v>2</v>
      </c>
      <c r="L57" s="94">
        <v>3</v>
      </c>
      <c r="M57" s="94">
        <v>1</v>
      </c>
      <c r="N57" s="94">
        <v>3</v>
      </c>
      <c r="O57" s="94">
        <v>3</v>
      </c>
      <c r="P57" s="94">
        <v>0</v>
      </c>
      <c r="Q57" s="94">
        <v>1</v>
      </c>
      <c r="R57" s="94">
        <v>36</v>
      </c>
      <c r="S57" s="94">
        <v>1</v>
      </c>
      <c r="T57" s="94">
        <v>4</v>
      </c>
      <c r="U57" s="94">
        <v>6</v>
      </c>
      <c r="V57" s="94">
        <v>11</v>
      </c>
      <c r="W57" s="94">
        <v>2</v>
      </c>
      <c r="X57" s="94">
        <v>4</v>
      </c>
      <c r="Y57" s="94">
        <v>0</v>
      </c>
      <c r="Z57" s="94">
        <v>31</v>
      </c>
      <c r="AA57" s="94">
        <v>4</v>
      </c>
      <c r="AB57" s="94">
        <v>12</v>
      </c>
      <c r="AC57" s="94">
        <v>5</v>
      </c>
      <c r="AD57" s="94">
        <v>37</v>
      </c>
      <c r="AE57" s="94">
        <v>13</v>
      </c>
      <c r="AF57" s="94">
        <v>45</v>
      </c>
      <c r="AG57" s="94">
        <v>61</v>
      </c>
      <c r="AH57" s="94">
        <v>2786</v>
      </c>
      <c r="AI57" s="94">
        <v>552</v>
      </c>
    </row>
    <row r="58" spans="1:35" ht="16.05" customHeight="1">
      <c r="A58" s="93" t="s">
        <v>2026</v>
      </c>
      <c r="B58" s="93" t="s">
        <v>218</v>
      </c>
      <c r="C58" s="94">
        <v>0</v>
      </c>
      <c r="D58" s="94">
        <v>0</v>
      </c>
      <c r="E58" s="94">
        <v>0</v>
      </c>
      <c r="F58" s="94">
        <v>0</v>
      </c>
      <c r="G58" s="94">
        <v>0</v>
      </c>
      <c r="H58" s="94">
        <v>0</v>
      </c>
      <c r="I58" s="94">
        <v>0</v>
      </c>
      <c r="J58" s="94">
        <v>0</v>
      </c>
      <c r="K58" s="94">
        <v>0</v>
      </c>
      <c r="L58" s="94">
        <v>0</v>
      </c>
      <c r="M58" s="94">
        <v>0</v>
      </c>
      <c r="N58" s="94">
        <v>0</v>
      </c>
      <c r="O58" s="94">
        <v>0</v>
      </c>
      <c r="P58" s="94">
        <v>1</v>
      </c>
      <c r="Q58" s="94">
        <v>3</v>
      </c>
      <c r="R58" s="94">
        <v>7</v>
      </c>
      <c r="S58" s="94">
        <v>0</v>
      </c>
      <c r="T58" s="94">
        <v>0</v>
      </c>
      <c r="U58" s="94">
        <v>0</v>
      </c>
      <c r="V58" s="94">
        <v>1</v>
      </c>
      <c r="W58" s="94">
        <v>3</v>
      </c>
      <c r="X58" s="94">
        <v>0</v>
      </c>
      <c r="Y58" s="94">
        <v>5</v>
      </c>
      <c r="Z58" s="94">
        <v>8</v>
      </c>
      <c r="AA58" s="94">
        <v>1</v>
      </c>
      <c r="AB58" s="94">
        <v>1</v>
      </c>
      <c r="AC58" s="94">
        <v>7</v>
      </c>
      <c r="AD58" s="94">
        <v>13</v>
      </c>
      <c r="AE58" s="94">
        <v>15</v>
      </c>
      <c r="AF58" s="94">
        <v>14</v>
      </c>
      <c r="AG58" s="94">
        <v>84</v>
      </c>
      <c r="AH58" s="94">
        <v>604</v>
      </c>
      <c r="AI58" s="94">
        <v>836</v>
      </c>
    </row>
    <row r="59" spans="1:35" ht="16.05" customHeight="1">
      <c r="A59" s="93" t="s">
        <v>2026</v>
      </c>
      <c r="B59" s="93" t="s">
        <v>219</v>
      </c>
      <c r="C59" s="94">
        <v>0</v>
      </c>
      <c r="D59" s="94">
        <v>0</v>
      </c>
      <c r="E59" s="94">
        <v>0</v>
      </c>
      <c r="F59" s="94">
        <v>1</v>
      </c>
      <c r="G59" s="94">
        <v>0</v>
      </c>
      <c r="H59" s="94">
        <v>0</v>
      </c>
      <c r="I59" s="94">
        <v>0</v>
      </c>
      <c r="J59" s="94">
        <v>0</v>
      </c>
      <c r="K59" s="94">
        <v>0</v>
      </c>
      <c r="L59" s="94">
        <v>0</v>
      </c>
      <c r="M59" s="94">
        <v>0</v>
      </c>
      <c r="N59" s="94">
        <v>0</v>
      </c>
      <c r="O59" s="94">
        <v>0</v>
      </c>
      <c r="P59" s="94">
        <v>0</v>
      </c>
      <c r="Q59" s="94">
        <v>0</v>
      </c>
      <c r="R59" s="94">
        <v>12</v>
      </c>
      <c r="S59" s="94">
        <v>0</v>
      </c>
      <c r="T59" s="94">
        <v>2</v>
      </c>
      <c r="U59" s="94">
        <v>0</v>
      </c>
      <c r="V59" s="94">
        <v>2</v>
      </c>
      <c r="W59" s="94">
        <v>0</v>
      </c>
      <c r="X59" s="94">
        <v>0</v>
      </c>
      <c r="Y59" s="94">
        <v>0</v>
      </c>
      <c r="Z59" s="94">
        <v>16</v>
      </c>
      <c r="AA59" s="94">
        <v>2</v>
      </c>
      <c r="AB59" s="94">
        <v>3</v>
      </c>
      <c r="AC59" s="94">
        <v>0</v>
      </c>
      <c r="AD59" s="94">
        <v>12</v>
      </c>
      <c r="AE59" s="94">
        <v>6</v>
      </c>
      <c r="AF59" s="94">
        <v>14</v>
      </c>
      <c r="AG59" s="94">
        <v>16</v>
      </c>
      <c r="AH59" s="94">
        <v>2287</v>
      </c>
      <c r="AI59" s="94">
        <v>899</v>
      </c>
    </row>
    <row r="60" spans="1:35" ht="16.05" customHeight="1">
      <c r="A60" s="93" t="s">
        <v>2026</v>
      </c>
      <c r="B60" s="93" t="s">
        <v>220</v>
      </c>
      <c r="C60" s="94">
        <v>295</v>
      </c>
      <c r="D60" s="94">
        <v>110</v>
      </c>
      <c r="E60" s="94">
        <v>62</v>
      </c>
      <c r="F60" s="94">
        <v>79</v>
      </c>
      <c r="G60" s="94">
        <v>64</v>
      </c>
      <c r="H60" s="94">
        <v>24</v>
      </c>
      <c r="I60" s="94">
        <v>36</v>
      </c>
      <c r="J60" s="94">
        <v>94</v>
      </c>
      <c r="K60" s="94">
        <v>61</v>
      </c>
      <c r="L60" s="94">
        <v>36</v>
      </c>
      <c r="M60" s="94">
        <v>18</v>
      </c>
      <c r="N60" s="94">
        <v>45</v>
      </c>
      <c r="O60" s="94">
        <v>36</v>
      </c>
      <c r="P60" s="94">
        <v>47</v>
      </c>
      <c r="Q60" s="94">
        <v>28</v>
      </c>
      <c r="R60" s="94">
        <v>201</v>
      </c>
      <c r="S60" s="94">
        <v>107</v>
      </c>
      <c r="T60" s="94">
        <v>18</v>
      </c>
      <c r="U60" s="94">
        <v>20</v>
      </c>
      <c r="V60" s="94">
        <v>52</v>
      </c>
      <c r="W60" s="94">
        <v>27</v>
      </c>
      <c r="X60" s="94">
        <v>30</v>
      </c>
      <c r="Y60" s="94">
        <v>42</v>
      </c>
      <c r="Z60" s="94">
        <v>150</v>
      </c>
      <c r="AA60" s="94">
        <v>52</v>
      </c>
      <c r="AB60" s="94">
        <v>46</v>
      </c>
      <c r="AC60" s="94">
        <v>28</v>
      </c>
      <c r="AD60" s="94">
        <v>153</v>
      </c>
      <c r="AE60" s="94">
        <v>52</v>
      </c>
      <c r="AF60" s="94">
        <v>140</v>
      </c>
      <c r="AG60" s="94">
        <v>172</v>
      </c>
      <c r="AH60" s="94">
        <v>1539</v>
      </c>
      <c r="AI60" s="94">
        <v>661</v>
      </c>
    </row>
    <row r="61" spans="1:35" ht="16.05" customHeight="1">
      <c r="A61" s="93" t="s">
        <v>2026</v>
      </c>
      <c r="B61" s="93" t="s">
        <v>221</v>
      </c>
      <c r="C61" s="94">
        <v>746</v>
      </c>
      <c r="D61" s="94">
        <v>185</v>
      </c>
      <c r="E61" s="94">
        <v>91</v>
      </c>
      <c r="F61" s="94">
        <v>136</v>
      </c>
      <c r="G61" s="94">
        <v>79</v>
      </c>
      <c r="H61" s="94">
        <v>60</v>
      </c>
      <c r="I61" s="94">
        <v>96</v>
      </c>
      <c r="J61" s="94">
        <v>131</v>
      </c>
      <c r="K61" s="94">
        <v>99</v>
      </c>
      <c r="L61" s="94">
        <v>35</v>
      </c>
      <c r="M61" s="94">
        <v>31</v>
      </c>
      <c r="N61" s="94">
        <v>48</v>
      </c>
      <c r="O61" s="94">
        <v>118</v>
      </c>
      <c r="P61" s="94">
        <v>43</v>
      </c>
      <c r="Q61" s="94">
        <v>65</v>
      </c>
      <c r="R61" s="94">
        <v>131</v>
      </c>
      <c r="S61" s="94">
        <v>128</v>
      </c>
      <c r="T61" s="94">
        <v>44</v>
      </c>
      <c r="U61" s="94">
        <v>29</v>
      </c>
      <c r="V61" s="94">
        <v>56</v>
      </c>
      <c r="W61" s="94">
        <v>52</v>
      </c>
      <c r="X61" s="94">
        <v>15</v>
      </c>
      <c r="Y61" s="94">
        <v>66</v>
      </c>
      <c r="Z61" s="94">
        <v>46</v>
      </c>
      <c r="AA61" s="94">
        <v>90</v>
      </c>
      <c r="AB61" s="94">
        <v>68</v>
      </c>
      <c r="AC61" s="94">
        <v>34</v>
      </c>
      <c r="AD61" s="94">
        <v>62</v>
      </c>
      <c r="AE61" s="94">
        <v>123</v>
      </c>
      <c r="AF61" s="94">
        <v>74</v>
      </c>
      <c r="AG61" s="94">
        <v>149</v>
      </c>
      <c r="AH61" s="94">
        <v>166</v>
      </c>
      <c r="AI61" s="94">
        <v>1389</v>
      </c>
    </row>
    <row r="62" spans="1:35" ht="16.05" customHeight="1">
      <c r="A62" s="93" t="s">
        <v>2026</v>
      </c>
      <c r="B62" s="93" t="s">
        <v>222</v>
      </c>
      <c r="C62" s="94">
        <v>260</v>
      </c>
      <c r="D62" s="94">
        <v>12</v>
      </c>
      <c r="E62" s="94">
        <v>7</v>
      </c>
      <c r="F62" s="94">
        <v>5</v>
      </c>
      <c r="G62" s="94">
        <v>6</v>
      </c>
      <c r="H62" s="94">
        <v>2</v>
      </c>
      <c r="I62" s="94">
        <v>2</v>
      </c>
      <c r="J62" s="94">
        <v>2</v>
      </c>
      <c r="K62" s="94">
        <v>7</v>
      </c>
      <c r="L62" s="94">
        <v>0</v>
      </c>
      <c r="M62" s="94">
        <v>2</v>
      </c>
      <c r="N62" s="94">
        <v>0</v>
      </c>
      <c r="O62" s="94">
        <v>3</v>
      </c>
      <c r="P62" s="94">
        <v>1</v>
      </c>
      <c r="Q62" s="94">
        <v>1</v>
      </c>
      <c r="R62" s="94">
        <v>0</v>
      </c>
      <c r="S62" s="94">
        <v>9</v>
      </c>
      <c r="T62" s="94">
        <v>0</v>
      </c>
      <c r="U62" s="94">
        <v>1</v>
      </c>
      <c r="V62" s="94">
        <v>0</v>
      </c>
      <c r="W62" s="94">
        <v>0</v>
      </c>
      <c r="X62" s="94">
        <v>1</v>
      </c>
      <c r="Y62" s="94">
        <v>0</v>
      </c>
      <c r="Z62" s="94">
        <v>0</v>
      </c>
      <c r="AA62" s="94">
        <v>1</v>
      </c>
      <c r="AB62" s="94">
        <v>1</v>
      </c>
      <c r="AC62" s="94">
        <v>1</v>
      </c>
      <c r="AD62" s="94">
        <v>0</v>
      </c>
      <c r="AE62" s="94">
        <v>1</v>
      </c>
      <c r="AF62" s="94">
        <v>0</v>
      </c>
      <c r="AG62" s="94">
        <v>0</v>
      </c>
      <c r="AH62" s="94">
        <v>0</v>
      </c>
      <c r="AI62" s="94">
        <v>100</v>
      </c>
    </row>
    <row r="63" spans="1:35" ht="16.05" customHeight="1">
      <c r="A63" s="93" t="s">
        <v>2026</v>
      </c>
      <c r="B63" s="93" t="s">
        <v>223</v>
      </c>
      <c r="C63" s="94">
        <v>1259</v>
      </c>
      <c r="D63" s="94">
        <v>198</v>
      </c>
      <c r="E63" s="94">
        <v>154</v>
      </c>
      <c r="F63" s="94">
        <v>98</v>
      </c>
      <c r="G63" s="94">
        <v>137</v>
      </c>
      <c r="H63" s="94">
        <v>51</v>
      </c>
      <c r="I63" s="94">
        <v>48</v>
      </c>
      <c r="J63" s="94">
        <v>141</v>
      </c>
      <c r="K63" s="94">
        <v>116</v>
      </c>
      <c r="L63" s="94">
        <v>44</v>
      </c>
      <c r="M63" s="94">
        <v>34</v>
      </c>
      <c r="N63" s="94">
        <v>26</v>
      </c>
      <c r="O63" s="94">
        <v>30</v>
      </c>
      <c r="P63" s="94">
        <v>31</v>
      </c>
      <c r="Q63" s="94">
        <v>55</v>
      </c>
      <c r="R63" s="94">
        <v>144</v>
      </c>
      <c r="S63" s="94">
        <v>130</v>
      </c>
      <c r="T63" s="94">
        <v>60</v>
      </c>
      <c r="U63" s="94">
        <v>18</v>
      </c>
      <c r="V63" s="94">
        <v>69</v>
      </c>
      <c r="W63" s="94">
        <v>35</v>
      </c>
      <c r="X63" s="94">
        <v>14</v>
      </c>
      <c r="Y63" s="94">
        <v>4</v>
      </c>
      <c r="Z63" s="94">
        <v>65</v>
      </c>
      <c r="AA63" s="94">
        <v>47</v>
      </c>
      <c r="AB63" s="94">
        <v>38</v>
      </c>
      <c r="AC63" s="94">
        <v>13</v>
      </c>
      <c r="AD63" s="94">
        <v>42</v>
      </c>
      <c r="AE63" s="94">
        <v>55</v>
      </c>
      <c r="AF63" s="94">
        <v>48</v>
      </c>
      <c r="AG63" s="94">
        <v>41</v>
      </c>
      <c r="AH63" s="94">
        <v>507</v>
      </c>
      <c r="AI63" s="94">
        <v>758</v>
      </c>
    </row>
    <row r="64" spans="1:35" ht="16.05" customHeight="1">
      <c r="A64" s="93" t="s">
        <v>2026</v>
      </c>
      <c r="B64" s="93" t="s">
        <v>224</v>
      </c>
      <c r="C64" s="94">
        <v>642</v>
      </c>
      <c r="D64" s="94">
        <v>76</v>
      </c>
      <c r="E64" s="94">
        <v>59</v>
      </c>
      <c r="F64" s="94">
        <v>39</v>
      </c>
      <c r="G64" s="94">
        <v>60</v>
      </c>
      <c r="H64" s="94">
        <v>28</v>
      </c>
      <c r="I64" s="94">
        <v>9</v>
      </c>
      <c r="J64" s="94">
        <v>46</v>
      </c>
      <c r="K64" s="94">
        <v>104</v>
      </c>
      <c r="L64" s="94">
        <v>15</v>
      </c>
      <c r="M64" s="94">
        <v>31</v>
      </c>
      <c r="N64" s="94">
        <v>19</v>
      </c>
      <c r="O64" s="94">
        <v>22</v>
      </c>
      <c r="P64" s="94">
        <v>8</v>
      </c>
      <c r="Q64" s="94">
        <v>32</v>
      </c>
      <c r="R64" s="94">
        <v>62</v>
      </c>
      <c r="S64" s="94">
        <v>176</v>
      </c>
      <c r="T64" s="94">
        <v>32</v>
      </c>
      <c r="U64" s="94">
        <v>33</v>
      </c>
      <c r="V64" s="94">
        <v>19</v>
      </c>
      <c r="W64" s="94">
        <v>48</v>
      </c>
      <c r="X64" s="94">
        <v>21</v>
      </c>
      <c r="Y64" s="94">
        <v>9</v>
      </c>
      <c r="Z64" s="94">
        <v>48</v>
      </c>
      <c r="AA64" s="94">
        <v>84</v>
      </c>
      <c r="AB64" s="94">
        <v>36</v>
      </c>
      <c r="AC64" s="94">
        <v>31</v>
      </c>
      <c r="AD64" s="94">
        <v>39</v>
      </c>
      <c r="AE64" s="94">
        <v>103</v>
      </c>
      <c r="AF64" s="94">
        <v>54</v>
      </c>
      <c r="AG64" s="94">
        <v>117</v>
      </c>
      <c r="AH64" s="94">
        <v>271</v>
      </c>
      <c r="AI64" s="94">
        <v>541</v>
      </c>
    </row>
    <row r="65" spans="1:35" ht="16.05" customHeight="1">
      <c r="A65" s="93" t="s">
        <v>2026</v>
      </c>
      <c r="B65" s="93" t="s">
        <v>225</v>
      </c>
      <c r="C65" s="94">
        <v>259</v>
      </c>
      <c r="D65" s="94">
        <v>58</v>
      </c>
      <c r="E65" s="94">
        <v>35</v>
      </c>
      <c r="F65" s="94">
        <v>23</v>
      </c>
      <c r="G65" s="94">
        <v>64</v>
      </c>
      <c r="H65" s="94">
        <v>14</v>
      </c>
      <c r="I65" s="94">
        <v>30</v>
      </c>
      <c r="J65" s="94">
        <v>17</v>
      </c>
      <c r="K65" s="94">
        <v>68</v>
      </c>
      <c r="L65" s="94">
        <v>39</v>
      </c>
      <c r="M65" s="94">
        <v>16</v>
      </c>
      <c r="N65" s="94">
        <v>10</v>
      </c>
      <c r="O65" s="94">
        <v>20</v>
      </c>
      <c r="P65" s="94">
        <v>19</v>
      </c>
      <c r="Q65" s="94">
        <v>23</v>
      </c>
      <c r="R65" s="94">
        <v>12</v>
      </c>
      <c r="S65" s="94">
        <v>73</v>
      </c>
      <c r="T65" s="94">
        <v>28</v>
      </c>
      <c r="U65" s="94">
        <v>32</v>
      </c>
      <c r="V65" s="94">
        <v>20</v>
      </c>
      <c r="W65" s="94">
        <v>37</v>
      </c>
      <c r="X65" s="94">
        <v>11</v>
      </c>
      <c r="Y65" s="94">
        <v>3</v>
      </c>
      <c r="Z65" s="94">
        <v>7</v>
      </c>
      <c r="AA65" s="94">
        <v>25</v>
      </c>
      <c r="AB65" s="94">
        <v>13</v>
      </c>
      <c r="AC65" s="94">
        <v>29</v>
      </c>
      <c r="AD65" s="94">
        <v>18</v>
      </c>
      <c r="AE65" s="94">
        <v>15</v>
      </c>
      <c r="AF65" s="94">
        <v>29</v>
      </c>
      <c r="AG65" s="94">
        <v>15</v>
      </c>
      <c r="AH65" s="94">
        <v>9</v>
      </c>
      <c r="AI65" s="94">
        <v>405</v>
      </c>
    </row>
    <row r="66" spans="1:35" ht="16.05" customHeight="1">
      <c r="A66" s="93" t="s">
        <v>2026</v>
      </c>
      <c r="B66" s="93" t="s">
        <v>226</v>
      </c>
      <c r="C66" s="94">
        <v>9</v>
      </c>
      <c r="D66" s="94">
        <v>4</v>
      </c>
      <c r="E66" s="94">
        <v>1</v>
      </c>
      <c r="F66" s="94">
        <v>0</v>
      </c>
      <c r="G66" s="94">
        <v>2</v>
      </c>
      <c r="H66" s="94">
        <v>0</v>
      </c>
      <c r="I66" s="94">
        <v>0</v>
      </c>
      <c r="J66" s="94">
        <v>0</v>
      </c>
      <c r="K66" s="94">
        <v>6</v>
      </c>
      <c r="L66" s="94">
        <v>0</v>
      </c>
      <c r="M66" s="94">
        <v>0</v>
      </c>
      <c r="N66" s="94">
        <v>0</v>
      </c>
      <c r="O66" s="94">
        <v>0</v>
      </c>
      <c r="P66" s="94">
        <v>0</v>
      </c>
      <c r="Q66" s="94">
        <v>0</v>
      </c>
      <c r="R66" s="94">
        <v>0</v>
      </c>
      <c r="S66" s="94">
        <v>21</v>
      </c>
      <c r="T66" s="94">
        <v>6</v>
      </c>
      <c r="U66" s="94">
        <v>1</v>
      </c>
      <c r="V66" s="94">
        <v>0</v>
      </c>
      <c r="W66" s="94">
        <v>2</v>
      </c>
      <c r="X66" s="94">
        <v>0</v>
      </c>
      <c r="Y66" s="94">
        <v>0</v>
      </c>
      <c r="Z66" s="94">
        <v>0</v>
      </c>
      <c r="AA66" s="94">
        <v>23</v>
      </c>
      <c r="AB66" s="94">
        <v>1</v>
      </c>
      <c r="AC66" s="94">
        <v>0</v>
      </c>
      <c r="AD66" s="94">
        <v>0</v>
      </c>
      <c r="AE66" s="94">
        <v>9</v>
      </c>
      <c r="AF66" s="94">
        <v>0</v>
      </c>
      <c r="AG66" s="94">
        <v>1</v>
      </c>
      <c r="AH66" s="94">
        <v>7</v>
      </c>
      <c r="AI66" s="94">
        <v>327</v>
      </c>
    </row>
    <row r="67" spans="1:35" ht="16.05" customHeight="1">
      <c r="A67" s="93" t="s">
        <v>2026</v>
      </c>
      <c r="B67" s="93" t="s">
        <v>227</v>
      </c>
      <c r="C67" s="94">
        <v>0</v>
      </c>
      <c r="D67" s="94">
        <v>0</v>
      </c>
      <c r="E67" s="94">
        <v>0</v>
      </c>
      <c r="F67" s="94">
        <v>1</v>
      </c>
      <c r="G67" s="94">
        <v>0</v>
      </c>
      <c r="H67" s="94">
        <v>1</v>
      </c>
      <c r="I67" s="94">
        <v>0</v>
      </c>
      <c r="J67" s="94">
        <v>9</v>
      </c>
      <c r="K67" s="94">
        <v>0</v>
      </c>
      <c r="L67" s="94">
        <v>2</v>
      </c>
      <c r="M67" s="94">
        <v>0</v>
      </c>
      <c r="N67" s="94">
        <v>1</v>
      </c>
      <c r="O67" s="94">
        <v>1</v>
      </c>
      <c r="P67" s="94">
        <v>2</v>
      </c>
      <c r="Q67" s="94">
        <v>5</v>
      </c>
      <c r="R67" s="94">
        <v>32</v>
      </c>
      <c r="S67" s="94">
        <v>0</v>
      </c>
      <c r="T67" s="94">
        <v>4</v>
      </c>
      <c r="U67" s="94">
        <v>1</v>
      </c>
      <c r="V67" s="94">
        <v>6</v>
      </c>
      <c r="W67" s="94">
        <v>0</v>
      </c>
      <c r="X67" s="94">
        <v>0</v>
      </c>
      <c r="Y67" s="94">
        <v>2</v>
      </c>
      <c r="Z67" s="94">
        <v>24</v>
      </c>
      <c r="AA67" s="94">
        <v>7</v>
      </c>
      <c r="AB67" s="94">
        <v>4</v>
      </c>
      <c r="AC67" s="94">
        <v>1</v>
      </c>
      <c r="AD67" s="94">
        <v>24</v>
      </c>
      <c r="AE67" s="94">
        <v>12</v>
      </c>
      <c r="AF67" s="94">
        <v>25</v>
      </c>
      <c r="AG67" s="94">
        <v>17</v>
      </c>
      <c r="AH67" s="94">
        <v>3697</v>
      </c>
      <c r="AI67" s="94">
        <v>898</v>
      </c>
    </row>
    <row r="68" spans="1:35" ht="16.05" customHeight="1">
      <c r="A68" s="93" t="s">
        <v>2026</v>
      </c>
      <c r="B68" s="93" t="s">
        <v>228</v>
      </c>
      <c r="C68" s="94">
        <v>1248</v>
      </c>
      <c r="D68" s="94">
        <v>119</v>
      </c>
      <c r="E68" s="94">
        <v>89</v>
      </c>
      <c r="F68" s="94">
        <v>49</v>
      </c>
      <c r="G68" s="94">
        <v>103</v>
      </c>
      <c r="H68" s="94">
        <v>9</v>
      </c>
      <c r="I68" s="94">
        <v>34</v>
      </c>
      <c r="J68" s="94">
        <v>41</v>
      </c>
      <c r="K68" s="94">
        <v>108</v>
      </c>
      <c r="L68" s="94">
        <v>9</v>
      </c>
      <c r="M68" s="94">
        <v>9</v>
      </c>
      <c r="N68" s="94">
        <v>10</v>
      </c>
      <c r="O68" s="94">
        <v>36</v>
      </c>
      <c r="P68" s="94">
        <v>12</v>
      </c>
      <c r="Q68" s="94">
        <v>19</v>
      </c>
      <c r="R68" s="94">
        <v>108</v>
      </c>
      <c r="S68" s="94">
        <v>184</v>
      </c>
      <c r="T68" s="94">
        <v>24</v>
      </c>
      <c r="U68" s="94">
        <v>20</v>
      </c>
      <c r="V68" s="94">
        <v>25</v>
      </c>
      <c r="W68" s="94">
        <v>13</v>
      </c>
      <c r="X68" s="94">
        <v>8</v>
      </c>
      <c r="Y68" s="94">
        <v>23</v>
      </c>
      <c r="Z68" s="94">
        <v>77</v>
      </c>
      <c r="AA68" s="94">
        <v>72</v>
      </c>
      <c r="AB68" s="94">
        <v>22</v>
      </c>
      <c r="AC68" s="94">
        <v>10</v>
      </c>
      <c r="AD68" s="94">
        <v>70</v>
      </c>
      <c r="AE68" s="94">
        <v>36</v>
      </c>
      <c r="AF68" s="94">
        <v>49</v>
      </c>
      <c r="AG68" s="94">
        <v>60</v>
      </c>
      <c r="AH68" s="94">
        <v>2496</v>
      </c>
      <c r="AI68" s="94">
        <v>1247</v>
      </c>
    </row>
    <row r="69" spans="1:35" ht="16.05" customHeight="1">
      <c r="A69" s="93" t="s">
        <v>2026</v>
      </c>
      <c r="B69" s="93" t="s">
        <v>229</v>
      </c>
      <c r="C69" s="94">
        <v>43</v>
      </c>
      <c r="D69" s="94">
        <v>43</v>
      </c>
      <c r="E69" s="94">
        <v>18</v>
      </c>
      <c r="F69" s="94">
        <v>38</v>
      </c>
      <c r="G69" s="94">
        <v>13</v>
      </c>
      <c r="H69" s="94">
        <v>23</v>
      </c>
      <c r="I69" s="94">
        <v>14</v>
      </c>
      <c r="J69" s="94">
        <v>36</v>
      </c>
      <c r="K69" s="94">
        <v>30</v>
      </c>
      <c r="L69" s="94">
        <v>12</v>
      </c>
      <c r="M69" s="94">
        <v>8</v>
      </c>
      <c r="N69" s="94">
        <v>22</v>
      </c>
      <c r="O69" s="94">
        <v>4</v>
      </c>
      <c r="P69" s="94">
        <v>17</v>
      </c>
      <c r="Q69" s="94">
        <v>12</v>
      </c>
      <c r="R69" s="94">
        <v>72</v>
      </c>
      <c r="S69" s="94">
        <v>35</v>
      </c>
      <c r="T69" s="94">
        <v>13</v>
      </c>
      <c r="U69" s="94">
        <v>16</v>
      </c>
      <c r="V69" s="94">
        <v>13</v>
      </c>
      <c r="W69" s="94">
        <v>27</v>
      </c>
      <c r="X69" s="94">
        <v>16</v>
      </c>
      <c r="Y69" s="94">
        <v>12</v>
      </c>
      <c r="Z69" s="94">
        <v>48</v>
      </c>
      <c r="AA69" s="94">
        <v>21</v>
      </c>
      <c r="AB69" s="94">
        <v>17</v>
      </c>
      <c r="AC69" s="94">
        <v>31</v>
      </c>
      <c r="AD69" s="94">
        <v>48</v>
      </c>
      <c r="AE69" s="94">
        <v>33</v>
      </c>
      <c r="AF69" s="94">
        <v>62</v>
      </c>
      <c r="AG69" s="94">
        <v>81</v>
      </c>
      <c r="AH69" s="94">
        <v>961</v>
      </c>
      <c r="AI69" s="94">
        <v>245</v>
      </c>
    </row>
    <row r="70" spans="1:35" ht="16.05" customHeight="1">
      <c r="A70" s="93" t="s">
        <v>2026</v>
      </c>
      <c r="B70" s="93" t="s">
        <v>230</v>
      </c>
      <c r="C70" s="94">
        <v>56</v>
      </c>
      <c r="D70" s="94">
        <v>17</v>
      </c>
      <c r="E70" s="94">
        <v>15</v>
      </c>
      <c r="F70" s="94">
        <v>5</v>
      </c>
      <c r="G70" s="94">
        <v>24</v>
      </c>
      <c r="H70" s="94">
        <v>8</v>
      </c>
      <c r="I70" s="94">
        <v>1</v>
      </c>
      <c r="J70" s="94">
        <v>10</v>
      </c>
      <c r="K70" s="94">
        <v>11</v>
      </c>
      <c r="L70" s="94">
        <v>8</v>
      </c>
      <c r="M70" s="94">
        <v>1</v>
      </c>
      <c r="N70" s="94">
        <v>2</v>
      </c>
      <c r="O70" s="94">
        <v>6</v>
      </c>
      <c r="P70" s="94">
        <v>4</v>
      </c>
      <c r="Q70" s="94">
        <v>10</v>
      </c>
      <c r="R70" s="94">
        <v>17</v>
      </c>
      <c r="S70" s="94">
        <v>47</v>
      </c>
      <c r="T70" s="94">
        <v>12</v>
      </c>
      <c r="U70" s="94">
        <v>27</v>
      </c>
      <c r="V70" s="94">
        <v>14</v>
      </c>
      <c r="W70" s="94">
        <v>9</v>
      </c>
      <c r="X70" s="94">
        <v>1</v>
      </c>
      <c r="Y70" s="94">
        <v>7</v>
      </c>
      <c r="Z70" s="94">
        <v>24</v>
      </c>
      <c r="AA70" s="94">
        <v>54</v>
      </c>
      <c r="AB70" s="94">
        <v>38</v>
      </c>
      <c r="AC70" s="94">
        <v>10</v>
      </c>
      <c r="AD70" s="94">
        <v>21</v>
      </c>
      <c r="AE70" s="94">
        <v>88</v>
      </c>
      <c r="AF70" s="94">
        <v>29</v>
      </c>
      <c r="AG70" s="94">
        <v>111</v>
      </c>
      <c r="AH70" s="94">
        <v>249</v>
      </c>
      <c r="AI70" s="94">
        <v>628</v>
      </c>
    </row>
    <row r="71" spans="1:35" ht="16.05" customHeight="1">
      <c r="A71" s="93" t="s">
        <v>2026</v>
      </c>
      <c r="B71" s="93" t="s">
        <v>231</v>
      </c>
      <c r="C71" s="94">
        <v>25</v>
      </c>
      <c r="D71" s="94">
        <v>28</v>
      </c>
      <c r="E71" s="94">
        <v>12</v>
      </c>
      <c r="F71" s="94">
        <v>22</v>
      </c>
      <c r="G71" s="94">
        <v>14</v>
      </c>
      <c r="H71" s="94">
        <v>2</v>
      </c>
      <c r="I71" s="94">
        <v>2</v>
      </c>
      <c r="J71" s="94">
        <v>15</v>
      </c>
      <c r="K71" s="94">
        <v>3</v>
      </c>
      <c r="L71" s="94">
        <v>4</v>
      </c>
      <c r="M71" s="94">
        <v>0</v>
      </c>
      <c r="N71" s="94">
        <v>3</v>
      </c>
      <c r="O71" s="94">
        <v>0</v>
      </c>
      <c r="P71" s="94">
        <v>6</v>
      </c>
      <c r="Q71" s="94">
        <v>3</v>
      </c>
      <c r="R71" s="94">
        <v>13</v>
      </c>
      <c r="S71" s="94">
        <v>15</v>
      </c>
      <c r="T71" s="94">
        <v>9</v>
      </c>
      <c r="U71" s="94">
        <v>3</v>
      </c>
      <c r="V71" s="94">
        <v>10</v>
      </c>
      <c r="W71" s="94">
        <v>2</v>
      </c>
      <c r="X71" s="94">
        <v>0</v>
      </c>
      <c r="Y71" s="94">
        <v>1</v>
      </c>
      <c r="Z71" s="94">
        <v>16</v>
      </c>
      <c r="AA71" s="94">
        <v>5</v>
      </c>
      <c r="AB71" s="94">
        <v>4</v>
      </c>
      <c r="AC71" s="94">
        <v>1</v>
      </c>
      <c r="AD71" s="94">
        <v>31</v>
      </c>
      <c r="AE71" s="94">
        <v>9</v>
      </c>
      <c r="AF71" s="94">
        <v>25</v>
      </c>
      <c r="AG71" s="94">
        <v>26</v>
      </c>
      <c r="AH71" s="94">
        <v>472</v>
      </c>
      <c r="AI71" s="94">
        <v>412</v>
      </c>
    </row>
    <row r="72" spans="1:35" ht="16.05" customHeight="1">
      <c r="A72" s="93" t="s">
        <v>2026</v>
      </c>
      <c r="B72" s="93" t="s">
        <v>232</v>
      </c>
      <c r="C72" s="94">
        <v>77</v>
      </c>
      <c r="D72" s="94">
        <v>3</v>
      </c>
      <c r="E72" s="94">
        <v>4</v>
      </c>
      <c r="F72" s="94">
        <v>3</v>
      </c>
      <c r="G72" s="94">
        <v>13</v>
      </c>
      <c r="H72" s="94">
        <v>1</v>
      </c>
      <c r="I72" s="94">
        <v>3</v>
      </c>
      <c r="J72" s="94">
        <v>11</v>
      </c>
      <c r="K72" s="94">
        <v>12</v>
      </c>
      <c r="L72" s="94">
        <v>5</v>
      </c>
      <c r="M72" s="94">
        <v>1</v>
      </c>
      <c r="N72" s="94">
        <v>2</v>
      </c>
      <c r="O72" s="94">
        <v>1</v>
      </c>
      <c r="P72" s="94">
        <v>3</v>
      </c>
      <c r="Q72" s="94">
        <v>2</v>
      </c>
      <c r="R72" s="94">
        <v>19</v>
      </c>
      <c r="S72" s="94">
        <v>19</v>
      </c>
      <c r="T72" s="94">
        <v>4</v>
      </c>
      <c r="U72" s="94">
        <v>5</v>
      </c>
      <c r="V72" s="94">
        <v>8</v>
      </c>
      <c r="W72" s="94">
        <v>7</v>
      </c>
      <c r="X72" s="94">
        <v>1</v>
      </c>
      <c r="Y72" s="94">
        <v>2</v>
      </c>
      <c r="Z72" s="94">
        <v>8</v>
      </c>
      <c r="AA72" s="94">
        <v>21</v>
      </c>
      <c r="AB72" s="94">
        <v>8</v>
      </c>
      <c r="AC72" s="94">
        <v>4</v>
      </c>
      <c r="AD72" s="94">
        <v>8</v>
      </c>
      <c r="AE72" s="94">
        <v>31</v>
      </c>
      <c r="AF72" s="94">
        <v>12</v>
      </c>
      <c r="AG72" s="94">
        <v>17</v>
      </c>
      <c r="AH72" s="94">
        <v>53</v>
      </c>
      <c r="AI72" s="94">
        <v>727</v>
      </c>
    </row>
    <row r="73" spans="1:35" ht="16.05" customHeight="1">
      <c r="A73" s="93" t="s">
        <v>2026</v>
      </c>
      <c r="B73" s="93" t="s">
        <v>233</v>
      </c>
      <c r="C73" s="94">
        <v>0</v>
      </c>
      <c r="D73" s="94">
        <v>0</v>
      </c>
      <c r="E73" s="94">
        <v>0</v>
      </c>
      <c r="F73" s="94">
        <v>0</v>
      </c>
      <c r="G73" s="94">
        <v>0</v>
      </c>
      <c r="H73" s="94">
        <v>0</v>
      </c>
      <c r="I73" s="94">
        <v>0</v>
      </c>
      <c r="J73" s="94">
        <v>0</v>
      </c>
      <c r="K73" s="94">
        <v>0</v>
      </c>
      <c r="L73" s="94">
        <v>0</v>
      </c>
      <c r="M73" s="94">
        <v>0</v>
      </c>
      <c r="N73" s="94">
        <v>0</v>
      </c>
      <c r="O73" s="94">
        <v>0</v>
      </c>
      <c r="P73" s="94">
        <v>0</v>
      </c>
      <c r="Q73" s="94">
        <v>0</v>
      </c>
      <c r="R73" s="94">
        <v>0</v>
      </c>
      <c r="S73" s="94">
        <v>0</v>
      </c>
      <c r="T73" s="94">
        <v>0</v>
      </c>
      <c r="U73" s="94">
        <v>0</v>
      </c>
      <c r="V73" s="94">
        <v>0</v>
      </c>
      <c r="W73" s="94">
        <v>0</v>
      </c>
      <c r="X73" s="94">
        <v>0</v>
      </c>
      <c r="Y73" s="94">
        <v>0</v>
      </c>
      <c r="Z73" s="94">
        <v>0</v>
      </c>
      <c r="AA73" s="94">
        <v>0</v>
      </c>
      <c r="AB73" s="94">
        <v>0</v>
      </c>
      <c r="AC73" s="94">
        <v>0</v>
      </c>
      <c r="AD73" s="94">
        <v>0</v>
      </c>
      <c r="AE73" s="94">
        <v>0</v>
      </c>
      <c r="AF73" s="94">
        <v>0</v>
      </c>
      <c r="AG73" s="94">
        <v>0</v>
      </c>
      <c r="AH73" s="94">
        <v>12</v>
      </c>
      <c r="AI73" s="94">
        <v>34</v>
      </c>
    </row>
    <row r="74" spans="1:35" ht="16.05" customHeight="1">
      <c r="A74" s="93" t="s">
        <v>2026</v>
      </c>
      <c r="B74" s="93" t="s">
        <v>234</v>
      </c>
      <c r="C74" s="94">
        <v>1529</v>
      </c>
      <c r="D74" s="94">
        <v>86</v>
      </c>
      <c r="E74" s="94">
        <v>81</v>
      </c>
      <c r="F74" s="94">
        <v>14</v>
      </c>
      <c r="G74" s="94">
        <v>74</v>
      </c>
      <c r="H74" s="94">
        <v>20</v>
      </c>
      <c r="I74" s="94">
        <v>16</v>
      </c>
      <c r="J74" s="94">
        <v>5</v>
      </c>
      <c r="K74" s="94">
        <v>70</v>
      </c>
      <c r="L74" s="94">
        <v>7</v>
      </c>
      <c r="M74" s="94">
        <v>24</v>
      </c>
      <c r="N74" s="94">
        <v>1</v>
      </c>
      <c r="O74" s="94">
        <v>13</v>
      </c>
      <c r="P74" s="94">
        <v>2</v>
      </c>
      <c r="Q74" s="94">
        <v>7</v>
      </c>
      <c r="R74" s="94">
        <v>2</v>
      </c>
      <c r="S74" s="94">
        <v>100</v>
      </c>
      <c r="T74" s="94">
        <v>18</v>
      </c>
      <c r="U74" s="94">
        <v>13</v>
      </c>
      <c r="V74" s="94">
        <v>2</v>
      </c>
      <c r="W74" s="94">
        <v>21</v>
      </c>
      <c r="X74" s="94">
        <v>2</v>
      </c>
      <c r="Y74" s="94">
        <v>0</v>
      </c>
      <c r="Z74" s="94">
        <v>2</v>
      </c>
      <c r="AA74" s="94">
        <v>15</v>
      </c>
      <c r="AB74" s="94">
        <v>0</v>
      </c>
      <c r="AC74" s="94">
        <v>3</v>
      </c>
      <c r="AD74" s="94">
        <v>1</v>
      </c>
      <c r="AE74" s="94">
        <v>9</v>
      </c>
      <c r="AF74" s="94">
        <v>0</v>
      </c>
      <c r="AG74" s="94">
        <v>4</v>
      </c>
      <c r="AH74" s="94">
        <v>42</v>
      </c>
      <c r="AI74" s="94">
        <v>778</v>
      </c>
    </row>
    <row r="75" spans="1:35" ht="16.05" customHeight="1">
      <c r="A75" s="93" t="s">
        <v>2026</v>
      </c>
      <c r="B75" s="93" t="s">
        <v>235</v>
      </c>
      <c r="C75" s="94">
        <v>33</v>
      </c>
      <c r="D75" s="94">
        <v>26</v>
      </c>
      <c r="E75" s="94">
        <v>15</v>
      </c>
      <c r="F75" s="94">
        <v>14</v>
      </c>
      <c r="G75" s="94">
        <v>15</v>
      </c>
      <c r="H75" s="94">
        <v>17</v>
      </c>
      <c r="I75" s="94">
        <v>10</v>
      </c>
      <c r="J75" s="94">
        <v>15</v>
      </c>
      <c r="K75" s="94">
        <v>15</v>
      </c>
      <c r="L75" s="94">
        <v>2</v>
      </c>
      <c r="M75" s="94">
        <v>4</v>
      </c>
      <c r="N75" s="94">
        <v>3</v>
      </c>
      <c r="O75" s="94">
        <v>14</v>
      </c>
      <c r="P75" s="94">
        <v>7</v>
      </c>
      <c r="Q75" s="94">
        <v>17</v>
      </c>
      <c r="R75" s="94">
        <v>16</v>
      </c>
      <c r="S75" s="94">
        <v>55</v>
      </c>
      <c r="T75" s="94">
        <v>21</v>
      </c>
      <c r="U75" s="94">
        <v>12</v>
      </c>
      <c r="V75" s="94">
        <v>4</v>
      </c>
      <c r="W75" s="94">
        <v>28</v>
      </c>
      <c r="X75" s="94">
        <v>13</v>
      </c>
      <c r="Y75" s="94">
        <v>6</v>
      </c>
      <c r="Z75" s="94">
        <v>5</v>
      </c>
      <c r="AA75" s="94">
        <v>60</v>
      </c>
      <c r="AB75" s="94">
        <v>20</v>
      </c>
      <c r="AC75" s="94">
        <v>26</v>
      </c>
      <c r="AD75" s="94">
        <v>8</v>
      </c>
      <c r="AE75" s="94">
        <v>65</v>
      </c>
      <c r="AF75" s="94">
        <v>33</v>
      </c>
      <c r="AG75" s="94">
        <v>50</v>
      </c>
      <c r="AH75" s="94">
        <v>40</v>
      </c>
      <c r="AI75" s="94">
        <v>564</v>
      </c>
    </row>
    <row r="76" spans="1:35" ht="16.05" customHeight="1">
      <c r="A76" s="93" t="s">
        <v>2026</v>
      </c>
      <c r="B76" s="93" t="s">
        <v>236</v>
      </c>
      <c r="C76" s="94">
        <v>1022</v>
      </c>
      <c r="D76" s="94">
        <v>239</v>
      </c>
      <c r="E76" s="94">
        <v>111</v>
      </c>
      <c r="F76" s="94">
        <v>171</v>
      </c>
      <c r="G76" s="94">
        <v>116</v>
      </c>
      <c r="H76" s="94">
        <v>45</v>
      </c>
      <c r="I76" s="94">
        <v>82</v>
      </c>
      <c r="J76" s="94">
        <v>112</v>
      </c>
      <c r="K76" s="94">
        <v>128</v>
      </c>
      <c r="L76" s="94">
        <v>34</v>
      </c>
      <c r="M76" s="94">
        <v>23</v>
      </c>
      <c r="N76" s="94">
        <v>26</v>
      </c>
      <c r="O76" s="94">
        <v>52</v>
      </c>
      <c r="P76" s="94">
        <v>59</v>
      </c>
      <c r="Q76" s="94">
        <v>39</v>
      </c>
      <c r="R76" s="94">
        <v>111</v>
      </c>
      <c r="S76" s="94">
        <v>163</v>
      </c>
      <c r="T76" s="94">
        <v>22</v>
      </c>
      <c r="U76" s="94">
        <v>32</v>
      </c>
      <c r="V76" s="94">
        <v>24</v>
      </c>
      <c r="W76" s="94">
        <v>48</v>
      </c>
      <c r="X76" s="94">
        <v>12</v>
      </c>
      <c r="Y76" s="94">
        <v>25</v>
      </c>
      <c r="Z76" s="94">
        <v>36</v>
      </c>
      <c r="AA76" s="94">
        <v>135</v>
      </c>
      <c r="AB76" s="94">
        <v>17</v>
      </c>
      <c r="AC76" s="94">
        <v>42</v>
      </c>
      <c r="AD76" s="94">
        <v>35</v>
      </c>
      <c r="AE76" s="94">
        <v>125</v>
      </c>
      <c r="AF76" s="94">
        <v>18</v>
      </c>
      <c r="AG76" s="94">
        <v>107</v>
      </c>
      <c r="AH76" s="94">
        <v>103</v>
      </c>
      <c r="AI76" s="94">
        <v>622</v>
      </c>
    </row>
    <row r="77" spans="1:35" ht="16.05" customHeight="1">
      <c r="A77" s="93" t="s">
        <v>2026</v>
      </c>
      <c r="B77" s="93" t="s">
        <v>237</v>
      </c>
      <c r="C77" s="94">
        <v>177</v>
      </c>
      <c r="D77" s="94">
        <v>85</v>
      </c>
      <c r="E77" s="94">
        <v>39</v>
      </c>
      <c r="F77" s="94">
        <v>71</v>
      </c>
      <c r="G77" s="94">
        <v>36</v>
      </c>
      <c r="H77" s="94">
        <v>18</v>
      </c>
      <c r="I77" s="94">
        <v>25</v>
      </c>
      <c r="J77" s="94">
        <v>48</v>
      </c>
      <c r="K77" s="94">
        <v>38</v>
      </c>
      <c r="L77" s="94">
        <v>19</v>
      </c>
      <c r="M77" s="94">
        <v>7</v>
      </c>
      <c r="N77" s="94">
        <v>10</v>
      </c>
      <c r="O77" s="94">
        <v>18</v>
      </c>
      <c r="P77" s="94">
        <v>17</v>
      </c>
      <c r="Q77" s="94">
        <v>13</v>
      </c>
      <c r="R77" s="94">
        <v>47</v>
      </c>
      <c r="S77" s="94">
        <v>59</v>
      </c>
      <c r="T77" s="94">
        <v>23</v>
      </c>
      <c r="U77" s="94">
        <v>17</v>
      </c>
      <c r="V77" s="94">
        <v>19</v>
      </c>
      <c r="W77" s="94">
        <v>12</v>
      </c>
      <c r="X77" s="94">
        <v>4</v>
      </c>
      <c r="Y77" s="94">
        <v>9</v>
      </c>
      <c r="Z77" s="94">
        <v>16</v>
      </c>
      <c r="AA77" s="94">
        <v>30</v>
      </c>
      <c r="AB77" s="94">
        <v>14</v>
      </c>
      <c r="AC77" s="94">
        <v>8</v>
      </c>
      <c r="AD77" s="94">
        <v>25</v>
      </c>
      <c r="AE77" s="94">
        <v>19</v>
      </c>
      <c r="AF77" s="94">
        <v>13</v>
      </c>
      <c r="AG77" s="94">
        <v>16</v>
      </c>
      <c r="AH77" s="94">
        <v>108</v>
      </c>
      <c r="AI77" s="94">
        <v>346</v>
      </c>
    </row>
    <row r="78" spans="1:35" ht="16.05" customHeight="1">
      <c r="A78" s="93" t="s">
        <v>2026</v>
      </c>
      <c r="B78" s="93" t="s">
        <v>238</v>
      </c>
      <c r="C78" s="94">
        <v>85</v>
      </c>
      <c r="D78" s="94">
        <v>36</v>
      </c>
      <c r="E78" s="94">
        <v>22</v>
      </c>
      <c r="F78" s="94">
        <v>23</v>
      </c>
      <c r="G78" s="94">
        <v>6</v>
      </c>
      <c r="H78" s="94">
        <v>13</v>
      </c>
      <c r="I78" s="94">
        <v>5</v>
      </c>
      <c r="J78" s="94">
        <v>33</v>
      </c>
      <c r="K78" s="94">
        <v>19</v>
      </c>
      <c r="L78" s="94">
        <v>9</v>
      </c>
      <c r="M78" s="94">
        <v>9</v>
      </c>
      <c r="N78" s="94">
        <v>12</v>
      </c>
      <c r="O78" s="94">
        <v>2</v>
      </c>
      <c r="P78" s="94">
        <v>8</v>
      </c>
      <c r="Q78" s="94">
        <v>12</v>
      </c>
      <c r="R78" s="94">
        <v>59</v>
      </c>
      <c r="S78" s="94">
        <v>28</v>
      </c>
      <c r="T78" s="94">
        <v>5</v>
      </c>
      <c r="U78" s="94">
        <v>1</v>
      </c>
      <c r="V78" s="94">
        <v>18</v>
      </c>
      <c r="W78" s="94">
        <v>11</v>
      </c>
      <c r="X78" s="94">
        <v>14</v>
      </c>
      <c r="Y78" s="94">
        <v>5</v>
      </c>
      <c r="Z78" s="94">
        <v>41</v>
      </c>
      <c r="AA78" s="94">
        <v>14</v>
      </c>
      <c r="AB78" s="94">
        <v>15</v>
      </c>
      <c r="AC78" s="94">
        <v>15</v>
      </c>
      <c r="AD78" s="94">
        <v>30</v>
      </c>
      <c r="AE78" s="94">
        <v>23</v>
      </c>
      <c r="AF78" s="94">
        <v>48</v>
      </c>
      <c r="AG78" s="94">
        <v>62</v>
      </c>
      <c r="AH78" s="94">
        <v>636</v>
      </c>
      <c r="AI78" s="94">
        <v>543</v>
      </c>
    </row>
    <row r="79" spans="1:35" ht="16.05" customHeight="1">
      <c r="A79" s="93" t="s">
        <v>2026</v>
      </c>
      <c r="B79" s="93" t="s">
        <v>239</v>
      </c>
      <c r="C79" s="94">
        <v>914</v>
      </c>
      <c r="D79" s="94">
        <v>149</v>
      </c>
      <c r="E79" s="94">
        <v>44</v>
      </c>
      <c r="F79" s="94">
        <v>73</v>
      </c>
      <c r="G79" s="94">
        <v>32</v>
      </c>
      <c r="H79" s="94">
        <v>12</v>
      </c>
      <c r="I79" s="94">
        <v>16</v>
      </c>
      <c r="J79" s="94">
        <v>51</v>
      </c>
      <c r="K79" s="94">
        <v>38</v>
      </c>
      <c r="L79" s="94">
        <v>11</v>
      </c>
      <c r="M79" s="94">
        <v>5</v>
      </c>
      <c r="N79" s="94">
        <v>9</v>
      </c>
      <c r="O79" s="94">
        <v>16</v>
      </c>
      <c r="P79" s="94">
        <v>2</v>
      </c>
      <c r="Q79" s="94">
        <v>20</v>
      </c>
      <c r="R79" s="94">
        <v>22</v>
      </c>
      <c r="S79" s="94">
        <v>117</v>
      </c>
      <c r="T79" s="94">
        <v>3</v>
      </c>
      <c r="U79" s="94">
        <v>9</v>
      </c>
      <c r="V79" s="94">
        <v>3</v>
      </c>
      <c r="W79" s="94">
        <v>9</v>
      </c>
      <c r="X79" s="94">
        <v>0</v>
      </c>
      <c r="Y79" s="94">
        <v>4</v>
      </c>
      <c r="Z79" s="94">
        <v>4</v>
      </c>
      <c r="AA79" s="94">
        <v>72</v>
      </c>
      <c r="AB79" s="94">
        <v>2</v>
      </c>
      <c r="AC79" s="94">
        <v>4</v>
      </c>
      <c r="AD79" s="94">
        <v>4</v>
      </c>
      <c r="AE79" s="94">
        <v>44</v>
      </c>
      <c r="AF79" s="94">
        <v>4</v>
      </c>
      <c r="AG79" s="94">
        <v>27</v>
      </c>
      <c r="AH79" s="94">
        <v>26</v>
      </c>
      <c r="AI79" s="94">
        <v>459</v>
      </c>
    </row>
    <row r="80" spans="1:35" ht="16.05" customHeight="1">
      <c r="A80" s="93" t="s">
        <v>2026</v>
      </c>
      <c r="B80" s="93" t="s">
        <v>240</v>
      </c>
      <c r="C80" s="94">
        <v>0</v>
      </c>
      <c r="D80" s="94">
        <v>0</v>
      </c>
      <c r="E80" s="94">
        <v>0</v>
      </c>
      <c r="F80" s="94">
        <v>0</v>
      </c>
      <c r="G80" s="94">
        <v>0</v>
      </c>
      <c r="H80" s="94">
        <v>0</v>
      </c>
      <c r="I80" s="94">
        <v>0</v>
      </c>
      <c r="J80" s="94">
        <v>0</v>
      </c>
      <c r="K80" s="94">
        <v>0</v>
      </c>
      <c r="L80" s="94">
        <v>0</v>
      </c>
      <c r="M80" s="94">
        <v>0</v>
      </c>
      <c r="N80" s="94">
        <v>0</v>
      </c>
      <c r="O80" s="94">
        <v>0</v>
      </c>
      <c r="P80" s="94">
        <v>0</v>
      </c>
      <c r="Q80" s="94">
        <v>0</v>
      </c>
      <c r="R80" s="94">
        <v>0</v>
      </c>
      <c r="S80" s="94">
        <v>0</v>
      </c>
      <c r="T80" s="94">
        <v>0</v>
      </c>
      <c r="U80" s="94">
        <v>0</v>
      </c>
      <c r="V80" s="94">
        <v>0</v>
      </c>
      <c r="W80" s="94">
        <v>0</v>
      </c>
      <c r="X80" s="94">
        <v>0</v>
      </c>
      <c r="Y80" s="94">
        <v>0</v>
      </c>
      <c r="Z80" s="94">
        <v>0</v>
      </c>
      <c r="AA80" s="94">
        <v>0</v>
      </c>
      <c r="AB80" s="94">
        <v>0</v>
      </c>
      <c r="AC80" s="94">
        <v>0</v>
      </c>
      <c r="AD80" s="94">
        <v>0</v>
      </c>
      <c r="AE80" s="94">
        <v>0</v>
      </c>
      <c r="AF80" s="94">
        <v>0</v>
      </c>
      <c r="AG80" s="94">
        <v>0</v>
      </c>
      <c r="AH80" s="94">
        <v>4</v>
      </c>
      <c r="AI80" s="94">
        <v>155</v>
      </c>
    </row>
    <row r="81" spans="1:35" ht="16.05" customHeight="1">
      <c r="A81" s="93" t="s">
        <v>2026</v>
      </c>
      <c r="B81" s="93" t="s">
        <v>241</v>
      </c>
      <c r="C81" s="94">
        <v>2</v>
      </c>
      <c r="D81" s="94">
        <v>0</v>
      </c>
      <c r="E81" s="94">
        <v>1</v>
      </c>
      <c r="F81" s="94">
        <v>0</v>
      </c>
      <c r="G81" s="94">
        <v>0</v>
      </c>
      <c r="H81" s="94">
        <v>0</v>
      </c>
      <c r="I81" s="94">
        <v>0</v>
      </c>
      <c r="J81" s="94">
        <v>0</v>
      </c>
      <c r="K81" s="94">
        <v>0</v>
      </c>
      <c r="L81" s="94">
        <v>0</v>
      </c>
      <c r="M81" s="94">
        <v>0</v>
      </c>
      <c r="N81" s="94">
        <v>0</v>
      </c>
      <c r="O81" s="94">
        <v>0</v>
      </c>
      <c r="P81" s="94">
        <v>0</v>
      </c>
      <c r="Q81" s="94">
        <v>0</v>
      </c>
      <c r="R81" s="94">
        <v>0</v>
      </c>
      <c r="S81" s="94">
        <v>17</v>
      </c>
      <c r="T81" s="94">
        <v>2</v>
      </c>
      <c r="U81" s="94">
        <v>0</v>
      </c>
      <c r="V81" s="94">
        <v>2</v>
      </c>
      <c r="W81" s="94">
        <v>4</v>
      </c>
      <c r="X81" s="94">
        <v>0</v>
      </c>
      <c r="Y81" s="94">
        <v>0</v>
      </c>
      <c r="Z81" s="94">
        <v>1</v>
      </c>
      <c r="AA81" s="94">
        <v>1</v>
      </c>
      <c r="AB81" s="94">
        <v>0</v>
      </c>
      <c r="AC81" s="94">
        <v>0</v>
      </c>
      <c r="AD81" s="94">
        <v>0</v>
      </c>
      <c r="AE81" s="94">
        <v>0</v>
      </c>
      <c r="AF81" s="94">
        <v>0</v>
      </c>
      <c r="AG81" s="94">
        <v>0</v>
      </c>
      <c r="AH81" s="94">
        <v>0</v>
      </c>
      <c r="AI81" s="94">
        <v>442</v>
      </c>
    </row>
    <row r="82" spans="1:35" ht="16.05" customHeight="1">
      <c r="A82" s="93" t="s">
        <v>2026</v>
      </c>
      <c r="B82" s="93" t="s">
        <v>242</v>
      </c>
      <c r="C82" s="94">
        <v>162</v>
      </c>
      <c r="D82" s="94">
        <v>92</v>
      </c>
      <c r="E82" s="94">
        <v>33</v>
      </c>
      <c r="F82" s="94">
        <v>53</v>
      </c>
      <c r="G82" s="94">
        <v>34</v>
      </c>
      <c r="H82" s="94">
        <v>8</v>
      </c>
      <c r="I82" s="94">
        <v>6</v>
      </c>
      <c r="J82" s="94">
        <v>9</v>
      </c>
      <c r="K82" s="94">
        <v>20</v>
      </c>
      <c r="L82" s="94">
        <v>15</v>
      </c>
      <c r="M82" s="94">
        <v>5</v>
      </c>
      <c r="N82" s="94">
        <v>2</v>
      </c>
      <c r="O82" s="94">
        <v>4</v>
      </c>
      <c r="P82" s="94">
        <v>2</v>
      </c>
      <c r="Q82" s="94">
        <v>0</v>
      </c>
      <c r="R82" s="94">
        <v>4</v>
      </c>
      <c r="S82" s="94">
        <v>35</v>
      </c>
      <c r="T82" s="94">
        <v>29</v>
      </c>
      <c r="U82" s="94">
        <v>6</v>
      </c>
      <c r="V82" s="94">
        <v>10</v>
      </c>
      <c r="W82" s="94">
        <v>2</v>
      </c>
      <c r="X82" s="94">
        <v>3</v>
      </c>
      <c r="Y82" s="94">
        <v>2</v>
      </c>
      <c r="Z82" s="94">
        <v>3</v>
      </c>
      <c r="AA82" s="94">
        <v>5</v>
      </c>
      <c r="AB82" s="94">
        <v>7</v>
      </c>
      <c r="AC82" s="94">
        <v>0</v>
      </c>
      <c r="AD82" s="94">
        <v>6</v>
      </c>
      <c r="AE82" s="94">
        <v>2</v>
      </c>
      <c r="AF82" s="94">
        <v>0</v>
      </c>
      <c r="AG82" s="94">
        <v>1</v>
      </c>
      <c r="AH82" s="94">
        <v>6</v>
      </c>
      <c r="AI82" s="94">
        <v>527</v>
      </c>
    </row>
    <row r="83" spans="1:35" ht="16.05" customHeight="1">
      <c r="A83" s="93" t="s">
        <v>2026</v>
      </c>
      <c r="B83" s="93" t="s">
        <v>243</v>
      </c>
      <c r="C83" s="94">
        <v>700</v>
      </c>
      <c r="D83" s="94">
        <v>18</v>
      </c>
      <c r="E83" s="94">
        <v>20</v>
      </c>
      <c r="F83" s="94">
        <v>2</v>
      </c>
      <c r="G83" s="94">
        <v>23</v>
      </c>
      <c r="H83" s="94">
        <v>1</v>
      </c>
      <c r="I83" s="94">
        <v>1</v>
      </c>
      <c r="J83" s="94">
        <v>0</v>
      </c>
      <c r="K83" s="94">
        <v>27</v>
      </c>
      <c r="L83" s="94">
        <v>1</v>
      </c>
      <c r="M83" s="94">
        <v>1</v>
      </c>
      <c r="N83" s="94">
        <v>0</v>
      </c>
      <c r="O83" s="94">
        <v>1</v>
      </c>
      <c r="P83" s="94">
        <v>0</v>
      </c>
      <c r="Q83" s="94">
        <v>0</v>
      </c>
      <c r="R83" s="94">
        <v>0</v>
      </c>
      <c r="S83" s="94">
        <v>34</v>
      </c>
      <c r="T83" s="94">
        <v>3</v>
      </c>
      <c r="U83" s="94">
        <v>1</v>
      </c>
      <c r="V83" s="94">
        <v>0</v>
      </c>
      <c r="W83" s="94">
        <v>4</v>
      </c>
      <c r="X83" s="94">
        <v>0</v>
      </c>
      <c r="Y83" s="94">
        <v>0</v>
      </c>
      <c r="Z83" s="94">
        <v>0</v>
      </c>
      <c r="AA83" s="94">
        <v>6</v>
      </c>
      <c r="AB83" s="94">
        <v>0</v>
      </c>
      <c r="AC83" s="94">
        <v>0</v>
      </c>
      <c r="AD83" s="94">
        <v>0</v>
      </c>
      <c r="AE83" s="94">
        <v>2</v>
      </c>
      <c r="AF83" s="94">
        <v>0</v>
      </c>
      <c r="AG83" s="94">
        <v>0</v>
      </c>
      <c r="AH83" s="94">
        <v>0</v>
      </c>
      <c r="AI83" s="94">
        <v>384</v>
      </c>
    </row>
    <row r="84" spans="1:35" ht="16.05" customHeight="1">
      <c r="A84" s="93" t="s">
        <v>2026</v>
      </c>
      <c r="B84" s="93" t="s">
        <v>244</v>
      </c>
      <c r="C84" s="94">
        <v>19</v>
      </c>
      <c r="D84" s="94">
        <v>8</v>
      </c>
      <c r="E84" s="94">
        <v>2</v>
      </c>
      <c r="F84" s="94">
        <v>4</v>
      </c>
      <c r="G84" s="94">
        <v>3</v>
      </c>
      <c r="H84" s="94">
        <v>1</v>
      </c>
      <c r="I84" s="94">
        <v>0</v>
      </c>
      <c r="J84" s="94">
        <v>4</v>
      </c>
      <c r="K84" s="94">
        <v>0</v>
      </c>
      <c r="L84" s="94">
        <v>0</v>
      </c>
      <c r="M84" s="94">
        <v>0</v>
      </c>
      <c r="N84" s="94">
        <v>2</v>
      </c>
      <c r="O84" s="94">
        <v>1</v>
      </c>
      <c r="P84" s="94">
        <v>0</v>
      </c>
      <c r="Q84" s="94">
        <v>0</v>
      </c>
      <c r="R84" s="94">
        <v>14</v>
      </c>
      <c r="S84" s="94">
        <v>7</v>
      </c>
      <c r="T84" s="94">
        <v>1</v>
      </c>
      <c r="U84" s="94">
        <v>2</v>
      </c>
      <c r="V84" s="94">
        <v>0</v>
      </c>
      <c r="W84" s="94">
        <v>0</v>
      </c>
      <c r="X84" s="94">
        <v>1</v>
      </c>
      <c r="Y84" s="94">
        <v>1</v>
      </c>
      <c r="Z84" s="94">
        <v>9</v>
      </c>
      <c r="AA84" s="94">
        <v>5</v>
      </c>
      <c r="AB84" s="94">
        <v>2</v>
      </c>
      <c r="AC84" s="94">
        <v>2</v>
      </c>
      <c r="AD84" s="94">
        <v>10</v>
      </c>
      <c r="AE84" s="94">
        <v>5</v>
      </c>
      <c r="AF84" s="94">
        <v>13</v>
      </c>
      <c r="AG84" s="94">
        <v>18</v>
      </c>
      <c r="AH84" s="94">
        <v>3789</v>
      </c>
      <c r="AI84" s="94">
        <v>961</v>
      </c>
    </row>
    <row r="85" spans="1:35" ht="16.05" customHeight="1">
      <c r="A85" s="93" t="s">
        <v>2026</v>
      </c>
      <c r="B85" s="93" t="s">
        <v>245</v>
      </c>
      <c r="C85" s="94">
        <v>13</v>
      </c>
      <c r="D85" s="94">
        <v>14</v>
      </c>
      <c r="E85" s="94">
        <v>4</v>
      </c>
      <c r="F85" s="94">
        <v>12</v>
      </c>
      <c r="G85" s="94">
        <v>6</v>
      </c>
      <c r="H85" s="94">
        <v>3</v>
      </c>
      <c r="I85" s="94">
        <v>6</v>
      </c>
      <c r="J85" s="94">
        <v>4</v>
      </c>
      <c r="K85" s="94">
        <v>14</v>
      </c>
      <c r="L85" s="94">
        <v>9</v>
      </c>
      <c r="M85" s="94">
        <v>4</v>
      </c>
      <c r="N85" s="94">
        <v>3</v>
      </c>
      <c r="O85" s="94">
        <v>8</v>
      </c>
      <c r="P85" s="94">
        <v>8</v>
      </c>
      <c r="Q85" s="94">
        <v>3</v>
      </c>
      <c r="R85" s="94">
        <v>2</v>
      </c>
      <c r="S85" s="94">
        <v>11</v>
      </c>
      <c r="T85" s="94">
        <v>13</v>
      </c>
      <c r="U85" s="94">
        <v>3</v>
      </c>
      <c r="V85" s="94">
        <v>29</v>
      </c>
      <c r="W85" s="94">
        <v>5</v>
      </c>
      <c r="X85" s="94">
        <v>0</v>
      </c>
      <c r="Y85" s="94">
        <v>3</v>
      </c>
      <c r="Z85" s="94">
        <v>7</v>
      </c>
      <c r="AA85" s="94">
        <v>5</v>
      </c>
      <c r="AB85" s="94">
        <v>19</v>
      </c>
      <c r="AC85" s="94">
        <v>2</v>
      </c>
      <c r="AD85" s="94">
        <v>13</v>
      </c>
      <c r="AE85" s="94">
        <v>8</v>
      </c>
      <c r="AF85" s="94">
        <v>5</v>
      </c>
      <c r="AG85" s="94">
        <v>3</v>
      </c>
      <c r="AH85" s="94">
        <v>10</v>
      </c>
      <c r="AI85" s="94">
        <v>438</v>
      </c>
    </row>
    <row r="86" spans="1:35" ht="16.05" customHeight="1">
      <c r="A86" s="93" t="s">
        <v>2026</v>
      </c>
      <c r="B86" s="93" t="s">
        <v>246</v>
      </c>
      <c r="C86" s="94">
        <v>5</v>
      </c>
      <c r="D86" s="94">
        <v>14</v>
      </c>
      <c r="E86" s="94">
        <v>7</v>
      </c>
      <c r="F86" s="94">
        <v>16</v>
      </c>
      <c r="G86" s="94">
        <v>5</v>
      </c>
      <c r="H86" s="94">
        <v>19</v>
      </c>
      <c r="I86" s="94">
        <v>5</v>
      </c>
      <c r="J86" s="94">
        <v>76</v>
      </c>
      <c r="K86" s="94">
        <v>4</v>
      </c>
      <c r="L86" s="94">
        <v>31</v>
      </c>
      <c r="M86" s="94">
        <v>7</v>
      </c>
      <c r="N86" s="94">
        <v>32</v>
      </c>
      <c r="O86" s="94">
        <v>4</v>
      </c>
      <c r="P86" s="94">
        <v>27</v>
      </c>
      <c r="Q86" s="94">
        <v>17</v>
      </c>
      <c r="R86" s="94">
        <v>280</v>
      </c>
      <c r="S86" s="94">
        <v>5</v>
      </c>
      <c r="T86" s="94">
        <v>3</v>
      </c>
      <c r="U86" s="94">
        <v>12</v>
      </c>
      <c r="V86" s="94">
        <v>62</v>
      </c>
      <c r="W86" s="94">
        <v>8</v>
      </c>
      <c r="X86" s="94">
        <v>14</v>
      </c>
      <c r="Y86" s="94">
        <v>22</v>
      </c>
      <c r="Z86" s="94">
        <v>176</v>
      </c>
      <c r="AA86" s="94">
        <v>6</v>
      </c>
      <c r="AB86" s="94">
        <v>31</v>
      </c>
      <c r="AC86" s="94">
        <v>10</v>
      </c>
      <c r="AD86" s="94">
        <v>162</v>
      </c>
      <c r="AE86" s="94">
        <v>25</v>
      </c>
      <c r="AF86" s="94">
        <v>136</v>
      </c>
      <c r="AG86" s="94">
        <v>133</v>
      </c>
      <c r="AH86" s="94">
        <v>7072</v>
      </c>
      <c r="AI86" s="94">
        <v>987</v>
      </c>
    </row>
    <row r="87" spans="1:35" ht="16.05" customHeight="1">
      <c r="A87" s="93" t="s">
        <v>2026</v>
      </c>
      <c r="B87" s="93" t="s">
        <v>247</v>
      </c>
      <c r="C87" s="94">
        <v>37</v>
      </c>
      <c r="D87" s="94">
        <v>48</v>
      </c>
      <c r="E87" s="94">
        <v>26</v>
      </c>
      <c r="F87" s="94">
        <v>79</v>
      </c>
      <c r="G87" s="94">
        <v>12</v>
      </c>
      <c r="H87" s="94">
        <v>41</v>
      </c>
      <c r="I87" s="94">
        <v>15</v>
      </c>
      <c r="J87" s="94">
        <v>120</v>
      </c>
      <c r="K87" s="94">
        <v>26</v>
      </c>
      <c r="L87" s="94">
        <v>29</v>
      </c>
      <c r="M87" s="94">
        <v>47</v>
      </c>
      <c r="N87" s="94">
        <v>116</v>
      </c>
      <c r="O87" s="94">
        <v>28</v>
      </c>
      <c r="P87" s="94">
        <v>35</v>
      </c>
      <c r="Q87" s="94">
        <v>50</v>
      </c>
      <c r="R87" s="94">
        <v>359</v>
      </c>
      <c r="S87" s="94">
        <v>52</v>
      </c>
      <c r="T87" s="94">
        <v>67</v>
      </c>
      <c r="U87" s="94">
        <v>27</v>
      </c>
      <c r="V87" s="94">
        <v>69</v>
      </c>
      <c r="W87" s="94">
        <v>38</v>
      </c>
      <c r="X87" s="94">
        <v>125</v>
      </c>
      <c r="Y87" s="94">
        <v>43</v>
      </c>
      <c r="Z87" s="94">
        <v>300</v>
      </c>
      <c r="AA87" s="94">
        <v>100</v>
      </c>
      <c r="AB87" s="94">
        <v>76</v>
      </c>
      <c r="AC87" s="94">
        <v>125</v>
      </c>
      <c r="AD87" s="94">
        <v>218</v>
      </c>
      <c r="AE87" s="94">
        <v>162</v>
      </c>
      <c r="AF87" s="94">
        <v>351</v>
      </c>
      <c r="AG87" s="94">
        <v>467</v>
      </c>
      <c r="AH87" s="94">
        <v>4493</v>
      </c>
      <c r="AI87" s="94">
        <v>2182</v>
      </c>
    </row>
    <row r="88" spans="1:35" ht="16.05" customHeight="1">
      <c r="A88" s="93" t="s">
        <v>2026</v>
      </c>
      <c r="B88" s="93" t="s">
        <v>248</v>
      </c>
      <c r="C88" s="94">
        <v>17</v>
      </c>
      <c r="D88" s="94">
        <v>59</v>
      </c>
      <c r="E88" s="94">
        <v>13</v>
      </c>
      <c r="F88" s="94">
        <v>66</v>
      </c>
      <c r="G88" s="94">
        <v>5</v>
      </c>
      <c r="H88" s="94">
        <v>20</v>
      </c>
      <c r="I88" s="94">
        <v>14</v>
      </c>
      <c r="J88" s="94">
        <v>132</v>
      </c>
      <c r="K88" s="94">
        <v>1</v>
      </c>
      <c r="L88" s="94">
        <v>16</v>
      </c>
      <c r="M88" s="94">
        <v>3</v>
      </c>
      <c r="N88" s="94">
        <v>19</v>
      </c>
      <c r="O88" s="94">
        <v>5</v>
      </c>
      <c r="P88" s="94">
        <v>10</v>
      </c>
      <c r="Q88" s="94">
        <v>18</v>
      </c>
      <c r="R88" s="94">
        <v>142</v>
      </c>
      <c r="S88" s="94">
        <v>2</v>
      </c>
      <c r="T88" s="94">
        <v>4</v>
      </c>
      <c r="U88" s="94">
        <v>0</v>
      </c>
      <c r="V88" s="94">
        <v>29</v>
      </c>
      <c r="W88" s="94">
        <v>0</v>
      </c>
      <c r="X88" s="94">
        <v>6</v>
      </c>
      <c r="Y88" s="94">
        <v>1</v>
      </c>
      <c r="Z88" s="94">
        <v>46</v>
      </c>
      <c r="AA88" s="94">
        <v>2</v>
      </c>
      <c r="AB88" s="94">
        <v>8</v>
      </c>
      <c r="AC88" s="94">
        <v>3</v>
      </c>
      <c r="AD88" s="94">
        <v>42</v>
      </c>
      <c r="AE88" s="94">
        <v>7</v>
      </c>
      <c r="AF88" s="94">
        <v>36</v>
      </c>
      <c r="AG88" s="94">
        <v>15</v>
      </c>
      <c r="AH88" s="94">
        <v>567</v>
      </c>
      <c r="AI88" s="94">
        <v>1164</v>
      </c>
    </row>
    <row r="89" spans="1:35" ht="16.05" customHeight="1">
      <c r="A89" s="93" t="s">
        <v>2026</v>
      </c>
      <c r="B89" s="93" t="s">
        <v>249</v>
      </c>
      <c r="C89" s="94">
        <v>0</v>
      </c>
      <c r="D89" s="94">
        <v>1</v>
      </c>
      <c r="E89" s="94">
        <v>2</v>
      </c>
      <c r="F89" s="94">
        <v>14</v>
      </c>
      <c r="G89" s="94">
        <v>0</v>
      </c>
      <c r="H89" s="94">
        <v>8</v>
      </c>
      <c r="I89" s="94">
        <v>0</v>
      </c>
      <c r="J89" s="94">
        <v>52</v>
      </c>
      <c r="K89" s="94">
        <v>0</v>
      </c>
      <c r="L89" s="94">
        <v>4</v>
      </c>
      <c r="M89" s="94">
        <v>4</v>
      </c>
      <c r="N89" s="94">
        <v>41</v>
      </c>
      <c r="O89" s="94">
        <v>0</v>
      </c>
      <c r="P89" s="94">
        <v>1</v>
      </c>
      <c r="Q89" s="94">
        <v>0</v>
      </c>
      <c r="R89" s="94">
        <v>148</v>
      </c>
      <c r="S89" s="94">
        <v>2</v>
      </c>
      <c r="T89" s="94">
        <v>8</v>
      </c>
      <c r="U89" s="94">
        <v>6</v>
      </c>
      <c r="V89" s="94">
        <v>35</v>
      </c>
      <c r="W89" s="94">
        <v>4</v>
      </c>
      <c r="X89" s="94">
        <v>30</v>
      </c>
      <c r="Y89" s="94">
        <v>0</v>
      </c>
      <c r="Z89" s="94">
        <v>109</v>
      </c>
      <c r="AA89" s="94">
        <v>5</v>
      </c>
      <c r="AB89" s="94">
        <v>33</v>
      </c>
      <c r="AC89" s="94">
        <v>21</v>
      </c>
      <c r="AD89" s="94">
        <v>67</v>
      </c>
      <c r="AE89" s="94">
        <v>25</v>
      </c>
      <c r="AF89" s="94">
        <v>63</v>
      </c>
      <c r="AG89" s="94">
        <v>45</v>
      </c>
      <c r="AH89" s="94">
        <v>1250</v>
      </c>
      <c r="AI89" s="94">
        <v>1012</v>
      </c>
    </row>
    <row r="90" spans="1:35" ht="16.05" customHeight="1">
      <c r="A90" s="93" t="s">
        <v>2026</v>
      </c>
      <c r="B90" s="93" t="s">
        <v>250</v>
      </c>
      <c r="C90" s="94">
        <v>62</v>
      </c>
      <c r="D90" s="94">
        <v>28</v>
      </c>
      <c r="E90" s="94">
        <v>15</v>
      </c>
      <c r="F90" s="94">
        <v>37</v>
      </c>
      <c r="G90" s="94">
        <v>11</v>
      </c>
      <c r="H90" s="94">
        <v>16</v>
      </c>
      <c r="I90" s="94">
        <v>5</v>
      </c>
      <c r="J90" s="94">
        <v>48</v>
      </c>
      <c r="K90" s="94">
        <v>9</v>
      </c>
      <c r="L90" s="94">
        <v>8</v>
      </c>
      <c r="M90" s="94">
        <v>7</v>
      </c>
      <c r="N90" s="94">
        <v>21</v>
      </c>
      <c r="O90" s="94">
        <v>9</v>
      </c>
      <c r="P90" s="94">
        <v>10</v>
      </c>
      <c r="Q90" s="94">
        <v>20</v>
      </c>
      <c r="R90" s="94">
        <v>133</v>
      </c>
      <c r="S90" s="94">
        <v>16</v>
      </c>
      <c r="T90" s="94">
        <v>25</v>
      </c>
      <c r="U90" s="94">
        <v>13</v>
      </c>
      <c r="V90" s="94">
        <v>16</v>
      </c>
      <c r="W90" s="94">
        <v>7</v>
      </c>
      <c r="X90" s="94">
        <v>12</v>
      </c>
      <c r="Y90" s="94">
        <v>11</v>
      </c>
      <c r="Z90" s="94">
        <v>105</v>
      </c>
      <c r="AA90" s="94">
        <v>26</v>
      </c>
      <c r="AB90" s="94">
        <v>24</v>
      </c>
      <c r="AC90" s="94">
        <v>12</v>
      </c>
      <c r="AD90" s="94">
        <v>114</v>
      </c>
      <c r="AE90" s="94">
        <v>32</v>
      </c>
      <c r="AF90" s="94">
        <v>103</v>
      </c>
      <c r="AG90" s="94">
        <v>120</v>
      </c>
      <c r="AH90" s="94">
        <v>13356</v>
      </c>
      <c r="AI90" s="94">
        <v>2381</v>
      </c>
    </row>
    <row r="91" spans="1:35" ht="16.05" customHeight="1">
      <c r="A91" s="93" t="s">
        <v>2026</v>
      </c>
      <c r="B91" s="93" t="s">
        <v>251</v>
      </c>
      <c r="C91" s="94">
        <v>5197</v>
      </c>
      <c r="D91" s="94">
        <v>308</v>
      </c>
      <c r="E91" s="94">
        <v>267</v>
      </c>
      <c r="F91" s="94">
        <v>41</v>
      </c>
      <c r="G91" s="94">
        <v>279</v>
      </c>
      <c r="H91" s="94">
        <v>25</v>
      </c>
      <c r="I91" s="94">
        <v>37</v>
      </c>
      <c r="J91" s="94">
        <v>13</v>
      </c>
      <c r="K91" s="94">
        <v>275</v>
      </c>
      <c r="L91" s="94">
        <v>37</v>
      </c>
      <c r="M91" s="94">
        <v>23</v>
      </c>
      <c r="N91" s="94">
        <v>5</v>
      </c>
      <c r="O91" s="94">
        <v>37</v>
      </c>
      <c r="P91" s="94">
        <v>10</v>
      </c>
      <c r="Q91" s="94">
        <v>17</v>
      </c>
      <c r="R91" s="94">
        <v>2</v>
      </c>
      <c r="S91" s="94">
        <v>295</v>
      </c>
      <c r="T91" s="94">
        <v>29</v>
      </c>
      <c r="U91" s="94">
        <v>36</v>
      </c>
      <c r="V91" s="94">
        <v>10</v>
      </c>
      <c r="W91" s="94">
        <v>27</v>
      </c>
      <c r="X91" s="94">
        <v>3</v>
      </c>
      <c r="Y91" s="94">
        <v>6</v>
      </c>
      <c r="Z91" s="94">
        <v>4</v>
      </c>
      <c r="AA91" s="94">
        <v>52</v>
      </c>
      <c r="AB91" s="94">
        <v>6</v>
      </c>
      <c r="AC91" s="94">
        <v>5</v>
      </c>
      <c r="AD91" s="94">
        <v>4</v>
      </c>
      <c r="AE91" s="94">
        <v>20</v>
      </c>
      <c r="AF91" s="94">
        <v>0</v>
      </c>
      <c r="AG91" s="94">
        <v>3</v>
      </c>
      <c r="AH91" s="94">
        <v>2</v>
      </c>
      <c r="AI91" s="94">
        <v>862</v>
      </c>
    </row>
    <row r="92" spans="1:35" ht="16.05" customHeight="1">
      <c r="A92" s="93" t="s">
        <v>2026</v>
      </c>
      <c r="B92" s="93" t="s">
        <v>252</v>
      </c>
      <c r="C92" s="94">
        <v>232</v>
      </c>
      <c r="D92" s="94">
        <v>146</v>
      </c>
      <c r="E92" s="94">
        <v>78</v>
      </c>
      <c r="F92" s="94">
        <v>109</v>
      </c>
      <c r="G92" s="94">
        <v>68</v>
      </c>
      <c r="H92" s="94">
        <v>35</v>
      </c>
      <c r="I92" s="94">
        <v>62</v>
      </c>
      <c r="J92" s="94">
        <v>97</v>
      </c>
      <c r="K92" s="94">
        <v>70</v>
      </c>
      <c r="L92" s="94">
        <v>47</v>
      </c>
      <c r="M92" s="94">
        <v>25</v>
      </c>
      <c r="N92" s="94">
        <v>22</v>
      </c>
      <c r="O92" s="94">
        <v>44</v>
      </c>
      <c r="P92" s="94">
        <v>31</v>
      </c>
      <c r="Q92" s="94">
        <v>43</v>
      </c>
      <c r="R92" s="94">
        <v>77</v>
      </c>
      <c r="S92" s="94">
        <v>92</v>
      </c>
      <c r="T92" s="94">
        <v>45</v>
      </c>
      <c r="U92" s="94">
        <v>27</v>
      </c>
      <c r="V92" s="94">
        <v>57</v>
      </c>
      <c r="W92" s="94">
        <v>43</v>
      </c>
      <c r="X92" s="94">
        <v>17</v>
      </c>
      <c r="Y92" s="94">
        <v>19</v>
      </c>
      <c r="Z92" s="94">
        <v>43</v>
      </c>
      <c r="AA92" s="94">
        <v>65</v>
      </c>
      <c r="AB92" s="94">
        <v>39</v>
      </c>
      <c r="AC92" s="94">
        <v>41</v>
      </c>
      <c r="AD92" s="94">
        <v>43</v>
      </c>
      <c r="AE92" s="94">
        <v>52</v>
      </c>
      <c r="AF92" s="94">
        <v>53</v>
      </c>
      <c r="AG92" s="94">
        <v>62</v>
      </c>
      <c r="AH92" s="94">
        <v>4136</v>
      </c>
      <c r="AI92" s="94">
        <v>925</v>
      </c>
    </row>
    <row r="93" spans="1:35" ht="16.05" customHeight="1">
      <c r="A93" s="93" t="s">
        <v>2026</v>
      </c>
      <c r="B93" s="93" t="s">
        <v>253</v>
      </c>
      <c r="C93" s="94">
        <v>430</v>
      </c>
      <c r="D93" s="94">
        <v>59</v>
      </c>
      <c r="E93" s="94">
        <v>60</v>
      </c>
      <c r="F93" s="94">
        <v>25</v>
      </c>
      <c r="G93" s="94">
        <v>58</v>
      </c>
      <c r="H93" s="94">
        <v>8</v>
      </c>
      <c r="I93" s="94">
        <v>19</v>
      </c>
      <c r="J93" s="94">
        <v>7</v>
      </c>
      <c r="K93" s="94">
        <v>50</v>
      </c>
      <c r="L93" s="94">
        <v>12</v>
      </c>
      <c r="M93" s="94">
        <v>9</v>
      </c>
      <c r="N93" s="94">
        <v>1</v>
      </c>
      <c r="O93" s="94">
        <v>18</v>
      </c>
      <c r="P93" s="94">
        <v>5</v>
      </c>
      <c r="Q93" s="94">
        <v>11</v>
      </c>
      <c r="R93" s="94">
        <v>2</v>
      </c>
      <c r="S93" s="94">
        <v>69</v>
      </c>
      <c r="T93" s="94">
        <v>8</v>
      </c>
      <c r="U93" s="94">
        <v>18</v>
      </c>
      <c r="V93" s="94">
        <v>5</v>
      </c>
      <c r="W93" s="94">
        <v>14</v>
      </c>
      <c r="X93" s="94">
        <v>1</v>
      </c>
      <c r="Y93" s="94">
        <v>7</v>
      </c>
      <c r="Z93" s="94">
        <v>7</v>
      </c>
      <c r="AA93" s="94">
        <v>22</v>
      </c>
      <c r="AB93" s="94">
        <v>4</v>
      </c>
      <c r="AC93" s="94">
        <v>6</v>
      </c>
      <c r="AD93" s="94">
        <v>9</v>
      </c>
      <c r="AE93" s="94">
        <v>11</v>
      </c>
      <c r="AF93" s="94">
        <v>5</v>
      </c>
      <c r="AG93" s="94">
        <v>8</v>
      </c>
      <c r="AH93" s="94">
        <v>5</v>
      </c>
      <c r="AI93" s="94">
        <v>307</v>
      </c>
    </row>
    <row r="94" spans="1:35" ht="16.05" customHeight="1">
      <c r="A94" s="93" t="s">
        <v>2026</v>
      </c>
      <c r="B94" s="93" t="s">
        <v>254</v>
      </c>
      <c r="C94" s="94">
        <v>76</v>
      </c>
      <c r="D94" s="94">
        <v>14</v>
      </c>
      <c r="E94" s="94">
        <v>13</v>
      </c>
      <c r="F94" s="94">
        <v>16</v>
      </c>
      <c r="G94" s="94">
        <v>20</v>
      </c>
      <c r="H94" s="94">
        <v>11</v>
      </c>
      <c r="I94" s="94">
        <v>15</v>
      </c>
      <c r="J94" s="94">
        <v>47</v>
      </c>
      <c r="K94" s="94">
        <v>28</v>
      </c>
      <c r="L94" s="94">
        <v>9</v>
      </c>
      <c r="M94" s="94">
        <v>8</v>
      </c>
      <c r="N94" s="94">
        <v>9</v>
      </c>
      <c r="O94" s="94">
        <v>16</v>
      </c>
      <c r="P94" s="94">
        <v>12</v>
      </c>
      <c r="Q94" s="94">
        <v>11</v>
      </c>
      <c r="R94" s="94">
        <v>57</v>
      </c>
      <c r="S94" s="94">
        <v>27</v>
      </c>
      <c r="T94" s="94">
        <v>14</v>
      </c>
      <c r="U94" s="94">
        <v>6</v>
      </c>
      <c r="V94" s="94">
        <v>10</v>
      </c>
      <c r="W94" s="94">
        <v>11</v>
      </c>
      <c r="X94" s="94">
        <v>5</v>
      </c>
      <c r="Y94" s="94">
        <v>27</v>
      </c>
      <c r="Z94" s="94">
        <v>27</v>
      </c>
      <c r="AA94" s="94">
        <v>12</v>
      </c>
      <c r="AB94" s="94">
        <v>13</v>
      </c>
      <c r="AC94" s="94">
        <v>12</v>
      </c>
      <c r="AD94" s="94">
        <v>26</v>
      </c>
      <c r="AE94" s="94">
        <v>33</v>
      </c>
      <c r="AF94" s="94">
        <v>31</v>
      </c>
      <c r="AG94" s="94">
        <v>63</v>
      </c>
      <c r="AH94" s="94">
        <v>205</v>
      </c>
      <c r="AI94" s="94">
        <v>1143</v>
      </c>
    </row>
    <row r="95" spans="1:35" ht="16.05" customHeight="1">
      <c r="A95" s="93" t="s">
        <v>2026</v>
      </c>
      <c r="B95" s="93" t="s">
        <v>255</v>
      </c>
      <c r="C95" s="94">
        <v>0</v>
      </c>
      <c r="D95" s="94">
        <v>0</v>
      </c>
      <c r="E95" s="94">
        <v>0</v>
      </c>
      <c r="F95" s="94">
        <v>2</v>
      </c>
      <c r="G95" s="94">
        <v>0</v>
      </c>
      <c r="H95" s="94">
        <v>0</v>
      </c>
      <c r="I95" s="94">
        <v>0</v>
      </c>
      <c r="J95" s="94">
        <v>4</v>
      </c>
      <c r="K95" s="94">
        <v>0</v>
      </c>
      <c r="L95" s="94">
        <v>0</v>
      </c>
      <c r="M95" s="94">
        <v>0</v>
      </c>
      <c r="N95" s="94">
        <v>0</v>
      </c>
      <c r="O95" s="94">
        <v>0</v>
      </c>
      <c r="P95" s="94">
        <v>0</v>
      </c>
      <c r="Q95" s="94">
        <v>0</v>
      </c>
      <c r="R95" s="94">
        <v>25</v>
      </c>
      <c r="S95" s="94">
        <v>0</v>
      </c>
      <c r="T95" s="94">
        <v>2</v>
      </c>
      <c r="U95" s="94">
        <v>1</v>
      </c>
      <c r="V95" s="94">
        <v>2</v>
      </c>
      <c r="W95" s="94">
        <v>0</v>
      </c>
      <c r="X95" s="94">
        <v>0</v>
      </c>
      <c r="Y95" s="94">
        <v>0</v>
      </c>
      <c r="Z95" s="94">
        <v>22</v>
      </c>
      <c r="AA95" s="94">
        <v>2</v>
      </c>
      <c r="AB95" s="94">
        <v>3</v>
      </c>
      <c r="AC95" s="94">
        <v>1</v>
      </c>
      <c r="AD95" s="94">
        <v>21</v>
      </c>
      <c r="AE95" s="94">
        <v>5</v>
      </c>
      <c r="AF95" s="94">
        <v>26</v>
      </c>
      <c r="AG95" s="94">
        <v>30</v>
      </c>
      <c r="AH95" s="94">
        <v>4113</v>
      </c>
      <c r="AI95" s="94">
        <v>1265</v>
      </c>
    </row>
    <row r="96" spans="1:35" ht="16.05" customHeight="1">
      <c r="A96" s="93" t="s">
        <v>2026</v>
      </c>
      <c r="B96" s="93" t="s">
        <v>256</v>
      </c>
      <c r="C96" s="94">
        <v>16</v>
      </c>
      <c r="D96" s="94">
        <v>7</v>
      </c>
      <c r="E96" s="94">
        <v>15</v>
      </c>
      <c r="F96" s="94">
        <v>12</v>
      </c>
      <c r="G96" s="94">
        <v>45</v>
      </c>
      <c r="H96" s="94">
        <v>8</v>
      </c>
      <c r="I96" s="94">
        <v>26</v>
      </c>
      <c r="J96" s="94">
        <v>18</v>
      </c>
      <c r="K96" s="94">
        <v>30</v>
      </c>
      <c r="L96" s="94">
        <v>21</v>
      </c>
      <c r="M96" s="94">
        <v>7</v>
      </c>
      <c r="N96" s="94">
        <v>24</v>
      </c>
      <c r="O96" s="94">
        <v>45</v>
      </c>
      <c r="P96" s="94">
        <v>13</v>
      </c>
      <c r="Q96" s="94">
        <v>28</v>
      </c>
      <c r="R96" s="94">
        <v>44</v>
      </c>
      <c r="S96" s="94">
        <v>15</v>
      </c>
      <c r="T96" s="94">
        <v>19</v>
      </c>
      <c r="U96" s="94">
        <v>14</v>
      </c>
      <c r="V96" s="94">
        <v>21</v>
      </c>
      <c r="W96" s="94">
        <v>28</v>
      </c>
      <c r="X96" s="94">
        <v>18</v>
      </c>
      <c r="Y96" s="94">
        <v>33</v>
      </c>
      <c r="Z96" s="94">
        <v>54</v>
      </c>
      <c r="AA96" s="94">
        <v>46</v>
      </c>
      <c r="AB96" s="94">
        <v>25</v>
      </c>
      <c r="AC96" s="94">
        <v>11</v>
      </c>
      <c r="AD96" s="94">
        <v>46</v>
      </c>
      <c r="AE96" s="94">
        <v>111</v>
      </c>
      <c r="AF96" s="94">
        <v>82</v>
      </c>
      <c r="AG96" s="94">
        <v>157</v>
      </c>
      <c r="AH96" s="94">
        <v>618</v>
      </c>
      <c r="AI96" s="94">
        <v>1179</v>
      </c>
    </row>
    <row r="97" spans="1:35" ht="16.05" customHeight="1">
      <c r="A97" s="93" t="s">
        <v>2026</v>
      </c>
      <c r="B97" s="93" t="s">
        <v>257</v>
      </c>
      <c r="C97" s="94">
        <v>126</v>
      </c>
      <c r="D97" s="94">
        <v>105</v>
      </c>
      <c r="E97" s="94">
        <v>27</v>
      </c>
      <c r="F97" s="94">
        <v>114</v>
      </c>
      <c r="G97" s="94">
        <v>9</v>
      </c>
      <c r="H97" s="94">
        <v>11</v>
      </c>
      <c r="I97" s="94">
        <v>12</v>
      </c>
      <c r="J97" s="94">
        <v>91</v>
      </c>
      <c r="K97" s="94">
        <v>19</v>
      </c>
      <c r="L97" s="94">
        <v>21</v>
      </c>
      <c r="M97" s="94">
        <v>1</v>
      </c>
      <c r="N97" s="94">
        <v>7</v>
      </c>
      <c r="O97" s="94">
        <v>8</v>
      </c>
      <c r="P97" s="94">
        <v>5</v>
      </c>
      <c r="Q97" s="94">
        <v>4</v>
      </c>
      <c r="R97" s="94">
        <v>45</v>
      </c>
      <c r="S97" s="94">
        <v>115</v>
      </c>
      <c r="T97" s="94">
        <v>52</v>
      </c>
      <c r="U97" s="94">
        <v>5</v>
      </c>
      <c r="V97" s="94">
        <v>42</v>
      </c>
      <c r="W97" s="94">
        <v>9</v>
      </c>
      <c r="X97" s="94">
        <v>4</v>
      </c>
      <c r="Y97" s="94">
        <v>6</v>
      </c>
      <c r="Z97" s="94">
        <v>40</v>
      </c>
      <c r="AA97" s="94">
        <v>72</v>
      </c>
      <c r="AB97" s="94">
        <v>31</v>
      </c>
      <c r="AC97" s="94">
        <v>5</v>
      </c>
      <c r="AD97" s="94">
        <v>46</v>
      </c>
      <c r="AE97" s="94">
        <v>32</v>
      </c>
      <c r="AF97" s="94">
        <v>38</v>
      </c>
      <c r="AG97" s="94">
        <v>45</v>
      </c>
      <c r="AH97" s="94">
        <v>330</v>
      </c>
      <c r="AI97" s="94">
        <v>929</v>
      </c>
    </row>
    <row r="98" spans="1:35" ht="16.05" customHeight="1">
      <c r="A98" s="93" t="s">
        <v>2026</v>
      </c>
      <c r="B98" s="93" t="s">
        <v>258</v>
      </c>
      <c r="C98" s="94">
        <v>1176</v>
      </c>
      <c r="D98" s="94">
        <v>181</v>
      </c>
      <c r="E98" s="94">
        <v>66</v>
      </c>
      <c r="F98" s="94">
        <v>91</v>
      </c>
      <c r="G98" s="94">
        <v>55</v>
      </c>
      <c r="H98" s="94">
        <v>28</v>
      </c>
      <c r="I98" s="94">
        <v>2</v>
      </c>
      <c r="J98" s="94">
        <v>108</v>
      </c>
      <c r="K98" s="94">
        <v>65</v>
      </c>
      <c r="L98" s="94">
        <v>20</v>
      </c>
      <c r="M98" s="94">
        <v>12</v>
      </c>
      <c r="N98" s="94">
        <v>25</v>
      </c>
      <c r="O98" s="94">
        <v>10</v>
      </c>
      <c r="P98" s="94">
        <v>1</v>
      </c>
      <c r="Q98" s="94">
        <v>19</v>
      </c>
      <c r="R98" s="94">
        <v>131</v>
      </c>
      <c r="S98" s="94">
        <v>184</v>
      </c>
      <c r="T98" s="94">
        <v>8</v>
      </c>
      <c r="U98" s="94">
        <v>10</v>
      </c>
      <c r="V98" s="94">
        <v>17</v>
      </c>
      <c r="W98" s="94">
        <v>21</v>
      </c>
      <c r="X98" s="94">
        <v>8</v>
      </c>
      <c r="Y98" s="94">
        <v>3</v>
      </c>
      <c r="Z98" s="94">
        <v>20</v>
      </c>
      <c r="AA98" s="94">
        <v>131</v>
      </c>
      <c r="AB98" s="94">
        <v>5</v>
      </c>
      <c r="AC98" s="94">
        <v>15</v>
      </c>
      <c r="AD98" s="94">
        <v>7</v>
      </c>
      <c r="AE98" s="94">
        <v>146</v>
      </c>
      <c r="AF98" s="94">
        <v>17</v>
      </c>
      <c r="AG98" s="94">
        <v>154</v>
      </c>
      <c r="AH98" s="94">
        <v>301</v>
      </c>
      <c r="AI98" s="94">
        <v>693</v>
      </c>
    </row>
    <row r="99" spans="1:35" ht="16.05" customHeight="1">
      <c r="A99" s="93" t="s">
        <v>2026</v>
      </c>
      <c r="B99" s="93" t="s">
        <v>259</v>
      </c>
      <c r="C99" s="94">
        <v>239</v>
      </c>
      <c r="D99" s="94">
        <v>50</v>
      </c>
      <c r="E99" s="94">
        <v>29</v>
      </c>
      <c r="F99" s="94">
        <v>40</v>
      </c>
      <c r="G99" s="94">
        <v>27</v>
      </c>
      <c r="H99" s="94">
        <v>10</v>
      </c>
      <c r="I99" s="94">
        <v>11</v>
      </c>
      <c r="J99" s="94">
        <v>42</v>
      </c>
      <c r="K99" s="94">
        <v>30</v>
      </c>
      <c r="L99" s="94">
        <v>14</v>
      </c>
      <c r="M99" s="94">
        <v>11</v>
      </c>
      <c r="N99" s="94">
        <v>18</v>
      </c>
      <c r="O99" s="94">
        <v>16</v>
      </c>
      <c r="P99" s="94">
        <v>11</v>
      </c>
      <c r="Q99" s="94">
        <v>13</v>
      </c>
      <c r="R99" s="94">
        <v>142</v>
      </c>
      <c r="S99" s="94">
        <v>96</v>
      </c>
      <c r="T99" s="94">
        <v>18</v>
      </c>
      <c r="U99" s="94">
        <v>15</v>
      </c>
      <c r="V99" s="94">
        <v>17</v>
      </c>
      <c r="W99" s="94">
        <v>15</v>
      </c>
      <c r="X99" s="94">
        <v>15</v>
      </c>
      <c r="Y99" s="94">
        <v>15</v>
      </c>
      <c r="Z99" s="94">
        <v>40</v>
      </c>
      <c r="AA99" s="94">
        <v>104</v>
      </c>
      <c r="AB99" s="94">
        <v>19</v>
      </c>
      <c r="AC99" s="94">
        <v>23</v>
      </c>
      <c r="AD99" s="94">
        <v>34</v>
      </c>
      <c r="AE99" s="94">
        <v>116</v>
      </c>
      <c r="AF99" s="94">
        <v>50</v>
      </c>
      <c r="AG99" s="94">
        <v>159</v>
      </c>
      <c r="AH99" s="94">
        <v>1185</v>
      </c>
      <c r="AI99" s="94">
        <v>985</v>
      </c>
    </row>
    <row r="100" spans="1:35" ht="16.05" customHeight="1">
      <c r="A100" s="93" t="s">
        <v>2026</v>
      </c>
      <c r="B100" s="93" t="s">
        <v>260</v>
      </c>
      <c r="C100" s="94">
        <v>0</v>
      </c>
      <c r="D100" s="94">
        <v>0</v>
      </c>
      <c r="E100" s="94">
        <v>0</v>
      </c>
      <c r="F100" s="94">
        <v>0</v>
      </c>
      <c r="G100" s="94">
        <v>0</v>
      </c>
      <c r="H100" s="94">
        <v>0</v>
      </c>
      <c r="I100" s="94">
        <v>0</v>
      </c>
      <c r="J100" s="94">
        <v>0</v>
      </c>
      <c r="K100" s="94">
        <v>0</v>
      </c>
      <c r="L100" s="94">
        <v>0</v>
      </c>
      <c r="M100" s="94">
        <v>0</v>
      </c>
      <c r="N100" s="94">
        <v>0</v>
      </c>
      <c r="O100" s="94">
        <v>0</v>
      </c>
      <c r="P100" s="94">
        <v>0</v>
      </c>
      <c r="Q100" s="94">
        <v>0</v>
      </c>
      <c r="R100" s="94">
        <v>3</v>
      </c>
      <c r="S100" s="94">
        <v>0</v>
      </c>
      <c r="T100" s="94">
        <v>0</v>
      </c>
      <c r="U100" s="94">
        <v>0</v>
      </c>
      <c r="V100" s="94">
        <v>2</v>
      </c>
      <c r="W100" s="94">
        <v>0</v>
      </c>
      <c r="X100" s="94">
        <v>0</v>
      </c>
      <c r="Y100" s="94">
        <v>0</v>
      </c>
      <c r="Z100" s="94">
        <v>2</v>
      </c>
      <c r="AA100" s="94">
        <v>0</v>
      </c>
      <c r="AB100" s="94">
        <v>1</v>
      </c>
      <c r="AC100" s="94">
        <v>0</v>
      </c>
      <c r="AD100" s="94">
        <v>1</v>
      </c>
      <c r="AE100" s="94">
        <v>1</v>
      </c>
      <c r="AF100" s="94">
        <v>1</v>
      </c>
      <c r="AG100" s="94">
        <v>2</v>
      </c>
      <c r="AH100" s="94">
        <v>19</v>
      </c>
      <c r="AI100" s="94">
        <v>189</v>
      </c>
    </row>
    <row r="101" spans="1:35" ht="16.05" customHeight="1">
      <c r="A101" s="93" t="s">
        <v>2026</v>
      </c>
      <c r="B101" s="93" t="s">
        <v>261</v>
      </c>
      <c r="C101" s="94">
        <v>1287</v>
      </c>
      <c r="D101" s="94">
        <v>225</v>
      </c>
      <c r="E101" s="94">
        <v>129</v>
      </c>
      <c r="F101" s="94">
        <v>88</v>
      </c>
      <c r="G101" s="94">
        <v>104</v>
      </c>
      <c r="H101" s="94">
        <v>22</v>
      </c>
      <c r="I101" s="94">
        <v>38</v>
      </c>
      <c r="J101" s="94">
        <v>46</v>
      </c>
      <c r="K101" s="94">
        <v>149</v>
      </c>
      <c r="L101" s="94">
        <v>6</v>
      </c>
      <c r="M101" s="94">
        <v>30</v>
      </c>
      <c r="N101" s="94">
        <v>7</v>
      </c>
      <c r="O101" s="94">
        <v>44</v>
      </c>
      <c r="P101" s="94">
        <v>4</v>
      </c>
      <c r="Q101" s="94">
        <v>49</v>
      </c>
      <c r="R101" s="94">
        <v>24</v>
      </c>
      <c r="S101" s="94">
        <v>235</v>
      </c>
      <c r="T101" s="94">
        <v>24</v>
      </c>
      <c r="U101" s="94">
        <v>13</v>
      </c>
      <c r="V101" s="94">
        <v>8</v>
      </c>
      <c r="W101" s="94">
        <v>28</v>
      </c>
      <c r="X101" s="94">
        <v>5</v>
      </c>
      <c r="Y101" s="94">
        <v>3</v>
      </c>
      <c r="Z101" s="94">
        <v>7</v>
      </c>
      <c r="AA101" s="94">
        <v>122</v>
      </c>
      <c r="AB101" s="94">
        <v>15</v>
      </c>
      <c r="AC101" s="94">
        <v>8</v>
      </c>
      <c r="AD101" s="94">
        <v>5</v>
      </c>
      <c r="AE101" s="94">
        <v>82</v>
      </c>
      <c r="AF101" s="94">
        <v>7</v>
      </c>
      <c r="AG101" s="94">
        <v>35</v>
      </c>
      <c r="AH101" s="94">
        <v>30</v>
      </c>
      <c r="AI101" s="94">
        <v>754</v>
      </c>
    </row>
    <row r="102" spans="1:35" ht="16.05" customHeight="1">
      <c r="A102" s="93" t="s">
        <v>2026</v>
      </c>
      <c r="B102" s="93" t="s">
        <v>262</v>
      </c>
      <c r="C102" s="94">
        <v>0</v>
      </c>
      <c r="D102" s="94">
        <v>0</v>
      </c>
      <c r="E102" s="94">
        <v>0</v>
      </c>
      <c r="F102" s="94">
        <v>0</v>
      </c>
      <c r="G102" s="94">
        <v>0</v>
      </c>
      <c r="H102" s="94">
        <v>0</v>
      </c>
      <c r="I102" s="94">
        <v>0</v>
      </c>
      <c r="J102" s="94">
        <v>4</v>
      </c>
      <c r="K102" s="94">
        <v>0</v>
      </c>
      <c r="L102" s="94">
        <v>1</v>
      </c>
      <c r="M102" s="94">
        <v>0</v>
      </c>
      <c r="N102" s="94">
        <v>2</v>
      </c>
      <c r="O102" s="94">
        <v>0</v>
      </c>
      <c r="P102" s="94">
        <v>5</v>
      </c>
      <c r="Q102" s="94">
        <v>2</v>
      </c>
      <c r="R102" s="94">
        <v>20</v>
      </c>
      <c r="S102" s="94">
        <v>0</v>
      </c>
      <c r="T102" s="94">
        <v>0</v>
      </c>
      <c r="U102" s="94">
        <v>1</v>
      </c>
      <c r="V102" s="94">
        <v>6</v>
      </c>
      <c r="W102" s="94">
        <v>1</v>
      </c>
      <c r="X102" s="94">
        <v>2</v>
      </c>
      <c r="Y102" s="94">
        <v>2</v>
      </c>
      <c r="Z102" s="94">
        <v>19</v>
      </c>
      <c r="AA102" s="94">
        <v>1</v>
      </c>
      <c r="AB102" s="94">
        <v>7</v>
      </c>
      <c r="AC102" s="94">
        <v>5</v>
      </c>
      <c r="AD102" s="94">
        <v>30</v>
      </c>
      <c r="AE102" s="94">
        <v>8</v>
      </c>
      <c r="AF102" s="94">
        <v>28</v>
      </c>
      <c r="AG102" s="94">
        <v>39</v>
      </c>
      <c r="AH102" s="94">
        <v>465</v>
      </c>
      <c r="AI102" s="94">
        <v>407</v>
      </c>
    </row>
    <row r="103" spans="1:35" ht="16.05" customHeight="1">
      <c r="A103" s="93" t="s">
        <v>2026</v>
      </c>
      <c r="B103" s="93" t="s">
        <v>263</v>
      </c>
      <c r="C103" s="94">
        <v>0</v>
      </c>
      <c r="D103" s="94">
        <v>0</v>
      </c>
      <c r="E103" s="94">
        <v>0</v>
      </c>
      <c r="F103" s="94">
        <v>0</v>
      </c>
      <c r="G103" s="94">
        <v>0</v>
      </c>
      <c r="H103" s="94">
        <v>0</v>
      </c>
      <c r="I103" s="94">
        <v>0</v>
      </c>
      <c r="J103" s="94">
        <v>0</v>
      </c>
      <c r="K103" s="94">
        <v>0</v>
      </c>
      <c r="L103" s="94">
        <v>0</v>
      </c>
      <c r="M103" s="94">
        <v>0</v>
      </c>
      <c r="N103" s="94">
        <v>0</v>
      </c>
      <c r="O103" s="94">
        <v>0</v>
      </c>
      <c r="P103" s="94">
        <v>0</v>
      </c>
      <c r="Q103" s="94">
        <v>0</v>
      </c>
      <c r="R103" s="94">
        <v>0</v>
      </c>
      <c r="S103" s="94">
        <v>0</v>
      </c>
      <c r="T103" s="94">
        <v>2</v>
      </c>
      <c r="U103" s="94">
        <v>0</v>
      </c>
      <c r="V103" s="94">
        <v>7</v>
      </c>
      <c r="W103" s="94">
        <v>0</v>
      </c>
      <c r="X103" s="94">
        <v>0</v>
      </c>
      <c r="Y103" s="94">
        <v>0</v>
      </c>
      <c r="Z103" s="94">
        <v>0</v>
      </c>
      <c r="AA103" s="94">
        <v>3</v>
      </c>
      <c r="AB103" s="94">
        <v>5</v>
      </c>
      <c r="AC103" s="94">
        <v>0</v>
      </c>
      <c r="AD103" s="94">
        <v>3</v>
      </c>
      <c r="AE103" s="94">
        <v>3</v>
      </c>
      <c r="AF103" s="94">
        <v>13</v>
      </c>
      <c r="AG103" s="94">
        <v>9</v>
      </c>
      <c r="AH103" s="94">
        <v>16</v>
      </c>
      <c r="AI103" s="94">
        <v>575</v>
      </c>
    </row>
    <row r="104" spans="1:35" ht="16.05" customHeight="1">
      <c r="A104" s="93" t="s">
        <v>2026</v>
      </c>
      <c r="B104" s="93" t="s">
        <v>264</v>
      </c>
      <c r="C104" s="94">
        <v>900</v>
      </c>
      <c r="D104" s="94">
        <v>126</v>
      </c>
      <c r="E104" s="94">
        <v>121</v>
      </c>
      <c r="F104" s="94">
        <v>57</v>
      </c>
      <c r="G104" s="94">
        <v>131</v>
      </c>
      <c r="H104" s="94">
        <v>27</v>
      </c>
      <c r="I104" s="94">
        <v>27</v>
      </c>
      <c r="J104" s="94">
        <v>40</v>
      </c>
      <c r="K104" s="94">
        <v>144</v>
      </c>
      <c r="L104" s="94">
        <v>41</v>
      </c>
      <c r="M104" s="94">
        <v>19</v>
      </c>
      <c r="N104" s="94">
        <v>31</v>
      </c>
      <c r="O104" s="94">
        <v>60</v>
      </c>
      <c r="P104" s="94">
        <v>19</v>
      </c>
      <c r="Q104" s="94">
        <v>38</v>
      </c>
      <c r="R104" s="94">
        <v>40</v>
      </c>
      <c r="S104" s="94">
        <v>210</v>
      </c>
      <c r="T104" s="94">
        <v>23</v>
      </c>
      <c r="U104" s="94">
        <v>49</v>
      </c>
      <c r="V104" s="94">
        <v>27</v>
      </c>
      <c r="W104" s="94">
        <v>50</v>
      </c>
      <c r="X104" s="94">
        <v>6</v>
      </c>
      <c r="Y104" s="94">
        <v>29</v>
      </c>
      <c r="Z104" s="94">
        <v>41</v>
      </c>
      <c r="AA104" s="94">
        <v>104</v>
      </c>
      <c r="AB104" s="94">
        <v>37</v>
      </c>
      <c r="AC104" s="94">
        <v>34</v>
      </c>
      <c r="AD104" s="94">
        <v>40</v>
      </c>
      <c r="AE104" s="94">
        <v>62</v>
      </c>
      <c r="AF104" s="94">
        <v>41</v>
      </c>
      <c r="AG104" s="94">
        <v>57</v>
      </c>
      <c r="AH104" s="94">
        <v>89</v>
      </c>
      <c r="AI104" s="94">
        <v>981</v>
      </c>
    </row>
    <row r="105" spans="1:35" ht="16.05" customHeight="1">
      <c r="A105" s="93" t="s">
        <v>2026</v>
      </c>
      <c r="B105" s="93" t="s">
        <v>265</v>
      </c>
      <c r="C105" s="94">
        <v>58</v>
      </c>
      <c r="D105" s="94">
        <v>49</v>
      </c>
      <c r="E105" s="94">
        <v>5</v>
      </c>
      <c r="F105" s="94">
        <v>23</v>
      </c>
      <c r="G105" s="94">
        <v>8</v>
      </c>
      <c r="H105" s="94">
        <v>2</v>
      </c>
      <c r="I105" s="94">
        <v>0</v>
      </c>
      <c r="J105" s="94">
        <v>4</v>
      </c>
      <c r="K105" s="94">
        <v>5</v>
      </c>
      <c r="L105" s="94">
        <v>9</v>
      </c>
      <c r="M105" s="94">
        <v>1</v>
      </c>
      <c r="N105" s="94">
        <v>4</v>
      </c>
      <c r="O105" s="94">
        <v>5</v>
      </c>
      <c r="P105" s="94">
        <v>6</v>
      </c>
      <c r="Q105" s="94">
        <v>0</v>
      </c>
      <c r="R105" s="94">
        <v>3</v>
      </c>
      <c r="S105" s="94">
        <v>17</v>
      </c>
      <c r="T105" s="94">
        <v>29</v>
      </c>
      <c r="U105" s="94">
        <v>0</v>
      </c>
      <c r="V105" s="94">
        <v>4</v>
      </c>
      <c r="W105" s="94">
        <v>6</v>
      </c>
      <c r="X105" s="94">
        <v>5</v>
      </c>
      <c r="Y105" s="94">
        <v>3</v>
      </c>
      <c r="Z105" s="94">
        <v>7</v>
      </c>
      <c r="AA105" s="94">
        <v>32</v>
      </c>
      <c r="AB105" s="94">
        <v>23</v>
      </c>
      <c r="AC105" s="94">
        <v>2</v>
      </c>
      <c r="AD105" s="94">
        <v>7</v>
      </c>
      <c r="AE105" s="94">
        <v>49</v>
      </c>
      <c r="AF105" s="94">
        <v>27</v>
      </c>
      <c r="AG105" s="94">
        <v>8</v>
      </c>
      <c r="AH105" s="94">
        <v>20</v>
      </c>
      <c r="AI105" s="94">
        <v>905</v>
      </c>
    </row>
    <row r="106" spans="1:35" ht="16.05" customHeight="1">
      <c r="A106" s="93" t="s">
        <v>2026</v>
      </c>
      <c r="B106" s="93" t="s">
        <v>266</v>
      </c>
      <c r="C106" s="94">
        <v>710</v>
      </c>
      <c r="D106" s="94">
        <v>61</v>
      </c>
      <c r="E106" s="94">
        <v>32</v>
      </c>
      <c r="F106" s="94">
        <v>6</v>
      </c>
      <c r="G106" s="94">
        <v>38</v>
      </c>
      <c r="H106" s="94">
        <v>2</v>
      </c>
      <c r="I106" s="94">
        <v>3</v>
      </c>
      <c r="J106" s="94">
        <v>1</v>
      </c>
      <c r="K106" s="94">
        <v>38</v>
      </c>
      <c r="L106" s="94">
        <v>1</v>
      </c>
      <c r="M106" s="94">
        <v>3</v>
      </c>
      <c r="N106" s="94">
        <v>1</v>
      </c>
      <c r="O106" s="94">
        <v>5</v>
      </c>
      <c r="P106" s="94">
        <v>0</v>
      </c>
      <c r="Q106" s="94">
        <v>1</v>
      </c>
      <c r="R106" s="94">
        <v>0</v>
      </c>
      <c r="S106" s="94">
        <v>36</v>
      </c>
      <c r="T106" s="94">
        <v>8</v>
      </c>
      <c r="U106" s="94">
        <v>3</v>
      </c>
      <c r="V106" s="94">
        <v>2</v>
      </c>
      <c r="W106" s="94">
        <v>4</v>
      </c>
      <c r="X106" s="94">
        <v>0</v>
      </c>
      <c r="Y106" s="94">
        <v>0</v>
      </c>
      <c r="Z106" s="94">
        <v>1</v>
      </c>
      <c r="AA106" s="94">
        <v>2</v>
      </c>
      <c r="AB106" s="94">
        <v>0</v>
      </c>
      <c r="AC106" s="94">
        <v>0</v>
      </c>
      <c r="AD106" s="94">
        <v>1</v>
      </c>
      <c r="AE106" s="94">
        <v>0</v>
      </c>
      <c r="AF106" s="94">
        <v>1</v>
      </c>
      <c r="AG106" s="94">
        <v>0</v>
      </c>
      <c r="AH106" s="94">
        <v>0</v>
      </c>
      <c r="AI106" s="94">
        <v>883</v>
      </c>
    </row>
    <row r="107" spans="1:35" ht="16.05" customHeight="1">
      <c r="A107" s="93" t="s">
        <v>2026</v>
      </c>
      <c r="B107" s="93" t="s">
        <v>267</v>
      </c>
      <c r="C107" s="94">
        <v>61</v>
      </c>
      <c r="D107" s="94">
        <v>47</v>
      </c>
      <c r="E107" s="94">
        <v>34</v>
      </c>
      <c r="F107" s="94">
        <v>37</v>
      </c>
      <c r="G107" s="94">
        <v>32</v>
      </c>
      <c r="H107" s="94">
        <v>23</v>
      </c>
      <c r="I107" s="94">
        <v>29</v>
      </c>
      <c r="J107" s="94">
        <v>63</v>
      </c>
      <c r="K107" s="94">
        <v>32</v>
      </c>
      <c r="L107" s="94">
        <v>14</v>
      </c>
      <c r="M107" s="94">
        <v>8</v>
      </c>
      <c r="N107" s="94">
        <v>21</v>
      </c>
      <c r="O107" s="94">
        <v>29</v>
      </c>
      <c r="P107" s="94">
        <v>20</v>
      </c>
      <c r="Q107" s="94">
        <v>22</v>
      </c>
      <c r="R107" s="94">
        <v>94</v>
      </c>
      <c r="S107" s="94">
        <v>27</v>
      </c>
      <c r="T107" s="94">
        <v>13</v>
      </c>
      <c r="U107" s="94">
        <v>10</v>
      </c>
      <c r="V107" s="94">
        <v>36</v>
      </c>
      <c r="W107" s="94">
        <v>17</v>
      </c>
      <c r="X107" s="94">
        <v>9</v>
      </c>
      <c r="Y107" s="94">
        <v>24</v>
      </c>
      <c r="Z107" s="94">
        <v>62</v>
      </c>
      <c r="AA107" s="94">
        <v>38</v>
      </c>
      <c r="AB107" s="94">
        <v>41</v>
      </c>
      <c r="AC107" s="94">
        <v>19</v>
      </c>
      <c r="AD107" s="94">
        <v>58</v>
      </c>
      <c r="AE107" s="94">
        <v>74</v>
      </c>
      <c r="AF107" s="94">
        <v>50</v>
      </c>
      <c r="AG107" s="94">
        <v>130</v>
      </c>
      <c r="AH107" s="94">
        <v>263</v>
      </c>
      <c r="AI107" s="94">
        <v>795</v>
      </c>
    </row>
    <row r="108" spans="1:35" ht="16.05" customHeight="1">
      <c r="A108" s="93" t="s">
        <v>2026</v>
      </c>
      <c r="B108" s="93" t="s">
        <v>268</v>
      </c>
      <c r="C108" s="94">
        <v>31</v>
      </c>
      <c r="D108" s="94">
        <v>12</v>
      </c>
      <c r="E108" s="94">
        <v>11</v>
      </c>
      <c r="F108" s="94">
        <v>21</v>
      </c>
      <c r="G108" s="94">
        <v>10</v>
      </c>
      <c r="H108" s="94">
        <v>5</v>
      </c>
      <c r="I108" s="94">
        <v>6</v>
      </c>
      <c r="J108" s="94">
        <v>24</v>
      </c>
      <c r="K108" s="94">
        <v>20</v>
      </c>
      <c r="L108" s="94">
        <v>11</v>
      </c>
      <c r="M108" s="94">
        <v>8</v>
      </c>
      <c r="N108" s="94">
        <v>6</v>
      </c>
      <c r="O108" s="94">
        <v>13</v>
      </c>
      <c r="P108" s="94">
        <v>8</v>
      </c>
      <c r="Q108" s="94">
        <v>22</v>
      </c>
      <c r="R108" s="94">
        <v>41</v>
      </c>
      <c r="S108" s="94">
        <v>12</v>
      </c>
      <c r="T108" s="94">
        <v>22</v>
      </c>
      <c r="U108" s="94">
        <v>5</v>
      </c>
      <c r="V108" s="94">
        <v>15</v>
      </c>
      <c r="W108" s="94">
        <v>17</v>
      </c>
      <c r="X108" s="94">
        <v>8</v>
      </c>
      <c r="Y108" s="94">
        <v>13</v>
      </c>
      <c r="Z108" s="94">
        <v>40</v>
      </c>
      <c r="AA108" s="94">
        <v>24</v>
      </c>
      <c r="AB108" s="94">
        <v>31</v>
      </c>
      <c r="AC108" s="94">
        <v>20</v>
      </c>
      <c r="AD108" s="94">
        <v>59</v>
      </c>
      <c r="AE108" s="94">
        <v>38</v>
      </c>
      <c r="AF108" s="94">
        <v>69</v>
      </c>
      <c r="AG108" s="94">
        <v>82</v>
      </c>
      <c r="AH108" s="94">
        <v>2593</v>
      </c>
      <c r="AI108" s="94">
        <v>716</v>
      </c>
    </row>
    <row r="109" spans="1:35" ht="16.05" customHeight="1">
      <c r="A109" s="93" t="s">
        <v>2026</v>
      </c>
      <c r="B109" s="93" t="s">
        <v>269</v>
      </c>
      <c r="C109" s="94">
        <v>0</v>
      </c>
      <c r="D109" s="94">
        <v>0</v>
      </c>
      <c r="E109" s="94">
        <v>0</v>
      </c>
      <c r="F109" s="94">
        <v>1</v>
      </c>
      <c r="G109" s="94">
        <v>0</v>
      </c>
      <c r="H109" s="94">
        <v>0</v>
      </c>
      <c r="I109" s="94">
        <v>0</v>
      </c>
      <c r="J109" s="94">
        <v>2</v>
      </c>
      <c r="K109" s="94">
        <v>0</v>
      </c>
      <c r="L109" s="94">
        <v>0</v>
      </c>
      <c r="M109" s="94">
        <v>0</v>
      </c>
      <c r="N109" s="94">
        <v>0</v>
      </c>
      <c r="O109" s="94">
        <v>0</v>
      </c>
      <c r="P109" s="94">
        <v>0</v>
      </c>
      <c r="Q109" s="94">
        <v>1</v>
      </c>
      <c r="R109" s="94">
        <v>8</v>
      </c>
      <c r="S109" s="94">
        <v>0</v>
      </c>
      <c r="T109" s="94">
        <v>1</v>
      </c>
      <c r="U109" s="94">
        <v>0</v>
      </c>
      <c r="V109" s="94">
        <v>1</v>
      </c>
      <c r="W109" s="94">
        <v>0</v>
      </c>
      <c r="X109" s="94">
        <v>0</v>
      </c>
      <c r="Y109" s="94">
        <v>0</v>
      </c>
      <c r="Z109" s="94">
        <v>8</v>
      </c>
      <c r="AA109" s="94">
        <v>1</v>
      </c>
      <c r="AB109" s="94">
        <v>1</v>
      </c>
      <c r="AC109" s="94">
        <v>0</v>
      </c>
      <c r="AD109" s="94">
        <v>12</v>
      </c>
      <c r="AE109" s="94">
        <v>3</v>
      </c>
      <c r="AF109" s="94">
        <v>10</v>
      </c>
      <c r="AG109" s="94">
        <v>20</v>
      </c>
      <c r="AH109" s="94">
        <v>892</v>
      </c>
      <c r="AI109" s="94">
        <v>480</v>
      </c>
    </row>
    <row r="110" spans="1:35" ht="16.05" customHeight="1">
      <c r="A110" s="93" t="s">
        <v>2026</v>
      </c>
      <c r="B110" s="93" t="s">
        <v>270</v>
      </c>
      <c r="C110" s="94">
        <v>0</v>
      </c>
      <c r="D110" s="94">
        <v>0</v>
      </c>
      <c r="E110" s="94">
        <v>0</v>
      </c>
      <c r="F110" s="94">
        <v>0</v>
      </c>
      <c r="G110" s="94">
        <v>0</v>
      </c>
      <c r="H110" s="94">
        <v>0</v>
      </c>
      <c r="I110" s="94">
        <v>0</v>
      </c>
      <c r="J110" s="94">
        <v>0</v>
      </c>
      <c r="K110" s="94">
        <v>0</v>
      </c>
      <c r="L110" s="94">
        <v>0</v>
      </c>
      <c r="M110" s="94">
        <v>0</v>
      </c>
      <c r="N110" s="94">
        <v>0</v>
      </c>
      <c r="O110" s="94">
        <v>0</v>
      </c>
      <c r="P110" s="94">
        <v>0</v>
      </c>
      <c r="Q110" s="94">
        <v>0</v>
      </c>
      <c r="R110" s="94">
        <v>16</v>
      </c>
      <c r="S110" s="94">
        <v>0</v>
      </c>
      <c r="T110" s="94">
        <v>0</v>
      </c>
      <c r="U110" s="94">
        <v>0</v>
      </c>
      <c r="V110" s="94">
        <v>0</v>
      </c>
      <c r="W110" s="94">
        <v>0</v>
      </c>
      <c r="X110" s="94">
        <v>0</v>
      </c>
      <c r="Y110" s="94">
        <v>0</v>
      </c>
      <c r="Z110" s="94">
        <v>12</v>
      </c>
      <c r="AA110" s="94">
        <v>0</v>
      </c>
      <c r="AB110" s="94">
        <v>0</v>
      </c>
      <c r="AC110" s="94">
        <v>0</v>
      </c>
      <c r="AD110" s="94">
        <v>15</v>
      </c>
      <c r="AE110" s="94">
        <v>0</v>
      </c>
      <c r="AF110" s="94">
        <v>13</v>
      </c>
      <c r="AG110" s="94">
        <v>12</v>
      </c>
      <c r="AH110" s="94">
        <v>4749</v>
      </c>
      <c r="AI110" s="94">
        <v>903</v>
      </c>
    </row>
    <row r="111" spans="1:35" ht="16.05" customHeight="1">
      <c r="A111" s="93" t="s">
        <v>2026</v>
      </c>
      <c r="B111" s="93" t="s">
        <v>271</v>
      </c>
      <c r="C111" s="94">
        <v>10</v>
      </c>
      <c r="D111" s="94">
        <v>4</v>
      </c>
      <c r="E111" s="94">
        <v>3</v>
      </c>
      <c r="F111" s="94">
        <v>1</v>
      </c>
      <c r="G111" s="94">
        <v>2</v>
      </c>
      <c r="H111" s="94">
        <v>1</v>
      </c>
      <c r="I111" s="94">
        <v>1</v>
      </c>
      <c r="J111" s="94">
        <v>3</v>
      </c>
      <c r="K111" s="94">
        <v>2</v>
      </c>
      <c r="L111" s="94">
        <v>0</v>
      </c>
      <c r="M111" s="94">
        <v>0</v>
      </c>
      <c r="N111" s="94">
        <v>3</v>
      </c>
      <c r="O111" s="94">
        <v>1</v>
      </c>
      <c r="P111" s="94">
        <v>1</v>
      </c>
      <c r="Q111" s="94">
        <v>0</v>
      </c>
      <c r="R111" s="94">
        <v>30</v>
      </c>
      <c r="S111" s="94">
        <v>3</v>
      </c>
      <c r="T111" s="94">
        <v>1</v>
      </c>
      <c r="U111" s="94">
        <v>0</v>
      </c>
      <c r="V111" s="94">
        <v>3</v>
      </c>
      <c r="W111" s="94">
        <v>0</v>
      </c>
      <c r="X111" s="94">
        <v>1</v>
      </c>
      <c r="Y111" s="94">
        <v>1</v>
      </c>
      <c r="Z111" s="94">
        <v>22</v>
      </c>
      <c r="AA111" s="94">
        <v>1</v>
      </c>
      <c r="AB111" s="94">
        <v>1</v>
      </c>
      <c r="AC111" s="94">
        <v>0</v>
      </c>
      <c r="AD111" s="94">
        <v>20</v>
      </c>
      <c r="AE111" s="94">
        <v>0</v>
      </c>
      <c r="AF111" s="94">
        <v>12</v>
      </c>
      <c r="AG111" s="94">
        <v>9</v>
      </c>
      <c r="AH111" s="94">
        <v>1403</v>
      </c>
      <c r="AI111" s="94">
        <v>725</v>
      </c>
    </row>
    <row r="112" spans="1:35" ht="16.05" customHeight="1">
      <c r="A112" s="93" t="s">
        <v>2026</v>
      </c>
      <c r="B112" s="93" t="s">
        <v>272</v>
      </c>
      <c r="C112" s="94">
        <v>24</v>
      </c>
      <c r="D112" s="94">
        <v>21</v>
      </c>
      <c r="E112" s="94">
        <v>2</v>
      </c>
      <c r="F112" s="94">
        <v>48</v>
      </c>
      <c r="G112" s="94">
        <v>2</v>
      </c>
      <c r="H112" s="94">
        <v>15</v>
      </c>
      <c r="I112" s="94">
        <v>5</v>
      </c>
      <c r="J112" s="94">
        <v>101</v>
      </c>
      <c r="K112" s="94">
        <v>5</v>
      </c>
      <c r="L112" s="94">
        <v>9</v>
      </c>
      <c r="M112" s="94">
        <v>5</v>
      </c>
      <c r="N112" s="94">
        <v>22</v>
      </c>
      <c r="O112" s="94">
        <v>6</v>
      </c>
      <c r="P112" s="94">
        <v>20</v>
      </c>
      <c r="Q112" s="94">
        <v>12</v>
      </c>
      <c r="R112" s="94">
        <v>245</v>
      </c>
      <c r="S112" s="94">
        <v>21</v>
      </c>
      <c r="T112" s="94">
        <v>28</v>
      </c>
      <c r="U112" s="94">
        <v>13</v>
      </c>
      <c r="V112" s="94">
        <v>56</v>
      </c>
      <c r="W112" s="94">
        <v>12</v>
      </c>
      <c r="X112" s="94">
        <v>13</v>
      </c>
      <c r="Y112" s="94">
        <v>18</v>
      </c>
      <c r="Z112" s="94">
        <v>151</v>
      </c>
      <c r="AA112" s="94">
        <v>36</v>
      </c>
      <c r="AB112" s="94">
        <v>46</v>
      </c>
      <c r="AC112" s="94">
        <v>17</v>
      </c>
      <c r="AD112" s="94">
        <v>144</v>
      </c>
      <c r="AE112" s="94">
        <v>60</v>
      </c>
      <c r="AF112" s="94">
        <v>127</v>
      </c>
      <c r="AG112" s="94">
        <v>166</v>
      </c>
      <c r="AH112" s="94">
        <v>6683</v>
      </c>
      <c r="AI112" s="94">
        <v>1703</v>
      </c>
    </row>
    <row r="113" spans="1:35" ht="16.05" customHeight="1">
      <c r="A113" s="93" t="s">
        <v>2026</v>
      </c>
      <c r="B113" s="93" t="s">
        <v>273</v>
      </c>
      <c r="C113" s="94">
        <v>475</v>
      </c>
      <c r="D113" s="94">
        <v>14</v>
      </c>
      <c r="E113" s="94">
        <v>12</v>
      </c>
      <c r="F113" s="94">
        <v>0</v>
      </c>
      <c r="G113" s="94">
        <v>11</v>
      </c>
      <c r="H113" s="94">
        <v>2</v>
      </c>
      <c r="I113" s="94">
        <v>0</v>
      </c>
      <c r="J113" s="94">
        <v>0</v>
      </c>
      <c r="K113" s="94">
        <v>12</v>
      </c>
      <c r="L113" s="94">
        <v>0</v>
      </c>
      <c r="M113" s="94">
        <v>2</v>
      </c>
      <c r="N113" s="94">
        <v>0</v>
      </c>
      <c r="O113" s="94">
        <v>0</v>
      </c>
      <c r="P113" s="94">
        <v>0</v>
      </c>
      <c r="Q113" s="94">
        <v>0</v>
      </c>
      <c r="R113" s="94">
        <v>0</v>
      </c>
      <c r="S113" s="94">
        <v>14</v>
      </c>
      <c r="T113" s="94">
        <v>1</v>
      </c>
      <c r="U113" s="94">
        <v>1</v>
      </c>
      <c r="V113" s="94">
        <v>0</v>
      </c>
      <c r="W113" s="94">
        <v>3</v>
      </c>
      <c r="X113" s="94">
        <v>0</v>
      </c>
      <c r="Y113" s="94">
        <v>0</v>
      </c>
      <c r="Z113" s="94">
        <v>0</v>
      </c>
      <c r="AA113" s="94">
        <v>0</v>
      </c>
      <c r="AB113" s="94">
        <v>0</v>
      </c>
      <c r="AC113" s="94">
        <v>0</v>
      </c>
      <c r="AD113" s="94">
        <v>0</v>
      </c>
      <c r="AE113" s="94">
        <v>0</v>
      </c>
      <c r="AF113" s="94">
        <v>0</v>
      </c>
      <c r="AG113" s="94">
        <v>0</v>
      </c>
      <c r="AH113" s="94">
        <v>0</v>
      </c>
      <c r="AI113" s="94">
        <v>300</v>
      </c>
    </row>
    <row r="114" spans="1:35" ht="16.05" customHeight="1">
      <c r="A114" s="93" t="s">
        <v>2026</v>
      </c>
      <c r="B114" s="93" t="s">
        <v>274</v>
      </c>
      <c r="C114" s="94">
        <v>0</v>
      </c>
      <c r="D114" s="94">
        <v>0</v>
      </c>
      <c r="E114" s="94">
        <v>0</v>
      </c>
      <c r="F114" s="94">
        <v>0</v>
      </c>
      <c r="G114" s="94">
        <v>0</v>
      </c>
      <c r="H114" s="94">
        <v>0</v>
      </c>
      <c r="I114" s="94">
        <v>0</v>
      </c>
      <c r="J114" s="94">
        <v>0</v>
      </c>
      <c r="K114" s="94">
        <v>0</v>
      </c>
      <c r="L114" s="94">
        <v>0</v>
      </c>
      <c r="M114" s="94">
        <v>0</v>
      </c>
      <c r="N114" s="94">
        <v>0</v>
      </c>
      <c r="O114" s="94">
        <v>0</v>
      </c>
      <c r="P114" s="94">
        <v>0</v>
      </c>
      <c r="Q114" s="94">
        <v>0</v>
      </c>
      <c r="R114" s="94">
        <v>0</v>
      </c>
      <c r="S114" s="94">
        <v>0</v>
      </c>
      <c r="T114" s="94">
        <v>0</v>
      </c>
      <c r="U114" s="94">
        <v>0</v>
      </c>
      <c r="V114" s="94">
        <v>0</v>
      </c>
      <c r="W114" s="94">
        <v>0</v>
      </c>
      <c r="X114" s="94">
        <v>0</v>
      </c>
      <c r="Y114" s="94">
        <v>0</v>
      </c>
      <c r="Z114" s="94">
        <v>3</v>
      </c>
      <c r="AA114" s="94">
        <v>0</v>
      </c>
      <c r="AB114" s="94">
        <v>0</v>
      </c>
      <c r="AC114" s="94">
        <v>0</v>
      </c>
      <c r="AD114" s="94">
        <v>3</v>
      </c>
      <c r="AE114" s="94">
        <v>1</v>
      </c>
      <c r="AF114" s="94">
        <v>4</v>
      </c>
      <c r="AG114" s="94">
        <v>6</v>
      </c>
      <c r="AH114" s="94">
        <v>217</v>
      </c>
      <c r="AI114" s="94">
        <v>1379</v>
      </c>
    </row>
    <row r="115" spans="1:35" ht="16.05" customHeight="1">
      <c r="A115" s="93" t="s">
        <v>2026</v>
      </c>
      <c r="B115" s="93" t="s">
        <v>275</v>
      </c>
      <c r="C115" s="94">
        <v>0</v>
      </c>
      <c r="D115" s="94">
        <v>0</v>
      </c>
      <c r="E115" s="94">
        <v>0</v>
      </c>
      <c r="F115" s="94">
        <v>0</v>
      </c>
      <c r="G115" s="94">
        <v>0</v>
      </c>
      <c r="H115" s="94">
        <v>0</v>
      </c>
      <c r="I115" s="94">
        <v>0</v>
      </c>
      <c r="J115" s="94">
        <v>2</v>
      </c>
      <c r="K115" s="94">
        <v>0</v>
      </c>
      <c r="L115" s="94">
        <v>0</v>
      </c>
      <c r="M115" s="94">
        <v>0</v>
      </c>
      <c r="N115" s="94">
        <v>0</v>
      </c>
      <c r="O115" s="94">
        <v>0</v>
      </c>
      <c r="P115" s="94">
        <v>0</v>
      </c>
      <c r="Q115" s="94">
        <v>0</v>
      </c>
      <c r="R115" s="94">
        <v>6</v>
      </c>
      <c r="S115" s="94">
        <v>0</v>
      </c>
      <c r="T115" s="94">
        <v>0</v>
      </c>
      <c r="U115" s="94">
        <v>0</v>
      </c>
      <c r="V115" s="94">
        <v>3</v>
      </c>
      <c r="W115" s="94">
        <v>0</v>
      </c>
      <c r="X115" s="94">
        <v>0</v>
      </c>
      <c r="Y115" s="94">
        <v>0</v>
      </c>
      <c r="Z115" s="94">
        <v>7</v>
      </c>
      <c r="AA115" s="94">
        <v>0</v>
      </c>
      <c r="AB115" s="94">
        <v>3</v>
      </c>
      <c r="AC115" s="94">
        <v>0</v>
      </c>
      <c r="AD115" s="94">
        <v>8</v>
      </c>
      <c r="AE115" s="94">
        <v>1</v>
      </c>
      <c r="AF115" s="94">
        <v>4</v>
      </c>
      <c r="AG115" s="94">
        <v>9</v>
      </c>
      <c r="AH115" s="94">
        <v>638</v>
      </c>
      <c r="AI115" s="94">
        <v>403</v>
      </c>
    </row>
    <row r="116" spans="1:35" ht="16.05" customHeight="1">
      <c r="A116" s="93" t="s">
        <v>2026</v>
      </c>
      <c r="B116" s="93" t="s">
        <v>276</v>
      </c>
      <c r="C116" s="94">
        <v>0</v>
      </c>
      <c r="D116" s="94">
        <v>0</v>
      </c>
      <c r="E116" s="94">
        <v>0</v>
      </c>
      <c r="F116" s="94">
        <v>0</v>
      </c>
      <c r="G116" s="94">
        <v>0</v>
      </c>
      <c r="H116" s="94">
        <v>0</v>
      </c>
      <c r="I116" s="94">
        <v>0</v>
      </c>
      <c r="J116" s="94">
        <v>0</v>
      </c>
      <c r="K116" s="94">
        <v>0</v>
      </c>
      <c r="L116" s="94">
        <v>0</v>
      </c>
      <c r="M116" s="94">
        <v>0</v>
      </c>
      <c r="N116" s="94">
        <v>0</v>
      </c>
      <c r="O116" s="94">
        <v>0</v>
      </c>
      <c r="P116" s="94">
        <v>0</v>
      </c>
      <c r="Q116" s="94">
        <v>0</v>
      </c>
      <c r="R116" s="94">
        <v>0</v>
      </c>
      <c r="S116" s="94">
        <v>0</v>
      </c>
      <c r="T116" s="94">
        <v>0</v>
      </c>
      <c r="U116" s="94">
        <v>0</v>
      </c>
      <c r="V116" s="94">
        <v>0</v>
      </c>
      <c r="W116" s="94">
        <v>0</v>
      </c>
      <c r="X116" s="94">
        <v>0</v>
      </c>
      <c r="Y116" s="94">
        <v>0</v>
      </c>
      <c r="Z116" s="94">
        <v>0</v>
      </c>
      <c r="AA116" s="94">
        <v>0</v>
      </c>
      <c r="AB116" s="94">
        <v>0</v>
      </c>
      <c r="AC116" s="94">
        <v>0</v>
      </c>
      <c r="AD116" s="94">
        <v>0</v>
      </c>
      <c r="AE116" s="94">
        <v>0</v>
      </c>
      <c r="AF116" s="94">
        <v>0</v>
      </c>
      <c r="AG116" s="94">
        <v>0</v>
      </c>
      <c r="AH116" s="94">
        <v>8</v>
      </c>
      <c r="AI116" s="94">
        <v>2</v>
      </c>
    </row>
    <row r="117" spans="1:35" ht="16.05" customHeight="1">
      <c r="A117" s="93" t="s">
        <v>2026</v>
      </c>
      <c r="B117" s="93" t="s">
        <v>277</v>
      </c>
      <c r="C117" s="94">
        <v>0</v>
      </c>
      <c r="D117" s="94">
        <v>0</v>
      </c>
      <c r="E117" s="94">
        <v>0</v>
      </c>
      <c r="F117" s="94">
        <v>1</v>
      </c>
      <c r="G117" s="94">
        <v>0</v>
      </c>
      <c r="H117" s="94">
        <v>0</v>
      </c>
      <c r="I117" s="94">
        <v>0</v>
      </c>
      <c r="J117" s="94">
        <v>1</v>
      </c>
      <c r="K117" s="94">
        <v>1</v>
      </c>
      <c r="L117" s="94">
        <v>0</v>
      </c>
      <c r="M117" s="94">
        <v>0</v>
      </c>
      <c r="N117" s="94">
        <v>2</v>
      </c>
      <c r="O117" s="94">
        <v>0</v>
      </c>
      <c r="P117" s="94">
        <v>1</v>
      </c>
      <c r="Q117" s="94">
        <v>0</v>
      </c>
      <c r="R117" s="94">
        <v>17</v>
      </c>
      <c r="S117" s="94">
        <v>0</v>
      </c>
      <c r="T117" s="94">
        <v>2</v>
      </c>
      <c r="U117" s="94">
        <v>0</v>
      </c>
      <c r="V117" s="94">
        <v>0</v>
      </c>
      <c r="W117" s="94">
        <v>1</v>
      </c>
      <c r="X117" s="94">
        <v>3</v>
      </c>
      <c r="Y117" s="94">
        <v>1</v>
      </c>
      <c r="Z117" s="94">
        <v>9</v>
      </c>
      <c r="AA117" s="94">
        <v>1</v>
      </c>
      <c r="AB117" s="94">
        <v>0</v>
      </c>
      <c r="AC117" s="94">
        <v>5</v>
      </c>
      <c r="AD117" s="94">
        <v>7</v>
      </c>
      <c r="AE117" s="94">
        <v>2</v>
      </c>
      <c r="AF117" s="94">
        <v>12</v>
      </c>
      <c r="AG117" s="94">
        <v>17</v>
      </c>
      <c r="AH117" s="94">
        <v>2689</v>
      </c>
      <c r="AI117" s="94">
        <v>767</v>
      </c>
    </row>
    <row r="118" spans="1:35" ht="16.05" customHeight="1">
      <c r="A118" s="93" t="s">
        <v>2026</v>
      </c>
      <c r="B118" s="93" t="s">
        <v>278</v>
      </c>
      <c r="C118" s="94">
        <v>1</v>
      </c>
      <c r="D118" s="94">
        <v>6</v>
      </c>
      <c r="E118" s="94">
        <v>7</v>
      </c>
      <c r="F118" s="94">
        <v>15</v>
      </c>
      <c r="G118" s="94">
        <v>6</v>
      </c>
      <c r="H118" s="94">
        <v>14</v>
      </c>
      <c r="I118" s="94">
        <v>5</v>
      </c>
      <c r="J118" s="94">
        <v>56</v>
      </c>
      <c r="K118" s="94">
        <v>1</v>
      </c>
      <c r="L118" s="94">
        <v>8</v>
      </c>
      <c r="M118" s="94">
        <v>7</v>
      </c>
      <c r="N118" s="94">
        <v>25</v>
      </c>
      <c r="O118" s="94">
        <v>3</v>
      </c>
      <c r="P118" s="94">
        <v>21</v>
      </c>
      <c r="Q118" s="94">
        <v>10</v>
      </c>
      <c r="R118" s="94">
        <v>176</v>
      </c>
      <c r="S118" s="94">
        <v>5</v>
      </c>
      <c r="T118" s="94">
        <v>12</v>
      </c>
      <c r="U118" s="94">
        <v>8</v>
      </c>
      <c r="V118" s="94">
        <v>44</v>
      </c>
      <c r="W118" s="94">
        <v>4</v>
      </c>
      <c r="X118" s="94">
        <v>30</v>
      </c>
      <c r="Y118" s="94">
        <v>8</v>
      </c>
      <c r="Z118" s="94">
        <v>151</v>
      </c>
      <c r="AA118" s="94">
        <v>15</v>
      </c>
      <c r="AB118" s="94">
        <v>49</v>
      </c>
      <c r="AC118" s="94">
        <v>34</v>
      </c>
      <c r="AD118" s="94">
        <v>138</v>
      </c>
      <c r="AE118" s="94">
        <v>61</v>
      </c>
      <c r="AF118" s="94">
        <v>167</v>
      </c>
      <c r="AG118" s="94">
        <v>208</v>
      </c>
      <c r="AH118" s="94">
        <v>3586</v>
      </c>
      <c r="AI118" s="94">
        <v>1404</v>
      </c>
    </row>
    <row r="119" spans="1:35" ht="16.05" customHeight="1">
      <c r="A119" s="93" t="s">
        <v>2026</v>
      </c>
      <c r="B119" s="93" t="s">
        <v>279</v>
      </c>
      <c r="C119" s="94">
        <v>0</v>
      </c>
      <c r="D119" s="94">
        <v>1</v>
      </c>
      <c r="E119" s="94">
        <v>0</v>
      </c>
      <c r="F119" s="94">
        <v>4</v>
      </c>
      <c r="G119" s="94">
        <v>0</v>
      </c>
      <c r="H119" s="94">
        <v>0</v>
      </c>
      <c r="I119" s="94">
        <v>2</v>
      </c>
      <c r="J119" s="94">
        <v>71</v>
      </c>
      <c r="K119" s="94">
        <v>1</v>
      </c>
      <c r="L119" s="94">
        <v>0</v>
      </c>
      <c r="M119" s="94">
        <v>0</v>
      </c>
      <c r="N119" s="94">
        <v>0</v>
      </c>
      <c r="O119" s="94">
        <v>0</v>
      </c>
      <c r="P119" s="94">
        <v>2</v>
      </c>
      <c r="Q119" s="94">
        <v>0</v>
      </c>
      <c r="R119" s="94">
        <v>92</v>
      </c>
      <c r="S119" s="94">
        <v>0</v>
      </c>
      <c r="T119" s="94">
        <v>0</v>
      </c>
      <c r="U119" s="94">
        <v>0</v>
      </c>
      <c r="V119" s="94">
        <v>0</v>
      </c>
      <c r="W119" s="94">
        <v>1</v>
      </c>
      <c r="X119" s="94">
        <v>0</v>
      </c>
      <c r="Y119" s="94">
        <v>0</v>
      </c>
      <c r="Z119" s="94">
        <v>6</v>
      </c>
      <c r="AA119" s="94">
        <v>0</v>
      </c>
      <c r="AB119" s="94">
        <v>0</v>
      </c>
      <c r="AC119" s="94">
        <v>1</v>
      </c>
      <c r="AD119" s="94">
        <v>3</v>
      </c>
      <c r="AE119" s="94">
        <v>0</v>
      </c>
      <c r="AF119" s="94">
        <v>1</v>
      </c>
      <c r="AG119" s="94">
        <v>2</v>
      </c>
      <c r="AH119" s="94">
        <v>1169</v>
      </c>
      <c r="AI119" s="94">
        <v>633</v>
      </c>
    </row>
    <row r="120" spans="1:35" ht="16.05" customHeight="1">
      <c r="A120" s="93" t="s">
        <v>2026</v>
      </c>
      <c r="B120" s="93" t="s">
        <v>280</v>
      </c>
      <c r="C120" s="94">
        <v>0</v>
      </c>
      <c r="D120" s="94">
        <v>0</v>
      </c>
      <c r="E120" s="94">
        <v>0</v>
      </c>
      <c r="F120" s="94">
        <v>0</v>
      </c>
      <c r="G120" s="94">
        <v>0</v>
      </c>
      <c r="H120" s="94">
        <v>0</v>
      </c>
      <c r="I120" s="94">
        <v>0</v>
      </c>
      <c r="J120" s="94">
        <v>1</v>
      </c>
      <c r="K120" s="94">
        <v>0</v>
      </c>
      <c r="L120" s="94">
        <v>0</v>
      </c>
      <c r="M120" s="94">
        <v>0</v>
      </c>
      <c r="N120" s="94">
        <v>0</v>
      </c>
      <c r="O120" s="94">
        <v>0</v>
      </c>
      <c r="P120" s="94">
        <v>0</v>
      </c>
      <c r="Q120" s="94">
        <v>1</v>
      </c>
      <c r="R120" s="94">
        <v>37</v>
      </c>
      <c r="S120" s="94">
        <v>0</v>
      </c>
      <c r="T120" s="94">
        <v>0</v>
      </c>
      <c r="U120" s="94">
        <v>0</v>
      </c>
      <c r="V120" s="94">
        <v>1</v>
      </c>
      <c r="W120" s="94">
        <v>0</v>
      </c>
      <c r="X120" s="94">
        <v>0</v>
      </c>
      <c r="Y120" s="94">
        <v>0</v>
      </c>
      <c r="Z120" s="94">
        <v>26</v>
      </c>
      <c r="AA120" s="94">
        <v>0</v>
      </c>
      <c r="AB120" s="94">
        <v>1</v>
      </c>
      <c r="AC120" s="94">
        <v>0</v>
      </c>
      <c r="AD120" s="94">
        <v>24</v>
      </c>
      <c r="AE120" s="94">
        <v>0</v>
      </c>
      <c r="AF120" s="94">
        <v>15</v>
      </c>
      <c r="AG120" s="94">
        <v>14</v>
      </c>
      <c r="AH120" s="94">
        <v>3326</v>
      </c>
      <c r="AI120" s="94">
        <v>786</v>
      </c>
    </row>
    <row r="121" spans="1:35" ht="16.05" customHeight="1">
      <c r="A121" s="93" t="s">
        <v>2026</v>
      </c>
      <c r="B121" s="93" t="s">
        <v>281</v>
      </c>
      <c r="C121" s="94">
        <v>0</v>
      </c>
      <c r="D121" s="94">
        <v>0</v>
      </c>
      <c r="E121" s="94">
        <v>0</v>
      </c>
      <c r="F121" s="94">
        <v>0</v>
      </c>
      <c r="G121" s="94">
        <v>0</v>
      </c>
      <c r="H121" s="94">
        <v>0</v>
      </c>
      <c r="I121" s="94">
        <v>0</v>
      </c>
      <c r="J121" s="94">
        <v>0</v>
      </c>
      <c r="K121" s="94">
        <v>1</v>
      </c>
      <c r="L121" s="94">
        <v>1</v>
      </c>
      <c r="M121" s="94">
        <v>1</v>
      </c>
      <c r="N121" s="94">
        <v>0</v>
      </c>
      <c r="O121" s="94">
        <v>1</v>
      </c>
      <c r="P121" s="94">
        <v>0</v>
      </c>
      <c r="Q121" s="94">
        <v>1</v>
      </c>
      <c r="R121" s="94">
        <v>0</v>
      </c>
      <c r="S121" s="94">
        <v>0</v>
      </c>
      <c r="T121" s="94">
        <v>0</v>
      </c>
      <c r="U121" s="94">
        <v>0</v>
      </c>
      <c r="V121" s="94">
        <v>0</v>
      </c>
      <c r="W121" s="94">
        <v>0</v>
      </c>
      <c r="X121" s="94">
        <v>1</v>
      </c>
      <c r="Y121" s="94">
        <v>0</v>
      </c>
      <c r="Z121" s="94">
        <v>0</v>
      </c>
      <c r="AA121" s="94">
        <v>2</v>
      </c>
      <c r="AB121" s="94">
        <v>2</v>
      </c>
      <c r="AC121" s="94">
        <v>0</v>
      </c>
      <c r="AD121" s="94">
        <v>2</v>
      </c>
      <c r="AE121" s="94">
        <v>2</v>
      </c>
      <c r="AF121" s="94">
        <v>9</v>
      </c>
      <c r="AG121" s="94">
        <v>5</v>
      </c>
      <c r="AH121" s="94">
        <v>70</v>
      </c>
      <c r="AI121" s="94">
        <v>628</v>
      </c>
    </row>
    <row r="122" spans="1:35" ht="16.05" customHeight="1">
      <c r="A122" s="93" t="s">
        <v>2026</v>
      </c>
      <c r="B122" s="93" t="s">
        <v>282</v>
      </c>
      <c r="C122" s="94">
        <v>0</v>
      </c>
      <c r="D122" s="94">
        <v>0</v>
      </c>
      <c r="E122" s="94">
        <v>0</v>
      </c>
      <c r="F122" s="94">
        <v>0</v>
      </c>
      <c r="G122" s="94">
        <v>0</v>
      </c>
      <c r="H122" s="94">
        <v>0</v>
      </c>
      <c r="I122" s="94">
        <v>0</v>
      </c>
      <c r="J122" s="94">
        <v>1</v>
      </c>
      <c r="K122" s="94">
        <v>0</v>
      </c>
      <c r="L122" s="94">
        <v>0</v>
      </c>
      <c r="M122" s="94">
        <v>0</v>
      </c>
      <c r="N122" s="94">
        <v>0</v>
      </c>
      <c r="O122" s="94">
        <v>0</v>
      </c>
      <c r="P122" s="94">
        <v>0</v>
      </c>
      <c r="Q122" s="94">
        <v>0</v>
      </c>
      <c r="R122" s="94">
        <v>1</v>
      </c>
      <c r="S122" s="94">
        <v>0</v>
      </c>
      <c r="T122" s="94">
        <v>0</v>
      </c>
      <c r="U122" s="94">
        <v>0</v>
      </c>
      <c r="V122" s="94">
        <v>0</v>
      </c>
      <c r="W122" s="94">
        <v>0</v>
      </c>
      <c r="X122" s="94">
        <v>0</v>
      </c>
      <c r="Y122" s="94">
        <v>0</v>
      </c>
      <c r="Z122" s="94">
        <v>1</v>
      </c>
      <c r="AA122" s="94">
        <v>0</v>
      </c>
      <c r="AB122" s="94">
        <v>0</v>
      </c>
      <c r="AC122" s="94">
        <v>0</v>
      </c>
      <c r="AD122" s="94">
        <v>3</v>
      </c>
      <c r="AE122" s="94">
        <v>0</v>
      </c>
      <c r="AF122" s="94">
        <v>3</v>
      </c>
      <c r="AG122" s="94">
        <v>2</v>
      </c>
      <c r="AH122" s="94">
        <v>477</v>
      </c>
      <c r="AI122" s="94">
        <v>420</v>
      </c>
    </row>
    <row r="123" spans="1:35" ht="16.05" customHeight="1">
      <c r="A123" s="93" t="s">
        <v>2026</v>
      </c>
      <c r="B123" s="93" t="s">
        <v>283</v>
      </c>
      <c r="C123" s="94">
        <v>0</v>
      </c>
      <c r="D123" s="94">
        <v>0</v>
      </c>
      <c r="E123" s="94">
        <v>0</v>
      </c>
      <c r="F123" s="94">
        <v>3</v>
      </c>
      <c r="G123" s="94">
        <v>0</v>
      </c>
      <c r="H123" s="94">
        <v>0</v>
      </c>
      <c r="I123" s="94">
        <v>0</v>
      </c>
      <c r="J123" s="94">
        <v>5</v>
      </c>
      <c r="K123" s="94">
        <v>0</v>
      </c>
      <c r="L123" s="94">
        <v>0</v>
      </c>
      <c r="M123" s="94">
        <v>0</v>
      </c>
      <c r="N123" s="94">
        <v>0</v>
      </c>
      <c r="O123" s="94">
        <v>0</v>
      </c>
      <c r="P123" s="94">
        <v>1</v>
      </c>
      <c r="Q123" s="94">
        <v>0</v>
      </c>
      <c r="R123" s="94">
        <v>32</v>
      </c>
      <c r="S123" s="94">
        <v>0</v>
      </c>
      <c r="T123" s="94">
        <v>0</v>
      </c>
      <c r="U123" s="94">
        <v>0</v>
      </c>
      <c r="V123" s="94">
        <v>0</v>
      </c>
      <c r="W123" s="94">
        <v>0</v>
      </c>
      <c r="X123" s="94">
        <v>0</v>
      </c>
      <c r="Y123" s="94">
        <v>1</v>
      </c>
      <c r="Z123" s="94">
        <v>21</v>
      </c>
      <c r="AA123" s="94">
        <v>0</v>
      </c>
      <c r="AB123" s="94">
        <v>0</v>
      </c>
      <c r="AC123" s="94">
        <v>0</v>
      </c>
      <c r="AD123" s="94">
        <v>21</v>
      </c>
      <c r="AE123" s="94">
        <v>0</v>
      </c>
      <c r="AF123" s="94">
        <v>24</v>
      </c>
      <c r="AG123" s="94">
        <v>29</v>
      </c>
      <c r="AH123" s="94">
        <v>8308</v>
      </c>
      <c r="AI123" s="94">
        <v>1894</v>
      </c>
    </row>
    <row r="124" spans="1:35" ht="16.05" customHeight="1">
      <c r="A124" s="93" t="s">
        <v>2026</v>
      </c>
      <c r="B124" s="93" t="s">
        <v>284</v>
      </c>
      <c r="C124" s="94">
        <v>452</v>
      </c>
      <c r="D124" s="94">
        <v>75</v>
      </c>
      <c r="E124" s="94">
        <v>30</v>
      </c>
      <c r="F124" s="94">
        <v>55</v>
      </c>
      <c r="G124" s="94">
        <v>40</v>
      </c>
      <c r="H124" s="94">
        <v>7</v>
      </c>
      <c r="I124" s="94">
        <v>19</v>
      </c>
      <c r="J124" s="94">
        <v>32</v>
      </c>
      <c r="K124" s="94">
        <v>62</v>
      </c>
      <c r="L124" s="94">
        <v>3</v>
      </c>
      <c r="M124" s="94">
        <v>11</v>
      </c>
      <c r="N124" s="94">
        <v>2</v>
      </c>
      <c r="O124" s="94">
        <v>25</v>
      </c>
      <c r="P124" s="94">
        <v>3</v>
      </c>
      <c r="Q124" s="94">
        <v>11</v>
      </c>
      <c r="R124" s="94">
        <v>42</v>
      </c>
      <c r="S124" s="94">
        <v>153</v>
      </c>
      <c r="T124" s="94">
        <v>25</v>
      </c>
      <c r="U124" s="94">
        <v>16</v>
      </c>
      <c r="V124" s="94">
        <v>8</v>
      </c>
      <c r="W124" s="94">
        <v>19</v>
      </c>
      <c r="X124" s="94">
        <v>3</v>
      </c>
      <c r="Y124" s="94">
        <v>7</v>
      </c>
      <c r="Z124" s="94">
        <v>21</v>
      </c>
      <c r="AA124" s="94">
        <v>90</v>
      </c>
      <c r="AB124" s="94">
        <v>15</v>
      </c>
      <c r="AC124" s="94">
        <v>12</v>
      </c>
      <c r="AD124" s="94">
        <v>24</v>
      </c>
      <c r="AE124" s="94">
        <v>59</v>
      </c>
      <c r="AF124" s="94">
        <v>29</v>
      </c>
      <c r="AG124" s="94">
        <v>59</v>
      </c>
      <c r="AH124" s="94">
        <v>1028</v>
      </c>
      <c r="AI124" s="94">
        <v>509</v>
      </c>
    </row>
    <row r="125" spans="1:35" ht="16.05" customHeight="1">
      <c r="A125" s="93" t="s">
        <v>2026</v>
      </c>
      <c r="B125" s="93" t="s">
        <v>285</v>
      </c>
      <c r="C125" s="94">
        <v>0</v>
      </c>
      <c r="D125" s="94">
        <v>1</v>
      </c>
      <c r="E125" s="94">
        <v>0</v>
      </c>
      <c r="F125" s="94">
        <v>11</v>
      </c>
      <c r="G125" s="94">
        <v>0</v>
      </c>
      <c r="H125" s="94">
        <v>1</v>
      </c>
      <c r="I125" s="94">
        <v>0</v>
      </c>
      <c r="J125" s="94">
        <v>13</v>
      </c>
      <c r="K125" s="94">
        <v>0</v>
      </c>
      <c r="L125" s="94">
        <v>0</v>
      </c>
      <c r="M125" s="94">
        <v>0</v>
      </c>
      <c r="N125" s="94">
        <v>0</v>
      </c>
      <c r="O125" s="94">
        <v>0</v>
      </c>
      <c r="P125" s="94">
        <v>0</v>
      </c>
      <c r="Q125" s="94">
        <v>0</v>
      </c>
      <c r="R125" s="94">
        <v>9</v>
      </c>
      <c r="S125" s="94">
        <v>0</v>
      </c>
      <c r="T125" s="94">
        <v>1</v>
      </c>
      <c r="U125" s="94">
        <v>0</v>
      </c>
      <c r="V125" s="94">
        <v>10</v>
      </c>
      <c r="W125" s="94">
        <v>0</v>
      </c>
      <c r="X125" s="94">
        <v>2</v>
      </c>
      <c r="Y125" s="94">
        <v>0</v>
      </c>
      <c r="Z125" s="94">
        <v>65</v>
      </c>
      <c r="AA125" s="94">
        <v>0</v>
      </c>
      <c r="AB125" s="94">
        <v>0</v>
      </c>
      <c r="AC125" s="94">
        <v>0</v>
      </c>
      <c r="AD125" s="94">
        <v>3</v>
      </c>
      <c r="AE125" s="94">
        <v>0</v>
      </c>
      <c r="AF125" s="94">
        <v>0</v>
      </c>
      <c r="AG125" s="94">
        <v>0</v>
      </c>
      <c r="AH125" s="94">
        <v>65</v>
      </c>
      <c r="AI125" s="94">
        <v>722</v>
      </c>
    </row>
    <row r="126" spans="1:35" ht="16.05" customHeight="1">
      <c r="A126" s="93" t="s">
        <v>2026</v>
      </c>
      <c r="B126" s="93" t="s">
        <v>286</v>
      </c>
      <c r="C126" s="94">
        <v>0</v>
      </c>
      <c r="D126" s="94">
        <v>0</v>
      </c>
      <c r="E126" s="94">
        <v>0</v>
      </c>
      <c r="F126" s="94">
        <v>0</v>
      </c>
      <c r="G126" s="94">
        <v>0</v>
      </c>
      <c r="H126" s="94">
        <v>0</v>
      </c>
      <c r="I126" s="94">
        <v>0</v>
      </c>
      <c r="J126" s="94">
        <v>0</v>
      </c>
      <c r="K126" s="94">
        <v>0</v>
      </c>
      <c r="L126" s="94">
        <v>0</v>
      </c>
      <c r="M126" s="94">
        <v>0</v>
      </c>
      <c r="N126" s="94">
        <v>0</v>
      </c>
      <c r="O126" s="94">
        <v>0</v>
      </c>
      <c r="P126" s="94">
        <v>0</v>
      </c>
      <c r="Q126" s="94">
        <v>0</v>
      </c>
      <c r="R126" s="94">
        <v>2</v>
      </c>
      <c r="S126" s="94">
        <v>0</v>
      </c>
      <c r="T126" s="94">
        <v>0</v>
      </c>
      <c r="U126" s="94">
        <v>0</v>
      </c>
      <c r="V126" s="94">
        <v>0</v>
      </c>
      <c r="W126" s="94">
        <v>0</v>
      </c>
      <c r="X126" s="94">
        <v>0</v>
      </c>
      <c r="Y126" s="94">
        <v>0</v>
      </c>
      <c r="Z126" s="94">
        <v>2</v>
      </c>
      <c r="AA126" s="94">
        <v>0</v>
      </c>
      <c r="AB126" s="94">
        <v>0</v>
      </c>
      <c r="AC126" s="94">
        <v>0</v>
      </c>
      <c r="AD126" s="94">
        <v>3</v>
      </c>
      <c r="AE126" s="94">
        <v>0</v>
      </c>
      <c r="AF126" s="94">
        <v>4</v>
      </c>
      <c r="AG126" s="94">
        <v>4</v>
      </c>
      <c r="AH126" s="94">
        <v>875</v>
      </c>
      <c r="AI126" s="94">
        <v>765</v>
      </c>
    </row>
    <row r="127" spans="1:35" ht="16.05" customHeight="1">
      <c r="A127" s="93" t="s">
        <v>2026</v>
      </c>
      <c r="B127" s="93" t="s">
        <v>287</v>
      </c>
      <c r="C127" s="94">
        <v>28</v>
      </c>
      <c r="D127" s="94">
        <v>20</v>
      </c>
      <c r="E127" s="94">
        <v>5</v>
      </c>
      <c r="F127" s="94">
        <v>36</v>
      </c>
      <c r="G127" s="94">
        <v>9</v>
      </c>
      <c r="H127" s="94">
        <v>11</v>
      </c>
      <c r="I127" s="94">
        <v>3</v>
      </c>
      <c r="J127" s="94">
        <v>81</v>
      </c>
      <c r="K127" s="94">
        <v>11</v>
      </c>
      <c r="L127" s="94">
        <v>10</v>
      </c>
      <c r="M127" s="94">
        <v>3</v>
      </c>
      <c r="N127" s="94">
        <v>26</v>
      </c>
      <c r="O127" s="94">
        <v>7</v>
      </c>
      <c r="P127" s="94">
        <v>11</v>
      </c>
      <c r="Q127" s="94">
        <v>9</v>
      </c>
      <c r="R127" s="94">
        <v>209</v>
      </c>
      <c r="S127" s="94">
        <v>17</v>
      </c>
      <c r="T127" s="94">
        <v>22</v>
      </c>
      <c r="U127" s="94">
        <v>16</v>
      </c>
      <c r="V127" s="94">
        <v>40</v>
      </c>
      <c r="W127" s="94">
        <v>11</v>
      </c>
      <c r="X127" s="94">
        <v>16</v>
      </c>
      <c r="Y127" s="94">
        <v>13</v>
      </c>
      <c r="Z127" s="94">
        <v>121</v>
      </c>
      <c r="AA127" s="94">
        <v>26</v>
      </c>
      <c r="AB127" s="94">
        <v>41</v>
      </c>
      <c r="AC127" s="94">
        <v>21</v>
      </c>
      <c r="AD127" s="94">
        <v>100</v>
      </c>
      <c r="AE127" s="94">
        <v>52</v>
      </c>
      <c r="AF127" s="94">
        <v>99</v>
      </c>
      <c r="AG127" s="94">
        <v>130</v>
      </c>
      <c r="AH127" s="94">
        <v>3597</v>
      </c>
      <c r="AI127" s="94">
        <v>1261</v>
      </c>
    </row>
    <row r="128" spans="1:35" ht="16.05" customHeight="1">
      <c r="A128" s="93" t="s">
        <v>2026</v>
      </c>
      <c r="B128" s="93" t="s">
        <v>288</v>
      </c>
      <c r="C128" s="94">
        <v>75</v>
      </c>
      <c r="D128" s="94">
        <v>21</v>
      </c>
      <c r="E128" s="94">
        <v>14</v>
      </c>
      <c r="F128" s="94">
        <v>18</v>
      </c>
      <c r="G128" s="94">
        <v>30</v>
      </c>
      <c r="H128" s="94">
        <v>3</v>
      </c>
      <c r="I128" s="94">
        <v>6</v>
      </c>
      <c r="J128" s="94">
        <v>20</v>
      </c>
      <c r="K128" s="94">
        <v>8</v>
      </c>
      <c r="L128" s="94">
        <v>0</v>
      </c>
      <c r="M128" s="94">
        <v>5</v>
      </c>
      <c r="N128" s="94">
        <v>3</v>
      </c>
      <c r="O128" s="94">
        <v>2</v>
      </c>
      <c r="P128" s="94">
        <v>4</v>
      </c>
      <c r="Q128" s="94">
        <v>1</v>
      </c>
      <c r="R128" s="94">
        <v>39</v>
      </c>
      <c r="S128" s="94">
        <v>16</v>
      </c>
      <c r="T128" s="94">
        <v>13</v>
      </c>
      <c r="U128" s="94">
        <v>2</v>
      </c>
      <c r="V128" s="94">
        <v>8</v>
      </c>
      <c r="W128" s="94">
        <v>3</v>
      </c>
      <c r="X128" s="94">
        <v>4</v>
      </c>
      <c r="Y128" s="94">
        <v>0</v>
      </c>
      <c r="Z128" s="94">
        <v>14</v>
      </c>
      <c r="AA128" s="94">
        <v>10</v>
      </c>
      <c r="AB128" s="94">
        <v>6</v>
      </c>
      <c r="AC128" s="94">
        <v>1</v>
      </c>
      <c r="AD128" s="94">
        <v>10</v>
      </c>
      <c r="AE128" s="94">
        <v>6</v>
      </c>
      <c r="AF128" s="94">
        <v>40</v>
      </c>
      <c r="AG128" s="94">
        <v>20</v>
      </c>
      <c r="AH128" s="94">
        <v>225</v>
      </c>
      <c r="AI128" s="94">
        <v>691</v>
      </c>
    </row>
    <row r="129" spans="1:35" ht="16.05" customHeight="1">
      <c r="A129" s="93" t="s">
        <v>2026</v>
      </c>
      <c r="B129" s="93" t="s">
        <v>289</v>
      </c>
      <c r="C129" s="94">
        <v>1155</v>
      </c>
      <c r="D129" s="94">
        <v>292</v>
      </c>
      <c r="E129" s="94">
        <v>91</v>
      </c>
      <c r="F129" s="94">
        <v>242</v>
      </c>
      <c r="G129" s="94">
        <v>69</v>
      </c>
      <c r="H129" s="94">
        <v>36</v>
      </c>
      <c r="I129" s="94">
        <v>67</v>
      </c>
      <c r="J129" s="94">
        <v>98</v>
      </c>
      <c r="K129" s="94">
        <v>156</v>
      </c>
      <c r="L129" s="94">
        <v>22</v>
      </c>
      <c r="M129" s="94">
        <v>24</v>
      </c>
      <c r="N129" s="94">
        <v>29</v>
      </c>
      <c r="O129" s="94">
        <v>59</v>
      </c>
      <c r="P129" s="94">
        <v>39</v>
      </c>
      <c r="Q129" s="94">
        <v>49</v>
      </c>
      <c r="R129" s="94">
        <v>69</v>
      </c>
      <c r="S129" s="94">
        <v>306</v>
      </c>
      <c r="T129" s="94">
        <v>63</v>
      </c>
      <c r="U129" s="94">
        <v>21</v>
      </c>
      <c r="V129" s="94">
        <v>56</v>
      </c>
      <c r="W129" s="94">
        <v>78</v>
      </c>
      <c r="X129" s="94">
        <v>18</v>
      </c>
      <c r="Y129" s="94">
        <v>31</v>
      </c>
      <c r="Z129" s="94">
        <v>50</v>
      </c>
      <c r="AA129" s="94">
        <v>171</v>
      </c>
      <c r="AB129" s="94">
        <v>41</v>
      </c>
      <c r="AC129" s="94">
        <v>63</v>
      </c>
      <c r="AD129" s="94">
        <v>58</v>
      </c>
      <c r="AE129" s="94">
        <v>112</v>
      </c>
      <c r="AF129" s="94">
        <v>67</v>
      </c>
      <c r="AG129" s="94">
        <v>98</v>
      </c>
      <c r="AH129" s="94">
        <v>345</v>
      </c>
      <c r="AI129" s="94">
        <v>979</v>
      </c>
    </row>
    <row r="130" spans="1:35" ht="16.05" customHeight="1">
      <c r="A130" s="93" t="s">
        <v>2026</v>
      </c>
      <c r="B130" s="93" t="s">
        <v>290</v>
      </c>
      <c r="C130" s="94">
        <v>0</v>
      </c>
      <c r="D130" s="94">
        <v>4</v>
      </c>
      <c r="E130" s="94">
        <v>0</v>
      </c>
      <c r="F130" s="94">
        <v>9</v>
      </c>
      <c r="G130" s="94">
        <v>0</v>
      </c>
      <c r="H130" s="94">
        <v>3</v>
      </c>
      <c r="I130" s="94">
        <v>0</v>
      </c>
      <c r="J130" s="94">
        <v>22</v>
      </c>
      <c r="K130" s="94">
        <v>0</v>
      </c>
      <c r="L130" s="94">
        <v>2</v>
      </c>
      <c r="M130" s="94">
        <v>1</v>
      </c>
      <c r="N130" s="94">
        <v>9</v>
      </c>
      <c r="O130" s="94">
        <v>0</v>
      </c>
      <c r="P130" s="94">
        <v>3</v>
      </c>
      <c r="Q130" s="94">
        <v>3</v>
      </c>
      <c r="R130" s="94">
        <v>68</v>
      </c>
      <c r="S130" s="94">
        <v>4</v>
      </c>
      <c r="T130" s="94">
        <v>5</v>
      </c>
      <c r="U130" s="94">
        <v>2</v>
      </c>
      <c r="V130" s="94">
        <v>10</v>
      </c>
      <c r="W130" s="94">
        <v>2</v>
      </c>
      <c r="X130" s="94">
        <v>10</v>
      </c>
      <c r="Y130" s="94">
        <v>1</v>
      </c>
      <c r="Z130" s="94">
        <v>50</v>
      </c>
      <c r="AA130" s="94">
        <v>12</v>
      </c>
      <c r="AB130" s="94">
        <v>16</v>
      </c>
      <c r="AC130" s="94">
        <v>7</v>
      </c>
      <c r="AD130" s="94">
        <v>50</v>
      </c>
      <c r="AE130" s="94">
        <v>27</v>
      </c>
      <c r="AF130" s="94">
        <v>74</v>
      </c>
      <c r="AG130" s="94">
        <v>99</v>
      </c>
      <c r="AH130" s="94">
        <v>2209</v>
      </c>
      <c r="AI130" s="94">
        <v>975</v>
      </c>
    </row>
    <row r="131" spans="1:35" ht="16.05" customHeight="1">
      <c r="A131" s="93" t="s">
        <v>2026</v>
      </c>
      <c r="B131" s="93" t="s">
        <v>291</v>
      </c>
      <c r="C131" s="94">
        <v>886</v>
      </c>
      <c r="D131" s="94">
        <v>47</v>
      </c>
      <c r="E131" s="94">
        <v>58</v>
      </c>
      <c r="F131" s="94">
        <v>8</v>
      </c>
      <c r="G131" s="94">
        <v>55</v>
      </c>
      <c r="H131" s="94">
        <v>3</v>
      </c>
      <c r="I131" s="94">
        <v>5</v>
      </c>
      <c r="J131" s="94">
        <v>6</v>
      </c>
      <c r="K131" s="94">
        <v>57</v>
      </c>
      <c r="L131" s="94">
        <v>12</v>
      </c>
      <c r="M131" s="94">
        <v>3</v>
      </c>
      <c r="N131" s="94">
        <v>2</v>
      </c>
      <c r="O131" s="94">
        <v>8</v>
      </c>
      <c r="P131" s="94">
        <v>1</v>
      </c>
      <c r="Q131" s="94">
        <v>2</v>
      </c>
      <c r="R131" s="94">
        <v>5</v>
      </c>
      <c r="S131" s="94">
        <v>73</v>
      </c>
      <c r="T131" s="94">
        <v>10</v>
      </c>
      <c r="U131" s="94">
        <v>13</v>
      </c>
      <c r="V131" s="94">
        <v>1</v>
      </c>
      <c r="W131" s="94">
        <v>7</v>
      </c>
      <c r="X131" s="94">
        <v>0</v>
      </c>
      <c r="Y131" s="94">
        <v>4</v>
      </c>
      <c r="Z131" s="94">
        <v>2</v>
      </c>
      <c r="AA131" s="94">
        <v>14</v>
      </c>
      <c r="AB131" s="94">
        <v>2</v>
      </c>
      <c r="AC131" s="94">
        <v>2</v>
      </c>
      <c r="AD131" s="94">
        <v>3</v>
      </c>
      <c r="AE131" s="94">
        <v>3</v>
      </c>
      <c r="AF131" s="94">
        <v>3</v>
      </c>
      <c r="AG131" s="94">
        <v>3</v>
      </c>
      <c r="AH131" s="94">
        <v>1023</v>
      </c>
      <c r="AI131" s="94">
        <v>749</v>
      </c>
    </row>
    <row r="132" spans="1:35" ht="16.05" customHeight="1">
      <c r="A132" s="93" t="s">
        <v>2026</v>
      </c>
      <c r="B132" s="93" t="s">
        <v>292</v>
      </c>
      <c r="C132" s="94">
        <v>5</v>
      </c>
      <c r="D132" s="94">
        <v>9</v>
      </c>
      <c r="E132" s="94">
        <v>0</v>
      </c>
      <c r="F132" s="94">
        <v>10</v>
      </c>
      <c r="G132" s="94">
        <v>1</v>
      </c>
      <c r="H132" s="94">
        <v>0</v>
      </c>
      <c r="I132" s="94">
        <v>1</v>
      </c>
      <c r="J132" s="94">
        <v>23</v>
      </c>
      <c r="K132" s="94">
        <v>0</v>
      </c>
      <c r="L132" s="94">
        <v>2</v>
      </c>
      <c r="M132" s="94">
        <v>2</v>
      </c>
      <c r="N132" s="94">
        <v>6</v>
      </c>
      <c r="O132" s="94">
        <v>3</v>
      </c>
      <c r="P132" s="94">
        <v>6</v>
      </c>
      <c r="Q132" s="94">
        <v>6</v>
      </c>
      <c r="R132" s="94">
        <v>54</v>
      </c>
      <c r="S132" s="94">
        <v>8</v>
      </c>
      <c r="T132" s="94">
        <v>5</v>
      </c>
      <c r="U132" s="94">
        <v>7</v>
      </c>
      <c r="V132" s="94">
        <v>21</v>
      </c>
      <c r="W132" s="94">
        <v>2</v>
      </c>
      <c r="X132" s="94">
        <v>7</v>
      </c>
      <c r="Y132" s="94">
        <v>8</v>
      </c>
      <c r="Z132" s="94">
        <v>46</v>
      </c>
      <c r="AA132" s="94">
        <v>11</v>
      </c>
      <c r="AB132" s="94">
        <v>32</v>
      </c>
      <c r="AC132" s="94">
        <v>7</v>
      </c>
      <c r="AD132" s="94">
        <v>50</v>
      </c>
      <c r="AE132" s="94">
        <v>37</v>
      </c>
      <c r="AF132" s="94">
        <v>44</v>
      </c>
      <c r="AG132" s="94">
        <v>126</v>
      </c>
      <c r="AH132" s="94">
        <v>1623</v>
      </c>
      <c r="AI132" s="94">
        <v>1167</v>
      </c>
    </row>
    <row r="133" spans="1:35" ht="16.05" customHeight="1">
      <c r="A133" s="93" t="s">
        <v>2026</v>
      </c>
      <c r="B133" s="93" t="s">
        <v>293</v>
      </c>
      <c r="C133" s="94">
        <v>437</v>
      </c>
      <c r="D133" s="94">
        <v>138</v>
      </c>
      <c r="E133" s="94">
        <v>87</v>
      </c>
      <c r="F133" s="94">
        <v>89</v>
      </c>
      <c r="G133" s="94">
        <v>87</v>
      </c>
      <c r="H133" s="94">
        <v>44</v>
      </c>
      <c r="I133" s="94">
        <v>60</v>
      </c>
      <c r="J133" s="94">
        <v>53</v>
      </c>
      <c r="K133" s="94">
        <v>87</v>
      </c>
      <c r="L133" s="94">
        <v>34</v>
      </c>
      <c r="M133" s="94">
        <v>28</v>
      </c>
      <c r="N133" s="94">
        <v>29</v>
      </c>
      <c r="O133" s="94">
        <v>65</v>
      </c>
      <c r="P133" s="94">
        <v>18</v>
      </c>
      <c r="Q133" s="94">
        <v>48</v>
      </c>
      <c r="R133" s="94">
        <v>68</v>
      </c>
      <c r="S133" s="94">
        <v>198</v>
      </c>
      <c r="T133" s="94">
        <v>72</v>
      </c>
      <c r="U133" s="94">
        <v>48</v>
      </c>
      <c r="V133" s="94">
        <v>33</v>
      </c>
      <c r="W133" s="94">
        <v>54</v>
      </c>
      <c r="X133" s="94">
        <v>27</v>
      </c>
      <c r="Y133" s="94">
        <v>28</v>
      </c>
      <c r="Z133" s="94">
        <v>49</v>
      </c>
      <c r="AA133" s="94">
        <v>184</v>
      </c>
      <c r="AB133" s="94">
        <v>55</v>
      </c>
      <c r="AC133" s="94">
        <v>49</v>
      </c>
      <c r="AD133" s="94">
        <v>49</v>
      </c>
      <c r="AE133" s="94">
        <v>152</v>
      </c>
      <c r="AF133" s="94">
        <v>75</v>
      </c>
      <c r="AG133" s="94">
        <v>166</v>
      </c>
      <c r="AH133" s="94">
        <v>444</v>
      </c>
      <c r="AI133" s="94">
        <v>595</v>
      </c>
    </row>
    <row r="134" spans="1:35" ht="16.05" customHeight="1">
      <c r="A134" s="93" t="s">
        <v>2026</v>
      </c>
      <c r="B134" s="93" t="s">
        <v>294</v>
      </c>
      <c r="C134" s="94">
        <v>0</v>
      </c>
      <c r="D134" s="94">
        <v>1</v>
      </c>
      <c r="E134" s="94">
        <v>1</v>
      </c>
      <c r="F134" s="94">
        <v>0</v>
      </c>
      <c r="G134" s="94">
        <v>0</v>
      </c>
      <c r="H134" s="94">
        <v>1</v>
      </c>
      <c r="I134" s="94">
        <v>0</v>
      </c>
      <c r="J134" s="94">
        <v>4</v>
      </c>
      <c r="K134" s="94">
        <v>0</v>
      </c>
      <c r="L134" s="94">
        <v>0</v>
      </c>
      <c r="M134" s="94">
        <v>0</v>
      </c>
      <c r="N134" s="94">
        <v>1</v>
      </c>
      <c r="O134" s="94">
        <v>0</v>
      </c>
      <c r="P134" s="94">
        <v>4</v>
      </c>
      <c r="Q134" s="94">
        <v>0</v>
      </c>
      <c r="R134" s="94">
        <v>36</v>
      </c>
      <c r="S134" s="94">
        <v>1</v>
      </c>
      <c r="T134" s="94">
        <v>0</v>
      </c>
      <c r="U134" s="94">
        <v>0</v>
      </c>
      <c r="V134" s="94">
        <v>3</v>
      </c>
      <c r="W134" s="94">
        <v>0</v>
      </c>
      <c r="X134" s="94">
        <v>0</v>
      </c>
      <c r="Y134" s="94">
        <v>3</v>
      </c>
      <c r="Z134" s="94">
        <v>34</v>
      </c>
      <c r="AA134" s="94">
        <v>1</v>
      </c>
      <c r="AB134" s="94">
        <v>3</v>
      </c>
      <c r="AC134" s="94">
        <v>0</v>
      </c>
      <c r="AD134" s="94">
        <v>33</v>
      </c>
      <c r="AE134" s="94">
        <v>4</v>
      </c>
      <c r="AF134" s="94">
        <v>29</v>
      </c>
      <c r="AG134" s="94">
        <v>36</v>
      </c>
      <c r="AH134" s="94">
        <v>2937</v>
      </c>
      <c r="AI134" s="94">
        <v>566</v>
      </c>
    </row>
    <row r="135" spans="1:35" ht="16.05" customHeight="1">
      <c r="A135" s="93" t="s">
        <v>2026</v>
      </c>
      <c r="B135" s="93" t="s">
        <v>295</v>
      </c>
      <c r="C135" s="94">
        <v>10</v>
      </c>
      <c r="D135" s="94">
        <v>0</v>
      </c>
      <c r="E135" s="94">
        <v>1</v>
      </c>
      <c r="F135" s="94">
        <v>0</v>
      </c>
      <c r="G135" s="94">
        <v>0</v>
      </c>
      <c r="H135" s="94">
        <v>0</v>
      </c>
      <c r="I135" s="94">
        <v>0</v>
      </c>
      <c r="J135" s="94">
        <v>0</v>
      </c>
      <c r="K135" s="94">
        <v>1</v>
      </c>
      <c r="L135" s="94">
        <v>0</v>
      </c>
      <c r="M135" s="94">
        <v>0</v>
      </c>
      <c r="N135" s="94">
        <v>0</v>
      </c>
      <c r="O135" s="94">
        <v>0</v>
      </c>
      <c r="P135" s="94">
        <v>0</v>
      </c>
      <c r="Q135" s="94">
        <v>0</v>
      </c>
      <c r="R135" s="94">
        <v>0</v>
      </c>
      <c r="S135" s="94">
        <v>1</v>
      </c>
      <c r="T135" s="94">
        <v>0</v>
      </c>
      <c r="U135" s="94">
        <v>0</v>
      </c>
      <c r="V135" s="94">
        <v>0</v>
      </c>
      <c r="W135" s="94">
        <v>0</v>
      </c>
      <c r="X135" s="94">
        <v>0</v>
      </c>
      <c r="Y135" s="94">
        <v>0</v>
      </c>
      <c r="Z135" s="94">
        <v>0</v>
      </c>
      <c r="AA135" s="94">
        <v>0</v>
      </c>
      <c r="AB135" s="94">
        <v>0</v>
      </c>
      <c r="AC135" s="94">
        <v>0</v>
      </c>
      <c r="AD135" s="94">
        <v>0</v>
      </c>
      <c r="AE135" s="94">
        <v>0</v>
      </c>
      <c r="AF135" s="94">
        <v>0</v>
      </c>
      <c r="AG135" s="94">
        <v>0</v>
      </c>
      <c r="AH135" s="94">
        <v>0</v>
      </c>
      <c r="AI135" s="94">
        <v>568</v>
      </c>
    </row>
    <row r="136" spans="1:35" ht="16.05" customHeight="1">
      <c r="A136" s="93" t="s">
        <v>2026</v>
      </c>
      <c r="B136" s="93" t="s">
        <v>296</v>
      </c>
      <c r="C136" s="94">
        <v>130</v>
      </c>
      <c r="D136" s="94">
        <v>73</v>
      </c>
      <c r="E136" s="94">
        <v>10</v>
      </c>
      <c r="F136" s="94">
        <v>82</v>
      </c>
      <c r="G136" s="94">
        <v>7</v>
      </c>
      <c r="H136" s="94">
        <v>8</v>
      </c>
      <c r="I136" s="94">
        <v>4</v>
      </c>
      <c r="J136" s="94">
        <v>92</v>
      </c>
      <c r="K136" s="94">
        <v>32</v>
      </c>
      <c r="L136" s="94">
        <v>3</v>
      </c>
      <c r="M136" s="94">
        <v>2</v>
      </c>
      <c r="N136" s="94">
        <v>14</v>
      </c>
      <c r="O136" s="94">
        <v>7</v>
      </c>
      <c r="P136" s="94">
        <v>1</v>
      </c>
      <c r="Q136" s="94">
        <v>2</v>
      </c>
      <c r="R136" s="94">
        <v>120</v>
      </c>
      <c r="S136" s="94">
        <v>107</v>
      </c>
      <c r="T136" s="94">
        <v>19</v>
      </c>
      <c r="U136" s="94">
        <v>7</v>
      </c>
      <c r="V136" s="94">
        <v>11</v>
      </c>
      <c r="W136" s="94">
        <v>15</v>
      </c>
      <c r="X136" s="94">
        <v>5</v>
      </c>
      <c r="Y136" s="94">
        <v>7</v>
      </c>
      <c r="Z136" s="94">
        <v>45</v>
      </c>
      <c r="AA136" s="94">
        <v>128</v>
      </c>
      <c r="AB136" s="94">
        <v>14</v>
      </c>
      <c r="AC136" s="94">
        <v>21</v>
      </c>
      <c r="AD136" s="94">
        <v>28</v>
      </c>
      <c r="AE136" s="94">
        <v>85</v>
      </c>
      <c r="AF136" s="94">
        <v>41</v>
      </c>
      <c r="AG136" s="94">
        <v>131</v>
      </c>
      <c r="AH136" s="94">
        <v>1768</v>
      </c>
      <c r="AI136" s="94">
        <v>965</v>
      </c>
    </row>
    <row r="137" spans="1:35" ht="16.05" customHeight="1">
      <c r="A137" s="93" t="s">
        <v>2026</v>
      </c>
      <c r="B137" s="93" t="s">
        <v>297</v>
      </c>
      <c r="C137" s="94">
        <v>166</v>
      </c>
      <c r="D137" s="94">
        <v>85</v>
      </c>
      <c r="E137" s="94">
        <v>27</v>
      </c>
      <c r="F137" s="94">
        <v>87</v>
      </c>
      <c r="G137" s="94">
        <v>35</v>
      </c>
      <c r="H137" s="94">
        <v>14</v>
      </c>
      <c r="I137" s="94">
        <v>13</v>
      </c>
      <c r="J137" s="94">
        <v>82</v>
      </c>
      <c r="K137" s="94">
        <v>52</v>
      </c>
      <c r="L137" s="94">
        <v>9</v>
      </c>
      <c r="M137" s="94">
        <v>21</v>
      </c>
      <c r="N137" s="94">
        <v>25</v>
      </c>
      <c r="O137" s="94">
        <v>13</v>
      </c>
      <c r="P137" s="94">
        <v>12</v>
      </c>
      <c r="Q137" s="94">
        <v>15</v>
      </c>
      <c r="R137" s="94">
        <v>107</v>
      </c>
      <c r="S137" s="94">
        <v>70</v>
      </c>
      <c r="T137" s="94">
        <v>31</v>
      </c>
      <c r="U137" s="94">
        <v>13</v>
      </c>
      <c r="V137" s="94">
        <v>14</v>
      </c>
      <c r="W137" s="94">
        <v>28</v>
      </c>
      <c r="X137" s="94">
        <v>25</v>
      </c>
      <c r="Y137" s="94">
        <v>10</v>
      </c>
      <c r="Z137" s="94">
        <v>51</v>
      </c>
      <c r="AA137" s="94">
        <v>42</v>
      </c>
      <c r="AB137" s="94">
        <v>13</v>
      </c>
      <c r="AC137" s="94">
        <v>18</v>
      </c>
      <c r="AD137" s="94">
        <v>26</v>
      </c>
      <c r="AE137" s="94">
        <v>42</v>
      </c>
      <c r="AF137" s="94">
        <v>39</v>
      </c>
      <c r="AG137" s="94">
        <v>68</v>
      </c>
      <c r="AH137" s="94">
        <v>435</v>
      </c>
      <c r="AI137" s="94">
        <v>491</v>
      </c>
    </row>
    <row r="138" spans="1:35" ht="16.05" customHeight="1">
      <c r="A138" s="93" t="s">
        <v>2026</v>
      </c>
      <c r="B138" s="93" t="s">
        <v>298</v>
      </c>
      <c r="C138" s="94">
        <v>0</v>
      </c>
      <c r="D138" s="94">
        <v>0</v>
      </c>
      <c r="E138" s="94">
        <v>0</v>
      </c>
      <c r="F138" s="94">
        <v>0</v>
      </c>
      <c r="G138" s="94">
        <v>0</v>
      </c>
      <c r="H138" s="94">
        <v>0</v>
      </c>
      <c r="I138" s="94">
        <v>0</v>
      </c>
      <c r="J138" s="94">
        <v>0</v>
      </c>
      <c r="K138" s="94">
        <v>0</v>
      </c>
      <c r="L138" s="94">
        <v>0</v>
      </c>
      <c r="M138" s="94">
        <v>0</v>
      </c>
      <c r="N138" s="94">
        <v>0</v>
      </c>
      <c r="O138" s="94">
        <v>0</v>
      </c>
      <c r="P138" s="94">
        <v>0</v>
      </c>
      <c r="Q138" s="94">
        <v>0</v>
      </c>
      <c r="R138" s="94">
        <v>10</v>
      </c>
      <c r="S138" s="94">
        <v>0</v>
      </c>
      <c r="T138" s="94">
        <v>0</v>
      </c>
      <c r="U138" s="94">
        <v>0</v>
      </c>
      <c r="V138" s="94">
        <v>0</v>
      </c>
      <c r="W138" s="94">
        <v>0</v>
      </c>
      <c r="X138" s="94">
        <v>0</v>
      </c>
      <c r="Y138" s="94">
        <v>0</v>
      </c>
      <c r="Z138" s="94">
        <v>6</v>
      </c>
      <c r="AA138" s="94">
        <v>0</v>
      </c>
      <c r="AB138" s="94">
        <v>0</v>
      </c>
      <c r="AC138" s="94">
        <v>0</v>
      </c>
      <c r="AD138" s="94">
        <v>6</v>
      </c>
      <c r="AE138" s="94">
        <v>0</v>
      </c>
      <c r="AF138" s="94">
        <v>7</v>
      </c>
      <c r="AG138" s="94">
        <v>8</v>
      </c>
      <c r="AH138" s="94">
        <v>1323</v>
      </c>
      <c r="AI138" s="94">
        <v>801</v>
      </c>
    </row>
    <row r="139" spans="1:35" ht="16.05" customHeight="1">
      <c r="A139" s="93" t="s">
        <v>2026</v>
      </c>
      <c r="B139" s="93" t="s">
        <v>299</v>
      </c>
      <c r="C139" s="94">
        <v>29</v>
      </c>
      <c r="D139" s="94">
        <v>5</v>
      </c>
      <c r="E139" s="94">
        <v>1</v>
      </c>
      <c r="F139" s="94">
        <v>2</v>
      </c>
      <c r="G139" s="94">
        <v>0</v>
      </c>
      <c r="H139" s="94">
        <v>0</v>
      </c>
      <c r="I139" s="94">
        <v>0</v>
      </c>
      <c r="J139" s="94">
        <v>4</v>
      </c>
      <c r="K139" s="94">
        <v>1</v>
      </c>
      <c r="L139" s="94">
        <v>0</v>
      </c>
      <c r="M139" s="94">
        <v>0</v>
      </c>
      <c r="N139" s="94">
        <v>1</v>
      </c>
      <c r="O139" s="94">
        <v>0</v>
      </c>
      <c r="P139" s="94">
        <v>2</v>
      </c>
      <c r="Q139" s="94">
        <v>0</v>
      </c>
      <c r="R139" s="94">
        <v>12</v>
      </c>
      <c r="S139" s="94">
        <v>3</v>
      </c>
      <c r="T139" s="94">
        <v>0</v>
      </c>
      <c r="U139" s="94">
        <v>0</v>
      </c>
      <c r="V139" s="94">
        <v>3</v>
      </c>
      <c r="W139" s="94">
        <v>1</v>
      </c>
      <c r="X139" s="94">
        <v>1</v>
      </c>
      <c r="Y139" s="94">
        <v>1</v>
      </c>
      <c r="Z139" s="94">
        <v>8</v>
      </c>
      <c r="AA139" s="94">
        <v>1</v>
      </c>
      <c r="AB139" s="94">
        <v>3</v>
      </c>
      <c r="AC139" s="94">
        <v>0</v>
      </c>
      <c r="AD139" s="94">
        <v>6</v>
      </c>
      <c r="AE139" s="94">
        <v>4</v>
      </c>
      <c r="AF139" s="94">
        <v>5</v>
      </c>
      <c r="AG139" s="94">
        <v>11</v>
      </c>
      <c r="AH139" s="94">
        <v>1524</v>
      </c>
      <c r="AI139" s="94">
        <v>206</v>
      </c>
    </row>
    <row r="140" spans="1:35" ht="16.05" customHeight="1">
      <c r="A140" s="93" t="s">
        <v>2026</v>
      </c>
      <c r="B140" s="93" t="s">
        <v>300</v>
      </c>
      <c r="C140" s="94">
        <v>181</v>
      </c>
      <c r="D140" s="94">
        <v>31</v>
      </c>
      <c r="E140" s="94">
        <v>28</v>
      </c>
      <c r="F140" s="94">
        <v>10</v>
      </c>
      <c r="G140" s="94">
        <v>27</v>
      </c>
      <c r="H140" s="94">
        <v>9</v>
      </c>
      <c r="I140" s="94">
        <v>5</v>
      </c>
      <c r="J140" s="94">
        <v>10</v>
      </c>
      <c r="K140" s="94">
        <v>23</v>
      </c>
      <c r="L140" s="94">
        <v>9</v>
      </c>
      <c r="M140" s="94">
        <v>5</v>
      </c>
      <c r="N140" s="94">
        <v>17</v>
      </c>
      <c r="O140" s="94">
        <v>7</v>
      </c>
      <c r="P140" s="94">
        <v>8</v>
      </c>
      <c r="Q140" s="94">
        <v>1</v>
      </c>
      <c r="R140" s="94">
        <v>30</v>
      </c>
      <c r="S140" s="94">
        <v>53</v>
      </c>
      <c r="T140" s="94">
        <v>7</v>
      </c>
      <c r="U140" s="94">
        <v>10</v>
      </c>
      <c r="V140" s="94">
        <v>5</v>
      </c>
      <c r="W140" s="94">
        <v>6</v>
      </c>
      <c r="X140" s="94">
        <v>14</v>
      </c>
      <c r="Y140" s="94">
        <v>12</v>
      </c>
      <c r="Z140" s="94">
        <v>35</v>
      </c>
      <c r="AA140" s="94">
        <v>39</v>
      </c>
      <c r="AB140" s="94">
        <v>8</v>
      </c>
      <c r="AC140" s="94">
        <v>19</v>
      </c>
      <c r="AD140" s="94">
        <v>33</v>
      </c>
      <c r="AE140" s="94">
        <v>36</v>
      </c>
      <c r="AF140" s="94">
        <v>47</v>
      </c>
      <c r="AG140" s="94">
        <v>76</v>
      </c>
      <c r="AH140" s="94">
        <v>993</v>
      </c>
      <c r="AI140" s="94">
        <v>632</v>
      </c>
    </row>
    <row r="141" spans="1:35" ht="16.05" customHeight="1">
      <c r="A141" s="93" t="s">
        <v>2027</v>
      </c>
      <c r="B141" s="93" t="s">
        <v>301</v>
      </c>
      <c r="C141" s="94">
        <v>0</v>
      </c>
      <c r="D141" s="94">
        <v>0</v>
      </c>
      <c r="E141" s="94">
        <v>0</v>
      </c>
      <c r="F141" s="94">
        <v>0</v>
      </c>
      <c r="G141" s="94">
        <v>0</v>
      </c>
      <c r="H141" s="94">
        <v>0</v>
      </c>
      <c r="I141" s="94">
        <v>0</v>
      </c>
      <c r="J141" s="94">
        <v>0</v>
      </c>
      <c r="K141" s="94">
        <v>0</v>
      </c>
      <c r="L141" s="94">
        <v>0</v>
      </c>
      <c r="M141" s="94">
        <v>0</v>
      </c>
      <c r="N141" s="94">
        <v>0</v>
      </c>
      <c r="O141" s="94">
        <v>0</v>
      </c>
      <c r="P141" s="94">
        <v>0</v>
      </c>
      <c r="Q141" s="94">
        <v>0</v>
      </c>
      <c r="R141" s="94">
        <v>3</v>
      </c>
      <c r="S141" s="94">
        <v>0</v>
      </c>
      <c r="T141" s="94">
        <v>0</v>
      </c>
      <c r="U141" s="94">
        <v>0</v>
      </c>
      <c r="V141" s="94">
        <v>0</v>
      </c>
      <c r="W141" s="94">
        <v>0</v>
      </c>
      <c r="X141" s="94">
        <v>0</v>
      </c>
      <c r="Y141" s="94">
        <v>0</v>
      </c>
      <c r="Z141" s="94">
        <v>2</v>
      </c>
      <c r="AA141" s="94">
        <v>0</v>
      </c>
      <c r="AB141" s="94">
        <v>0</v>
      </c>
      <c r="AC141" s="94">
        <v>0</v>
      </c>
      <c r="AD141" s="94">
        <v>2</v>
      </c>
      <c r="AE141" s="94">
        <v>0</v>
      </c>
      <c r="AF141" s="94">
        <v>2</v>
      </c>
      <c r="AG141" s="94">
        <v>3</v>
      </c>
      <c r="AH141" s="94">
        <v>503</v>
      </c>
      <c r="AI141" s="94">
        <v>202</v>
      </c>
    </row>
    <row r="143" spans="1:35" ht="16.05" customHeight="1">
      <c r="A143" s="21" t="s">
        <v>2025</v>
      </c>
      <c r="B143" s="58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</row>
    <row r="144" spans="1:35" s="140" customFormat="1" ht="16.05" customHeight="1">
      <c r="A144" s="219" t="s">
        <v>306</v>
      </c>
      <c r="B144" s="219" t="s">
        <v>1760</v>
      </c>
      <c r="C144" s="26" t="s">
        <v>1761</v>
      </c>
      <c r="D144" s="26" t="s">
        <v>1762</v>
      </c>
      <c r="E144" s="26" t="s">
        <v>1763</v>
      </c>
      <c r="F144" s="26" t="s">
        <v>1764</v>
      </c>
      <c r="G144" s="26" t="s">
        <v>1765</v>
      </c>
      <c r="H144" s="26" t="s">
        <v>1766</v>
      </c>
      <c r="I144" s="26" t="s">
        <v>1767</v>
      </c>
      <c r="J144" s="26" t="s">
        <v>1768</v>
      </c>
      <c r="K144" s="26" t="s">
        <v>1769</v>
      </c>
      <c r="L144" s="26" t="s">
        <v>1770</v>
      </c>
      <c r="M144" s="26" t="s">
        <v>1771</v>
      </c>
      <c r="N144" s="26" t="s">
        <v>1772</v>
      </c>
      <c r="O144" s="26" t="s">
        <v>1773</v>
      </c>
      <c r="P144" s="26" t="s">
        <v>1774</v>
      </c>
      <c r="Q144" s="26" t="s">
        <v>1775</v>
      </c>
      <c r="R144" s="26" t="s">
        <v>1776</v>
      </c>
      <c r="S144" s="26" t="s">
        <v>1777</v>
      </c>
      <c r="T144" s="26" t="s">
        <v>1778</v>
      </c>
      <c r="U144" s="26" t="s">
        <v>2024</v>
      </c>
    </row>
    <row r="145" spans="1:21" ht="16.05" customHeight="1">
      <c r="A145" s="58" t="s">
        <v>1779</v>
      </c>
      <c r="B145" s="58" t="s">
        <v>1780</v>
      </c>
      <c r="C145" s="45">
        <v>145</v>
      </c>
      <c r="D145" s="45">
        <v>61082</v>
      </c>
      <c r="E145" s="45">
        <v>0</v>
      </c>
      <c r="F145" s="45">
        <v>51722</v>
      </c>
      <c r="G145" s="45">
        <v>0</v>
      </c>
      <c r="H145" s="45">
        <v>42723</v>
      </c>
      <c r="I145" s="45">
        <v>0</v>
      </c>
      <c r="J145" s="45">
        <v>34403</v>
      </c>
      <c r="K145" s="45">
        <v>0</v>
      </c>
      <c r="L145" s="45">
        <v>27006</v>
      </c>
      <c r="M145" s="45">
        <v>0</v>
      </c>
      <c r="N145" s="45">
        <v>20582</v>
      </c>
      <c r="O145" s="45">
        <v>0</v>
      </c>
      <c r="P145" s="45">
        <v>15244</v>
      </c>
      <c r="Q145" s="45">
        <v>0</v>
      </c>
      <c r="R145" s="45">
        <v>10448</v>
      </c>
      <c r="S145" s="45">
        <v>0</v>
      </c>
      <c r="T145" s="45">
        <v>16343</v>
      </c>
      <c r="U145" s="45">
        <v>9167</v>
      </c>
    </row>
    <row r="146" spans="1:21" ht="16.05" customHeight="1">
      <c r="A146" s="58" t="s">
        <v>1779</v>
      </c>
      <c r="B146" s="58" t="s">
        <v>1781</v>
      </c>
      <c r="C146" s="45">
        <v>108</v>
      </c>
      <c r="D146" s="45">
        <v>53607</v>
      </c>
      <c r="E146" s="45">
        <v>0</v>
      </c>
      <c r="F146" s="45">
        <v>44308</v>
      </c>
      <c r="G146" s="45">
        <v>0</v>
      </c>
      <c r="H146" s="45">
        <v>35882</v>
      </c>
      <c r="I146" s="45">
        <v>0</v>
      </c>
      <c r="J146" s="45">
        <v>29012</v>
      </c>
      <c r="K146" s="45">
        <v>0</v>
      </c>
      <c r="L146" s="45">
        <v>22624</v>
      </c>
      <c r="M146" s="45">
        <v>0</v>
      </c>
      <c r="N146" s="45">
        <v>17414</v>
      </c>
      <c r="O146" s="45">
        <v>0</v>
      </c>
      <c r="P146" s="45">
        <v>12942</v>
      </c>
      <c r="Q146" s="45">
        <v>0</v>
      </c>
      <c r="R146" s="45">
        <v>9142</v>
      </c>
      <c r="S146" s="45">
        <v>0</v>
      </c>
      <c r="T146" s="45">
        <v>13293</v>
      </c>
      <c r="U146" s="45">
        <v>9109</v>
      </c>
    </row>
    <row r="147" spans="1:21" ht="16.05" customHeight="1">
      <c r="A147" s="58" t="s">
        <v>1779</v>
      </c>
      <c r="B147" s="58" t="s">
        <v>1782</v>
      </c>
      <c r="C147" s="45">
        <v>155</v>
      </c>
      <c r="D147" s="45">
        <v>66509</v>
      </c>
      <c r="E147" s="45">
        <v>0</v>
      </c>
      <c r="F147" s="45">
        <v>57861</v>
      </c>
      <c r="G147" s="45">
        <v>0</v>
      </c>
      <c r="H147" s="45">
        <v>50136</v>
      </c>
      <c r="I147" s="45">
        <v>0</v>
      </c>
      <c r="J147" s="45">
        <v>43254</v>
      </c>
      <c r="K147" s="45">
        <v>0</v>
      </c>
      <c r="L147" s="45">
        <v>36890</v>
      </c>
      <c r="M147" s="45">
        <v>0</v>
      </c>
      <c r="N147" s="45">
        <v>31209</v>
      </c>
      <c r="O147" s="45">
        <v>0</v>
      </c>
      <c r="P147" s="45">
        <v>25861</v>
      </c>
      <c r="Q147" s="45">
        <v>0</v>
      </c>
      <c r="R147" s="45">
        <v>20869</v>
      </c>
      <c r="S147" s="45">
        <v>0</v>
      </c>
      <c r="T147" s="45">
        <v>58483</v>
      </c>
      <c r="U147" s="45">
        <v>8379</v>
      </c>
    </row>
    <row r="148" spans="1:21" ht="16.05" customHeight="1">
      <c r="A148" s="58" t="s">
        <v>1779</v>
      </c>
      <c r="B148" s="58" t="s">
        <v>1783</v>
      </c>
      <c r="C148" s="45">
        <v>184</v>
      </c>
      <c r="D148" s="45">
        <v>78755</v>
      </c>
      <c r="E148" s="45">
        <v>0</v>
      </c>
      <c r="F148" s="45">
        <v>67806</v>
      </c>
      <c r="G148" s="45">
        <v>0</v>
      </c>
      <c r="H148" s="45">
        <v>58261</v>
      </c>
      <c r="I148" s="45">
        <v>0</v>
      </c>
      <c r="J148" s="45">
        <v>49303</v>
      </c>
      <c r="K148" s="45">
        <v>0</v>
      </c>
      <c r="L148" s="45">
        <v>40748</v>
      </c>
      <c r="M148" s="45">
        <v>0</v>
      </c>
      <c r="N148" s="45">
        <v>32831</v>
      </c>
      <c r="O148" s="45">
        <v>0</v>
      </c>
      <c r="P148" s="45">
        <v>25775</v>
      </c>
      <c r="Q148" s="45">
        <v>0</v>
      </c>
      <c r="R148" s="45">
        <v>19566</v>
      </c>
      <c r="S148" s="45">
        <v>0</v>
      </c>
      <c r="T148" s="45">
        <v>43779</v>
      </c>
      <c r="U148" s="45">
        <v>10515</v>
      </c>
    </row>
    <row r="149" spans="1:21" ht="16.05" customHeight="1">
      <c r="A149" s="58" t="s">
        <v>1779</v>
      </c>
      <c r="B149" s="58" t="s">
        <v>1784</v>
      </c>
      <c r="C149" s="45">
        <v>192</v>
      </c>
      <c r="D149" s="45">
        <v>76138</v>
      </c>
      <c r="E149" s="45">
        <v>3</v>
      </c>
      <c r="F149" s="45">
        <v>65168</v>
      </c>
      <c r="G149" s="45">
        <v>0</v>
      </c>
      <c r="H149" s="45">
        <v>54967</v>
      </c>
      <c r="I149" s="45">
        <v>0</v>
      </c>
      <c r="J149" s="45">
        <v>45281</v>
      </c>
      <c r="K149" s="45">
        <v>0</v>
      </c>
      <c r="L149" s="45">
        <v>36609</v>
      </c>
      <c r="M149" s="45">
        <v>0</v>
      </c>
      <c r="N149" s="45">
        <v>28709</v>
      </c>
      <c r="O149" s="45">
        <v>0</v>
      </c>
      <c r="P149" s="45">
        <v>22184</v>
      </c>
      <c r="Q149" s="45">
        <v>0</v>
      </c>
      <c r="R149" s="45">
        <v>16609</v>
      </c>
      <c r="S149" s="45">
        <v>0</v>
      </c>
      <c r="T149" s="45">
        <v>31579</v>
      </c>
      <c r="U149" s="45">
        <v>10699</v>
      </c>
    </row>
    <row r="150" spans="1:21" ht="16.05" customHeight="1">
      <c r="A150" s="58" t="s">
        <v>1779</v>
      </c>
      <c r="B150" s="58" t="s">
        <v>1785</v>
      </c>
      <c r="C150" s="45">
        <v>250</v>
      </c>
      <c r="D150" s="45">
        <v>107045</v>
      </c>
      <c r="E150" s="45">
        <v>2</v>
      </c>
      <c r="F150" s="45">
        <v>95702</v>
      </c>
      <c r="G150" s="45">
        <v>0</v>
      </c>
      <c r="H150" s="45">
        <v>85410</v>
      </c>
      <c r="I150" s="45">
        <v>0</v>
      </c>
      <c r="J150" s="45">
        <v>75805</v>
      </c>
      <c r="K150" s="45">
        <v>0</v>
      </c>
      <c r="L150" s="45">
        <v>66673</v>
      </c>
      <c r="M150" s="45">
        <v>0</v>
      </c>
      <c r="N150" s="45">
        <v>58944</v>
      </c>
      <c r="O150" s="45">
        <v>0</v>
      </c>
      <c r="P150" s="45">
        <v>51582</v>
      </c>
      <c r="Q150" s="45">
        <v>0</v>
      </c>
      <c r="R150" s="45">
        <v>44695</v>
      </c>
      <c r="S150" s="45">
        <v>0</v>
      </c>
      <c r="T150" s="45">
        <v>188529</v>
      </c>
      <c r="U150" s="45">
        <v>11004</v>
      </c>
    </row>
    <row r="151" spans="1:21" ht="16.05" customHeight="1">
      <c r="A151" s="58" t="s">
        <v>1779</v>
      </c>
      <c r="B151" s="58" t="s">
        <v>1786</v>
      </c>
      <c r="C151" s="45">
        <v>253</v>
      </c>
      <c r="D151" s="45">
        <v>110016</v>
      </c>
      <c r="E151" s="45">
        <v>2</v>
      </c>
      <c r="F151" s="45">
        <v>99323</v>
      </c>
      <c r="G151" s="45">
        <v>0</v>
      </c>
      <c r="H151" s="45">
        <v>89342</v>
      </c>
      <c r="I151" s="45">
        <v>0</v>
      </c>
      <c r="J151" s="45">
        <v>79703</v>
      </c>
      <c r="K151" s="45">
        <v>0</v>
      </c>
      <c r="L151" s="45">
        <v>70562</v>
      </c>
      <c r="M151" s="45">
        <v>0</v>
      </c>
      <c r="N151" s="45">
        <v>61898</v>
      </c>
      <c r="O151" s="45">
        <v>0</v>
      </c>
      <c r="P151" s="45">
        <v>53968</v>
      </c>
      <c r="Q151" s="45">
        <v>0</v>
      </c>
      <c r="R151" s="45">
        <v>46290</v>
      </c>
      <c r="S151" s="45">
        <v>0</v>
      </c>
      <c r="T151" s="45">
        <v>184296</v>
      </c>
      <c r="U151" s="45">
        <v>10371</v>
      </c>
    </row>
    <row r="152" spans="1:21" ht="16.05" customHeight="1">
      <c r="A152" s="58" t="s">
        <v>1779</v>
      </c>
      <c r="B152" s="58" t="s">
        <v>1787</v>
      </c>
      <c r="C152" s="45">
        <v>113</v>
      </c>
      <c r="D152" s="45">
        <v>56201</v>
      </c>
      <c r="E152" s="45">
        <v>0</v>
      </c>
      <c r="F152" s="45">
        <v>47512</v>
      </c>
      <c r="G152" s="45">
        <v>0</v>
      </c>
      <c r="H152" s="45">
        <v>39796</v>
      </c>
      <c r="I152" s="45">
        <v>0</v>
      </c>
      <c r="J152" s="45">
        <v>33195</v>
      </c>
      <c r="K152" s="45">
        <v>0</v>
      </c>
      <c r="L152" s="45">
        <v>27343</v>
      </c>
      <c r="M152" s="45">
        <v>0</v>
      </c>
      <c r="N152" s="45">
        <v>22467</v>
      </c>
      <c r="O152" s="45">
        <v>0</v>
      </c>
      <c r="P152" s="45">
        <v>17983</v>
      </c>
      <c r="Q152" s="45">
        <v>0</v>
      </c>
      <c r="R152" s="45">
        <v>13861</v>
      </c>
      <c r="S152" s="45">
        <v>0</v>
      </c>
      <c r="T152" s="45">
        <v>27610</v>
      </c>
      <c r="U152" s="45">
        <v>8520</v>
      </c>
    </row>
    <row r="153" spans="1:21" ht="16.05" customHeight="1">
      <c r="A153" s="58" t="s">
        <v>1779</v>
      </c>
      <c r="B153" s="58" t="s">
        <v>1788</v>
      </c>
      <c r="C153" s="45">
        <v>158</v>
      </c>
      <c r="D153" s="45">
        <v>71653</v>
      </c>
      <c r="E153" s="45">
        <v>0</v>
      </c>
      <c r="F153" s="45">
        <v>61910</v>
      </c>
      <c r="G153" s="45">
        <v>0</v>
      </c>
      <c r="H153" s="45">
        <v>53009</v>
      </c>
      <c r="I153" s="45">
        <v>0</v>
      </c>
      <c r="J153" s="45">
        <v>44754</v>
      </c>
      <c r="K153" s="45">
        <v>0</v>
      </c>
      <c r="L153" s="45">
        <v>36823</v>
      </c>
      <c r="M153" s="45">
        <v>0</v>
      </c>
      <c r="N153" s="45">
        <v>30206</v>
      </c>
      <c r="O153" s="45">
        <v>0</v>
      </c>
      <c r="P153" s="45">
        <v>24740</v>
      </c>
      <c r="Q153" s="45">
        <v>0</v>
      </c>
      <c r="R153" s="45">
        <v>19662</v>
      </c>
      <c r="S153" s="45">
        <v>0</v>
      </c>
      <c r="T153" s="45">
        <v>46288</v>
      </c>
      <c r="U153" s="45">
        <v>9437</v>
      </c>
    </row>
    <row r="154" spans="1:21" ht="16.05" customHeight="1">
      <c r="A154" s="58" t="s">
        <v>1779</v>
      </c>
      <c r="B154" s="58" t="s">
        <v>1789</v>
      </c>
      <c r="C154" s="45">
        <v>163</v>
      </c>
      <c r="D154" s="45">
        <v>71559</v>
      </c>
      <c r="E154" s="45">
        <v>2</v>
      </c>
      <c r="F154" s="45">
        <v>62217</v>
      </c>
      <c r="G154" s="45">
        <v>0</v>
      </c>
      <c r="H154" s="45">
        <v>53691</v>
      </c>
      <c r="I154" s="45">
        <v>0</v>
      </c>
      <c r="J154" s="45">
        <v>45772</v>
      </c>
      <c r="K154" s="45">
        <v>0</v>
      </c>
      <c r="L154" s="45">
        <v>38372</v>
      </c>
      <c r="M154" s="45">
        <v>0</v>
      </c>
      <c r="N154" s="45">
        <v>31295</v>
      </c>
      <c r="O154" s="45">
        <v>0</v>
      </c>
      <c r="P154" s="45">
        <v>24807</v>
      </c>
      <c r="Q154" s="45">
        <v>0</v>
      </c>
      <c r="R154" s="45">
        <v>18947</v>
      </c>
      <c r="S154" s="45">
        <v>0</v>
      </c>
      <c r="T154" s="45">
        <v>46835</v>
      </c>
      <c r="U154" s="45">
        <v>9071</v>
      </c>
    </row>
    <row r="155" spans="1:21" ht="16.05" customHeight="1">
      <c r="A155" s="58" t="s">
        <v>1779</v>
      </c>
      <c r="B155" s="58" t="s">
        <v>1790</v>
      </c>
      <c r="C155" s="45">
        <v>186</v>
      </c>
      <c r="D155" s="45">
        <v>68326</v>
      </c>
      <c r="E155" s="45">
        <v>0</v>
      </c>
      <c r="F155" s="45">
        <v>58536</v>
      </c>
      <c r="G155" s="45">
        <v>0</v>
      </c>
      <c r="H155" s="45">
        <v>49459</v>
      </c>
      <c r="I155" s="45">
        <v>0</v>
      </c>
      <c r="J155" s="45">
        <v>41109</v>
      </c>
      <c r="K155" s="45">
        <v>0</v>
      </c>
      <c r="L155" s="45">
        <v>33925</v>
      </c>
      <c r="M155" s="45">
        <v>0</v>
      </c>
      <c r="N155" s="45">
        <v>27404</v>
      </c>
      <c r="O155" s="45">
        <v>0</v>
      </c>
      <c r="P155" s="45">
        <v>21878</v>
      </c>
      <c r="Q155" s="45">
        <v>0</v>
      </c>
      <c r="R155" s="45">
        <v>17055</v>
      </c>
      <c r="S155" s="45">
        <v>0</v>
      </c>
      <c r="T155" s="45">
        <v>38732</v>
      </c>
      <c r="U155" s="45">
        <v>9560</v>
      </c>
    </row>
    <row r="156" spans="1:21" ht="16.05" customHeight="1">
      <c r="A156" s="58" t="s">
        <v>1779</v>
      </c>
      <c r="B156" s="58" t="s">
        <v>1791</v>
      </c>
      <c r="C156" s="45">
        <v>190</v>
      </c>
      <c r="D156" s="45">
        <v>83650</v>
      </c>
      <c r="E156" s="45">
        <v>1</v>
      </c>
      <c r="F156" s="45">
        <v>72759</v>
      </c>
      <c r="G156" s="45">
        <v>0</v>
      </c>
      <c r="H156" s="45">
        <v>62922</v>
      </c>
      <c r="I156" s="45">
        <v>0</v>
      </c>
      <c r="J156" s="45">
        <v>53768</v>
      </c>
      <c r="K156" s="45">
        <v>0</v>
      </c>
      <c r="L156" s="45">
        <v>45490</v>
      </c>
      <c r="M156" s="45">
        <v>0</v>
      </c>
      <c r="N156" s="45">
        <v>37840</v>
      </c>
      <c r="O156" s="45">
        <v>0</v>
      </c>
      <c r="P156" s="45">
        <v>30662</v>
      </c>
      <c r="Q156" s="45">
        <v>0</v>
      </c>
      <c r="R156" s="45">
        <v>24241</v>
      </c>
      <c r="S156" s="45">
        <v>0</v>
      </c>
      <c r="T156" s="45">
        <v>60891</v>
      </c>
      <c r="U156" s="45">
        <v>10571</v>
      </c>
    </row>
    <row r="157" spans="1:21" ht="16.05" customHeight="1">
      <c r="A157" s="58" t="s">
        <v>1779</v>
      </c>
      <c r="B157" s="58" t="s">
        <v>1792</v>
      </c>
      <c r="C157" s="45">
        <v>127</v>
      </c>
      <c r="D157" s="45">
        <v>50271</v>
      </c>
      <c r="E157" s="45">
        <v>0</v>
      </c>
      <c r="F157" s="45">
        <v>41182</v>
      </c>
      <c r="G157" s="45">
        <v>0</v>
      </c>
      <c r="H157" s="45">
        <v>32856</v>
      </c>
      <c r="I157" s="45">
        <v>0</v>
      </c>
      <c r="J157" s="45">
        <v>25078</v>
      </c>
      <c r="K157" s="45">
        <v>0</v>
      </c>
      <c r="L157" s="45">
        <v>19070</v>
      </c>
      <c r="M157" s="45">
        <v>0</v>
      </c>
      <c r="N157" s="45">
        <v>14002</v>
      </c>
      <c r="O157" s="45">
        <v>0</v>
      </c>
      <c r="P157" s="45">
        <v>9672</v>
      </c>
      <c r="Q157" s="45">
        <v>0</v>
      </c>
      <c r="R157" s="45">
        <v>6308</v>
      </c>
      <c r="S157" s="45">
        <v>0</v>
      </c>
      <c r="T157" s="45">
        <v>7173</v>
      </c>
      <c r="U157" s="45">
        <v>8876</v>
      </c>
    </row>
    <row r="158" spans="1:21" ht="16.05" customHeight="1">
      <c r="A158" s="58" t="s">
        <v>1779</v>
      </c>
      <c r="B158" s="58" t="s">
        <v>1793</v>
      </c>
      <c r="C158" s="45">
        <v>171</v>
      </c>
      <c r="D158" s="45">
        <v>69680</v>
      </c>
      <c r="E158" s="45">
        <v>2</v>
      </c>
      <c r="F158" s="45">
        <v>58957</v>
      </c>
      <c r="G158" s="45">
        <v>0</v>
      </c>
      <c r="H158" s="45">
        <v>48978</v>
      </c>
      <c r="I158" s="45">
        <v>0</v>
      </c>
      <c r="J158" s="45">
        <v>39848</v>
      </c>
      <c r="K158" s="45">
        <v>0</v>
      </c>
      <c r="L158" s="45">
        <v>31075</v>
      </c>
      <c r="M158" s="45">
        <v>0</v>
      </c>
      <c r="N158" s="45">
        <v>23890</v>
      </c>
      <c r="O158" s="45">
        <v>0</v>
      </c>
      <c r="P158" s="45">
        <v>17657</v>
      </c>
      <c r="Q158" s="45">
        <v>0</v>
      </c>
      <c r="R158" s="45">
        <v>12295</v>
      </c>
      <c r="S158" s="45">
        <v>0</v>
      </c>
      <c r="T158" s="45">
        <v>20198</v>
      </c>
      <c r="U158" s="45">
        <v>10443</v>
      </c>
    </row>
    <row r="159" spans="1:21" ht="16.05" customHeight="1">
      <c r="A159" s="58" t="s">
        <v>1779</v>
      </c>
      <c r="B159" s="58" t="s">
        <v>1794</v>
      </c>
      <c r="C159" s="45">
        <v>152</v>
      </c>
      <c r="D159" s="45">
        <v>61890</v>
      </c>
      <c r="E159" s="45">
        <v>1</v>
      </c>
      <c r="F159" s="45">
        <v>52704</v>
      </c>
      <c r="G159" s="45">
        <v>0</v>
      </c>
      <c r="H159" s="45">
        <v>44370</v>
      </c>
      <c r="I159" s="45">
        <v>0</v>
      </c>
      <c r="J159" s="45">
        <v>36950</v>
      </c>
      <c r="K159" s="45">
        <v>0</v>
      </c>
      <c r="L159" s="45">
        <v>30786</v>
      </c>
      <c r="M159" s="45">
        <v>0</v>
      </c>
      <c r="N159" s="45">
        <v>24884</v>
      </c>
      <c r="O159" s="45">
        <v>0</v>
      </c>
      <c r="P159" s="45">
        <v>19348</v>
      </c>
      <c r="Q159" s="45">
        <v>0</v>
      </c>
      <c r="R159" s="45">
        <v>14761</v>
      </c>
      <c r="S159" s="45">
        <v>0</v>
      </c>
      <c r="T159" s="45">
        <v>30567</v>
      </c>
      <c r="U159" s="45">
        <v>8911</v>
      </c>
    </row>
    <row r="160" spans="1:21" ht="16.05" customHeight="1">
      <c r="A160" s="58" t="s">
        <v>1779</v>
      </c>
      <c r="B160" s="58" t="s">
        <v>1795</v>
      </c>
      <c r="C160" s="45">
        <v>173</v>
      </c>
      <c r="D160" s="45">
        <v>70734</v>
      </c>
      <c r="E160" s="45">
        <v>3</v>
      </c>
      <c r="F160" s="45">
        <v>61899</v>
      </c>
      <c r="G160" s="45">
        <v>0</v>
      </c>
      <c r="H160" s="45">
        <v>53901</v>
      </c>
      <c r="I160" s="45">
        <v>0</v>
      </c>
      <c r="J160" s="45">
        <v>46705</v>
      </c>
      <c r="K160" s="45">
        <v>0</v>
      </c>
      <c r="L160" s="45">
        <v>39931</v>
      </c>
      <c r="M160" s="45">
        <v>0</v>
      </c>
      <c r="N160" s="45">
        <v>33696</v>
      </c>
      <c r="O160" s="45">
        <v>0</v>
      </c>
      <c r="P160" s="45">
        <v>27972</v>
      </c>
      <c r="Q160" s="45">
        <v>0</v>
      </c>
      <c r="R160" s="45">
        <v>23031</v>
      </c>
      <c r="S160" s="45">
        <v>0</v>
      </c>
      <c r="T160" s="45">
        <v>64451</v>
      </c>
      <c r="U160" s="45">
        <v>8561</v>
      </c>
    </row>
    <row r="161" spans="1:21" ht="16.05" customHeight="1">
      <c r="A161" s="58" t="s">
        <v>1779</v>
      </c>
      <c r="B161" s="58" t="s">
        <v>1796</v>
      </c>
      <c r="C161" s="45">
        <v>103</v>
      </c>
      <c r="D161" s="45">
        <v>47252</v>
      </c>
      <c r="E161" s="45">
        <v>0</v>
      </c>
      <c r="F161" s="45">
        <v>37578</v>
      </c>
      <c r="G161" s="45">
        <v>0</v>
      </c>
      <c r="H161" s="45">
        <v>29659</v>
      </c>
      <c r="I161" s="45">
        <v>0</v>
      </c>
      <c r="J161" s="45">
        <v>23086</v>
      </c>
      <c r="K161" s="45">
        <v>0</v>
      </c>
      <c r="L161" s="45">
        <v>17145</v>
      </c>
      <c r="M161" s="45">
        <v>0</v>
      </c>
      <c r="N161" s="45">
        <v>12336</v>
      </c>
      <c r="O161" s="45">
        <v>0</v>
      </c>
      <c r="P161" s="45">
        <v>8230</v>
      </c>
      <c r="Q161" s="45">
        <v>0</v>
      </c>
      <c r="R161" s="45">
        <v>5046</v>
      </c>
      <c r="S161" s="45">
        <v>0</v>
      </c>
      <c r="T161" s="45">
        <v>5309</v>
      </c>
      <c r="U161" s="45">
        <v>9450</v>
      </c>
    </row>
    <row r="162" spans="1:21" ht="16.05" customHeight="1">
      <c r="A162" s="58" t="s">
        <v>1779</v>
      </c>
      <c r="B162" s="58" t="s">
        <v>1797</v>
      </c>
      <c r="C162" s="45">
        <v>119</v>
      </c>
      <c r="D162" s="45">
        <v>53043</v>
      </c>
      <c r="E162" s="45">
        <v>1</v>
      </c>
      <c r="F162" s="45">
        <v>43427</v>
      </c>
      <c r="G162" s="45">
        <v>0</v>
      </c>
      <c r="H162" s="45">
        <v>34695</v>
      </c>
      <c r="I162" s="45">
        <v>0</v>
      </c>
      <c r="J162" s="45">
        <v>26585</v>
      </c>
      <c r="K162" s="45">
        <v>0</v>
      </c>
      <c r="L162" s="45">
        <v>19834</v>
      </c>
      <c r="M162" s="45">
        <v>0</v>
      </c>
      <c r="N162" s="45">
        <v>14080</v>
      </c>
      <c r="O162" s="45">
        <v>0</v>
      </c>
      <c r="P162" s="45">
        <v>9887</v>
      </c>
      <c r="Q162" s="45">
        <v>0</v>
      </c>
      <c r="R162" s="45">
        <v>6387</v>
      </c>
      <c r="S162" s="45">
        <v>0</v>
      </c>
      <c r="T162" s="45">
        <v>7373</v>
      </c>
      <c r="U162" s="45">
        <v>9268</v>
      </c>
    </row>
    <row r="163" spans="1:21" ht="16.05" customHeight="1">
      <c r="A163" s="58" t="s">
        <v>1779</v>
      </c>
      <c r="B163" s="58" t="s">
        <v>1798</v>
      </c>
      <c r="C163" s="45">
        <v>126</v>
      </c>
      <c r="D163" s="45">
        <v>46077</v>
      </c>
      <c r="E163" s="45">
        <v>0</v>
      </c>
      <c r="F163" s="45">
        <v>36042</v>
      </c>
      <c r="G163" s="45">
        <v>0</v>
      </c>
      <c r="H163" s="45">
        <v>27591</v>
      </c>
      <c r="I163" s="45">
        <v>0</v>
      </c>
      <c r="J163" s="45">
        <v>20529</v>
      </c>
      <c r="K163" s="45">
        <v>0</v>
      </c>
      <c r="L163" s="45">
        <v>14794</v>
      </c>
      <c r="M163" s="45">
        <v>0</v>
      </c>
      <c r="N163" s="45">
        <v>9821</v>
      </c>
      <c r="O163" s="45">
        <v>0</v>
      </c>
      <c r="P163" s="45">
        <v>6144</v>
      </c>
      <c r="Q163" s="45">
        <v>0</v>
      </c>
      <c r="R163" s="45">
        <v>3258</v>
      </c>
      <c r="S163" s="45">
        <v>0</v>
      </c>
      <c r="T163" s="45">
        <v>2776</v>
      </c>
      <c r="U163" s="45">
        <v>9829</v>
      </c>
    </row>
    <row r="164" spans="1:21" ht="16.05" customHeight="1">
      <c r="A164" s="58" t="s">
        <v>1779</v>
      </c>
      <c r="B164" s="58" t="s">
        <v>1799</v>
      </c>
      <c r="C164" s="45">
        <v>145</v>
      </c>
      <c r="D164" s="45">
        <v>59540</v>
      </c>
      <c r="E164" s="45">
        <v>0</v>
      </c>
      <c r="F164" s="45">
        <v>49136</v>
      </c>
      <c r="G164" s="45">
        <v>0</v>
      </c>
      <c r="H164" s="45">
        <v>39612</v>
      </c>
      <c r="I164" s="45">
        <v>0</v>
      </c>
      <c r="J164" s="45">
        <v>31558</v>
      </c>
      <c r="K164" s="45">
        <v>0</v>
      </c>
      <c r="L164" s="45">
        <v>24506</v>
      </c>
      <c r="M164" s="45">
        <v>0</v>
      </c>
      <c r="N164" s="45">
        <v>17896</v>
      </c>
      <c r="O164" s="45">
        <v>0</v>
      </c>
      <c r="P164" s="45">
        <v>12302</v>
      </c>
      <c r="Q164" s="45">
        <v>0</v>
      </c>
      <c r="R164" s="45">
        <v>7750</v>
      </c>
      <c r="S164" s="45">
        <v>0</v>
      </c>
      <c r="T164" s="45">
        <v>11614</v>
      </c>
      <c r="U164" s="45">
        <v>10239</v>
      </c>
    </row>
    <row r="165" spans="1:21" ht="16.05" customHeight="1">
      <c r="A165" s="58" t="s">
        <v>1779</v>
      </c>
      <c r="B165" s="58" t="s">
        <v>1800</v>
      </c>
      <c r="C165" s="45">
        <v>207</v>
      </c>
      <c r="D165" s="45">
        <v>86041</v>
      </c>
      <c r="E165" s="45">
        <v>1</v>
      </c>
      <c r="F165" s="45">
        <v>74860</v>
      </c>
      <c r="G165" s="45">
        <v>0</v>
      </c>
      <c r="H165" s="45">
        <v>64560</v>
      </c>
      <c r="I165" s="45">
        <v>0</v>
      </c>
      <c r="J165" s="45">
        <v>54967</v>
      </c>
      <c r="K165" s="45">
        <v>0</v>
      </c>
      <c r="L165" s="45">
        <v>46244</v>
      </c>
      <c r="M165" s="45">
        <v>0</v>
      </c>
      <c r="N165" s="45">
        <v>38291</v>
      </c>
      <c r="O165" s="45">
        <v>0</v>
      </c>
      <c r="P165" s="45">
        <v>31122</v>
      </c>
      <c r="Q165" s="45">
        <v>0</v>
      </c>
      <c r="R165" s="45">
        <v>24301</v>
      </c>
      <c r="S165" s="45">
        <v>0</v>
      </c>
      <c r="T165" s="45">
        <v>58148</v>
      </c>
      <c r="U165" s="45">
        <v>10877</v>
      </c>
    </row>
    <row r="166" spans="1:21" ht="16.05" customHeight="1">
      <c r="A166" s="58" t="s">
        <v>1779</v>
      </c>
      <c r="B166" s="58" t="s">
        <v>1801</v>
      </c>
      <c r="C166" s="45">
        <v>196</v>
      </c>
      <c r="D166" s="45">
        <v>91591</v>
      </c>
      <c r="E166" s="45">
        <v>3</v>
      </c>
      <c r="F166" s="45">
        <v>80377</v>
      </c>
      <c r="G166" s="45">
        <v>0</v>
      </c>
      <c r="H166" s="45">
        <v>70357</v>
      </c>
      <c r="I166" s="45">
        <v>0</v>
      </c>
      <c r="J166" s="45">
        <v>60686</v>
      </c>
      <c r="K166" s="45">
        <v>0</v>
      </c>
      <c r="L166" s="45">
        <v>52384</v>
      </c>
      <c r="M166" s="45">
        <v>0</v>
      </c>
      <c r="N166" s="45">
        <v>44834</v>
      </c>
      <c r="O166" s="45">
        <v>0</v>
      </c>
      <c r="P166" s="45">
        <v>38044</v>
      </c>
      <c r="Q166" s="45">
        <v>0</v>
      </c>
      <c r="R166" s="45">
        <v>32026</v>
      </c>
      <c r="S166" s="45">
        <v>0</v>
      </c>
      <c r="T166" s="45">
        <v>103627</v>
      </c>
      <c r="U166" s="45">
        <v>10976</v>
      </c>
    </row>
    <row r="167" spans="1:21" ht="16.05" customHeight="1">
      <c r="A167" s="58" t="s">
        <v>1779</v>
      </c>
      <c r="B167" s="58" t="s">
        <v>1802</v>
      </c>
      <c r="C167" s="45">
        <v>156</v>
      </c>
      <c r="D167" s="45">
        <v>68358</v>
      </c>
      <c r="E167" s="45">
        <v>1</v>
      </c>
      <c r="F167" s="45">
        <v>59301</v>
      </c>
      <c r="G167" s="45">
        <v>0</v>
      </c>
      <c r="H167" s="45">
        <v>50993</v>
      </c>
      <c r="I167" s="45">
        <v>0</v>
      </c>
      <c r="J167" s="45">
        <v>43298</v>
      </c>
      <c r="K167" s="45">
        <v>0</v>
      </c>
      <c r="L167" s="45">
        <v>36253</v>
      </c>
      <c r="M167" s="45">
        <v>0</v>
      </c>
      <c r="N167" s="45">
        <v>29888</v>
      </c>
      <c r="O167" s="45">
        <v>0</v>
      </c>
      <c r="P167" s="45">
        <v>24138</v>
      </c>
      <c r="Q167" s="45">
        <v>0</v>
      </c>
      <c r="R167" s="45">
        <v>18702</v>
      </c>
      <c r="S167" s="45">
        <v>0</v>
      </c>
      <c r="T167" s="45">
        <v>46080</v>
      </c>
      <c r="U167" s="45">
        <v>8802</v>
      </c>
    </row>
    <row r="168" spans="1:21" ht="16.05" customHeight="1">
      <c r="A168" s="58" t="s">
        <v>1779</v>
      </c>
      <c r="B168" s="58" t="s">
        <v>1803</v>
      </c>
      <c r="C168" s="45">
        <v>137</v>
      </c>
      <c r="D168" s="45">
        <v>62431</v>
      </c>
      <c r="E168" s="45">
        <v>2</v>
      </c>
      <c r="F168" s="45">
        <v>53258</v>
      </c>
      <c r="G168" s="45">
        <v>0</v>
      </c>
      <c r="H168" s="45">
        <v>44566</v>
      </c>
      <c r="I168" s="45">
        <v>0</v>
      </c>
      <c r="J168" s="45">
        <v>37289</v>
      </c>
      <c r="K168" s="45">
        <v>0</v>
      </c>
      <c r="L168" s="45">
        <v>30565</v>
      </c>
      <c r="M168" s="45">
        <v>0</v>
      </c>
      <c r="N168" s="45">
        <v>24287</v>
      </c>
      <c r="O168" s="45">
        <v>0</v>
      </c>
      <c r="P168" s="45">
        <v>19184</v>
      </c>
      <c r="Q168" s="45">
        <v>0</v>
      </c>
      <c r="R168" s="45">
        <v>14595</v>
      </c>
      <c r="S168" s="45">
        <v>0</v>
      </c>
      <c r="T168" s="45">
        <v>31336</v>
      </c>
      <c r="U168" s="45">
        <v>8969</v>
      </c>
    </row>
    <row r="169" spans="1:21" ht="16.05" customHeight="1">
      <c r="A169" s="58" t="s">
        <v>1779</v>
      </c>
      <c r="B169" s="58" t="s">
        <v>1804</v>
      </c>
      <c r="C169" s="45">
        <v>164</v>
      </c>
      <c r="D169" s="45">
        <v>69065</v>
      </c>
      <c r="E169" s="45">
        <v>0</v>
      </c>
      <c r="F169" s="45">
        <v>58848</v>
      </c>
      <c r="G169" s="45">
        <v>0</v>
      </c>
      <c r="H169" s="45">
        <v>49879</v>
      </c>
      <c r="I169" s="45">
        <v>0</v>
      </c>
      <c r="J169" s="45">
        <v>41573</v>
      </c>
      <c r="K169" s="45">
        <v>0</v>
      </c>
      <c r="L169" s="45">
        <v>33510</v>
      </c>
      <c r="M169" s="45">
        <v>0</v>
      </c>
      <c r="N169" s="45">
        <v>26550</v>
      </c>
      <c r="O169" s="45">
        <v>0</v>
      </c>
      <c r="P169" s="45">
        <v>20149</v>
      </c>
      <c r="Q169" s="45">
        <v>0</v>
      </c>
      <c r="R169" s="45">
        <v>14848</v>
      </c>
      <c r="S169" s="45">
        <v>0</v>
      </c>
      <c r="T169" s="45">
        <v>28410</v>
      </c>
      <c r="U169" s="45">
        <v>9929</v>
      </c>
    </row>
    <row r="170" spans="1:21" ht="16.05" customHeight="1">
      <c r="A170" s="58" t="s">
        <v>1779</v>
      </c>
      <c r="B170" s="58" t="s">
        <v>1805</v>
      </c>
      <c r="C170" s="45">
        <v>159</v>
      </c>
      <c r="D170" s="45">
        <v>64545</v>
      </c>
      <c r="E170" s="45">
        <v>0</v>
      </c>
      <c r="F170" s="45">
        <v>54345</v>
      </c>
      <c r="G170" s="45">
        <v>0</v>
      </c>
      <c r="H170" s="45">
        <v>44956</v>
      </c>
      <c r="I170" s="45">
        <v>0</v>
      </c>
      <c r="J170" s="45">
        <v>36431</v>
      </c>
      <c r="K170" s="45">
        <v>0</v>
      </c>
      <c r="L170" s="45">
        <v>28754</v>
      </c>
      <c r="M170" s="45">
        <v>0</v>
      </c>
      <c r="N170" s="45">
        <v>22565</v>
      </c>
      <c r="O170" s="45">
        <v>0</v>
      </c>
      <c r="P170" s="45">
        <v>16900</v>
      </c>
      <c r="Q170" s="45">
        <v>0</v>
      </c>
      <c r="R170" s="45">
        <v>12097</v>
      </c>
      <c r="S170" s="45">
        <v>0</v>
      </c>
      <c r="T170" s="45">
        <v>21200</v>
      </c>
      <c r="U170" s="45">
        <v>9896</v>
      </c>
    </row>
    <row r="171" spans="1:21" ht="16.05" customHeight="1">
      <c r="A171" s="58" t="s">
        <v>1779</v>
      </c>
      <c r="B171" s="58" t="s">
        <v>1806</v>
      </c>
      <c r="C171" s="45">
        <v>150</v>
      </c>
      <c r="D171" s="45">
        <v>60447</v>
      </c>
      <c r="E171" s="45">
        <v>0</v>
      </c>
      <c r="F171" s="45">
        <v>51227</v>
      </c>
      <c r="G171" s="45">
        <v>0</v>
      </c>
      <c r="H171" s="45">
        <v>43013</v>
      </c>
      <c r="I171" s="45">
        <v>0</v>
      </c>
      <c r="J171" s="45">
        <v>35269</v>
      </c>
      <c r="K171" s="45">
        <v>0</v>
      </c>
      <c r="L171" s="45">
        <v>28736</v>
      </c>
      <c r="M171" s="45">
        <v>0</v>
      </c>
      <c r="N171" s="45">
        <v>23304</v>
      </c>
      <c r="O171" s="45">
        <v>0</v>
      </c>
      <c r="P171" s="45">
        <v>18254</v>
      </c>
      <c r="Q171" s="45">
        <v>0</v>
      </c>
      <c r="R171" s="45">
        <v>14116</v>
      </c>
      <c r="S171" s="45">
        <v>0</v>
      </c>
      <c r="T171" s="45">
        <v>29258</v>
      </c>
      <c r="U171" s="45">
        <v>9046</v>
      </c>
    </row>
    <row r="172" spans="1:21" ht="16.05" customHeight="1">
      <c r="A172" s="58" t="s">
        <v>1779</v>
      </c>
      <c r="B172" s="58" t="s">
        <v>1807</v>
      </c>
      <c r="C172" s="45">
        <v>126</v>
      </c>
      <c r="D172" s="45">
        <v>48461</v>
      </c>
      <c r="E172" s="45">
        <v>3</v>
      </c>
      <c r="F172" s="45">
        <v>41060</v>
      </c>
      <c r="G172" s="45">
        <v>0</v>
      </c>
      <c r="H172" s="45">
        <v>34289</v>
      </c>
      <c r="I172" s="45">
        <v>0</v>
      </c>
      <c r="J172" s="45">
        <v>27783</v>
      </c>
      <c r="K172" s="45">
        <v>0</v>
      </c>
      <c r="L172" s="45">
        <v>21901</v>
      </c>
      <c r="M172" s="45">
        <v>0</v>
      </c>
      <c r="N172" s="45">
        <v>16715</v>
      </c>
      <c r="O172" s="45">
        <v>0</v>
      </c>
      <c r="P172" s="45">
        <v>12727</v>
      </c>
      <c r="Q172" s="45">
        <v>0</v>
      </c>
      <c r="R172" s="45">
        <v>9066</v>
      </c>
      <c r="S172" s="45">
        <v>0</v>
      </c>
      <c r="T172" s="45">
        <v>15245</v>
      </c>
      <c r="U172" s="45">
        <v>7199</v>
      </c>
    </row>
    <row r="173" spans="1:21" ht="16.05" customHeight="1">
      <c r="A173" s="58" t="s">
        <v>1779</v>
      </c>
      <c r="B173" s="58" t="s">
        <v>1808</v>
      </c>
      <c r="C173" s="45">
        <v>34</v>
      </c>
      <c r="D173" s="45">
        <v>9939</v>
      </c>
      <c r="E173" s="45">
        <v>0</v>
      </c>
      <c r="F173" s="45">
        <v>5000</v>
      </c>
      <c r="G173" s="45">
        <v>0</v>
      </c>
      <c r="H173" s="45">
        <v>2274</v>
      </c>
      <c r="I173" s="45">
        <v>0</v>
      </c>
      <c r="J173" s="45">
        <v>775</v>
      </c>
      <c r="K173" s="45">
        <v>0</v>
      </c>
      <c r="L173" s="45">
        <v>33</v>
      </c>
      <c r="M173" s="45">
        <v>0</v>
      </c>
      <c r="N173" s="45">
        <v>0</v>
      </c>
      <c r="O173" s="45">
        <v>0</v>
      </c>
      <c r="P173" s="45">
        <v>0</v>
      </c>
      <c r="Q173" s="45">
        <v>0</v>
      </c>
      <c r="R173" s="45">
        <v>0</v>
      </c>
      <c r="S173" s="45">
        <v>0</v>
      </c>
      <c r="T173" s="45">
        <v>0</v>
      </c>
      <c r="U173" s="45">
        <v>4920</v>
      </c>
    </row>
    <row r="174" spans="1:21" ht="16.05" customHeight="1">
      <c r="A174" s="58" t="s">
        <v>1779</v>
      </c>
      <c r="B174" s="58" t="s">
        <v>1809</v>
      </c>
      <c r="C174" s="45">
        <v>12</v>
      </c>
      <c r="D174" s="45">
        <v>5777</v>
      </c>
      <c r="E174" s="45">
        <v>0</v>
      </c>
      <c r="F174" s="45">
        <v>2662</v>
      </c>
      <c r="G174" s="45">
        <v>0</v>
      </c>
      <c r="H174" s="45">
        <v>781</v>
      </c>
      <c r="I174" s="45">
        <v>0</v>
      </c>
      <c r="J174" s="45">
        <v>0</v>
      </c>
      <c r="K174" s="45">
        <v>0</v>
      </c>
      <c r="L174" s="45">
        <v>0</v>
      </c>
      <c r="M174" s="45">
        <v>0</v>
      </c>
      <c r="N174" s="45">
        <v>0</v>
      </c>
      <c r="O174" s="45">
        <v>0</v>
      </c>
      <c r="P174" s="45">
        <v>0</v>
      </c>
      <c r="Q174" s="45">
        <v>0</v>
      </c>
      <c r="R174" s="45">
        <v>0</v>
      </c>
      <c r="S174" s="45">
        <v>0</v>
      </c>
      <c r="T174" s="45">
        <v>0</v>
      </c>
      <c r="U174" s="45">
        <v>3109</v>
      </c>
    </row>
    <row r="175" spans="1:21" ht="16.05" customHeight="1">
      <c r="A175" s="58" t="s">
        <v>1779</v>
      </c>
      <c r="B175" s="58" t="s">
        <v>1810</v>
      </c>
      <c r="C175" s="45">
        <v>21</v>
      </c>
      <c r="D175" s="45">
        <v>8574</v>
      </c>
      <c r="E175" s="45">
        <v>0</v>
      </c>
      <c r="F175" s="45">
        <v>4897</v>
      </c>
      <c r="G175" s="45">
        <v>0</v>
      </c>
      <c r="H175" s="45">
        <v>2303</v>
      </c>
      <c r="I175" s="45">
        <v>0</v>
      </c>
      <c r="J175" s="45">
        <v>733</v>
      </c>
      <c r="K175" s="45">
        <v>0</v>
      </c>
      <c r="L175" s="45">
        <v>0</v>
      </c>
      <c r="M175" s="45">
        <v>0</v>
      </c>
      <c r="N175" s="45">
        <v>0</v>
      </c>
      <c r="O175" s="45">
        <v>0</v>
      </c>
      <c r="P175" s="45">
        <v>0</v>
      </c>
      <c r="Q175" s="45">
        <v>0</v>
      </c>
      <c r="R175" s="45">
        <v>0</v>
      </c>
      <c r="S175" s="45">
        <v>0</v>
      </c>
      <c r="T175" s="45">
        <v>0</v>
      </c>
      <c r="U175" s="45">
        <v>3659</v>
      </c>
    </row>
    <row r="176" spans="1:21" ht="16.05" customHeight="1">
      <c r="A176" s="58" t="s">
        <v>1779</v>
      </c>
      <c r="B176" s="58" t="s">
        <v>1811</v>
      </c>
      <c r="C176" s="45">
        <v>38</v>
      </c>
      <c r="D176" s="45">
        <v>15374</v>
      </c>
      <c r="E176" s="45">
        <v>1</v>
      </c>
      <c r="F176" s="45">
        <v>10255</v>
      </c>
      <c r="G176" s="45">
        <v>0</v>
      </c>
      <c r="H176" s="45">
        <v>5846</v>
      </c>
      <c r="I176" s="45">
        <v>0</v>
      </c>
      <c r="J176" s="45">
        <v>2638</v>
      </c>
      <c r="K176" s="45">
        <v>0</v>
      </c>
      <c r="L176" s="45">
        <v>1021</v>
      </c>
      <c r="M176" s="45">
        <v>0</v>
      </c>
      <c r="N176" s="45">
        <v>327</v>
      </c>
      <c r="O176" s="45">
        <v>0</v>
      </c>
      <c r="P176" s="45">
        <v>94</v>
      </c>
      <c r="Q176" s="45">
        <v>0</v>
      </c>
      <c r="R176" s="45">
        <v>0</v>
      </c>
      <c r="S176" s="45">
        <v>0</v>
      </c>
      <c r="T176" s="45">
        <v>0</v>
      </c>
      <c r="U176" s="45">
        <v>5089</v>
      </c>
    </row>
    <row r="177" spans="1:21" ht="16.05" customHeight="1">
      <c r="A177" s="58" t="s">
        <v>1779</v>
      </c>
      <c r="B177" s="58" t="s">
        <v>1812</v>
      </c>
      <c r="C177" s="45">
        <v>28</v>
      </c>
      <c r="D177" s="45">
        <v>12750</v>
      </c>
      <c r="E177" s="45">
        <v>1</v>
      </c>
      <c r="F177" s="45">
        <v>8152</v>
      </c>
      <c r="G177" s="45">
        <v>0</v>
      </c>
      <c r="H177" s="45">
        <v>4080</v>
      </c>
      <c r="I177" s="45">
        <v>0</v>
      </c>
      <c r="J177" s="45">
        <v>1827</v>
      </c>
      <c r="K177" s="45">
        <v>0</v>
      </c>
      <c r="L177" s="45">
        <v>387</v>
      </c>
      <c r="M177" s="45">
        <v>0</v>
      </c>
      <c r="N177" s="45">
        <v>155</v>
      </c>
      <c r="O177" s="45">
        <v>0</v>
      </c>
      <c r="P177" s="45">
        <v>0</v>
      </c>
      <c r="Q177" s="45">
        <v>0</v>
      </c>
      <c r="R177" s="45">
        <v>0</v>
      </c>
      <c r="S177" s="45">
        <v>0</v>
      </c>
      <c r="T177" s="45">
        <v>0</v>
      </c>
      <c r="U177" s="45">
        <v>4548</v>
      </c>
    </row>
    <row r="178" spans="1:21" ht="16.05" customHeight="1">
      <c r="A178" s="58" t="s">
        <v>1779</v>
      </c>
      <c r="B178" s="58" t="s">
        <v>1813</v>
      </c>
      <c r="C178" s="45">
        <v>29</v>
      </c>
      <c r="D178" s="45">
        <v>11547</v>
      </c>
      <c r="E178" s="45">
        <v>0</v>
      </c>
      <c r="F178" s="45">
        <v>6764</v>
      </c>
      <c r="G178" s="45">
        <v>0</v>
      </c>
      <c r="H178" s="45">
        <v>3647</v>
      </c>
      <c r="I178" s="45">
        <v>0</v>
      </c>
      <c r="J178" s="45">
        <v>1465</v>
      </c>
      <c r="K178" s="45">
        <v>0</v>
      </c>
      <c r="L178" s="45">
        <v>555</v>
      </c>
      <c r="M178" s="45">
        <v>0</v>
      </c>
      <c r="N178" s="45">
        <v>56</v>
      </c>
      <c r="O178" s="45">
        <v>0</v>
      </c>
      <c r="P178" s="45">
        <v>0</v>
      </c>
      <c r="Q178" s="45">
        <v>0</v>
      </c>
      <c r="R178" s="45">
        <v>0</v>
      </c>
      <c r="S178" s="45">
        <v>0</v>
      </c>
      <c r="T178" s="45">
        <v>0</v>
      </c>
      <c r="U178" s="45">
        <v>4753</v>
      </c>
    </row>
    <row r="179" spans="1:21" ht="16.05" customHeight="1">
      <c r="A179" s="58" t="s">
        <v>1779</v>
      </c>
      <c r="B179" s="58" t="s">
        <v>1814</v>
      </c>
      <c r="C179" s="45">
        <v>42</v>
      </c>
      <c r="D179" s="45">
        <v>22515</v>
      </c>
      <c r="E179" s="45">
        <v>0</v>
      </c>
      <c r="F179" s="45">
        <v>17072</v>
      </c>
      <c r="G179" s="45">
        <v>0</v>
      </c>
      <c r="H179" s="45">
        <v>12231</v>
      </c>
      <c r="I179" s="45">
        <v>0</v>
      </c>
      <c r="J179" s="45">
        <v>7979</v>
      </c>
      <c r="K179" s="45">
        <v>0</v>
      </c>
      <c r="L179" s="45">
        <v>4388</v>
      </c>
      <c r="M179" s="45">
        <v>0</v>
      </c>
      <c r="N179" s="45">
        <v>2432</v>
      </c>
      <c r="O179" s="45">
        <v>0</v>
      </c>
      <c r="P179" s="45">
        <v>1137</v>
      </c>
      <c r="Q179" s="45">
        <v>0</v>
      </c>
      <c r="R179" s="45">
        <v>364</v>
      </c>
      <c r="S179" s="45">
        <v>0</v>
      </c>
      <c r="T179" s="45">
        <v>0</v>
      </c>
      <c r="U179" s="45">
        <v>5346</v>
      </c>
    </row>
    <row r="180" spans="1:21" ht="16.05" customHeight="1">
      <c r="A180" s="58" t="s">
        <v>1779</v>
      </c>
      <c r="B180" s="58" t="s">
        <v>1815</v>
      </c>
      <c r="C180" s="45">
        <v>46</v>
      </c>
      <c r="D180" s="45">
        <v>20479</v>
      </c>
      <c r="E180" s="45">
        <v>2</v>
      </c>
      <c r="F180" s="45">
        <v>14802</v>
      </c>
      <c r="G180" s="45">
        <v>1</v>
      </c>
      <c r="H180" s="45">
        <v>9924</v>
      </c>
      <c r="I180" s="45">
        <v>0</v>
      </c>
      <c r="J180" s="45">
        <v>5675</v>
      </c>
      <c r="K180" s="45">
        <v>0</v>
      </c>
      <c r="L180" s="45">
        <v>3010</v>
      </c>
      <c r="M180" s="45">
        <v>0</v>
      </c>
      <c r="N180" s="45">
        <v>1104</v>
      </c>
      <c r="O180" s="45">
        <v>0</v>
      </c>
      <c r="P180" s="45">
        <v>553</v>
      </c>
      <c r="Q180" s="45">
        <v>0</v>
      </c>
      <c r="R180" s="45">
        <v>175</v>
      </c>
      <c r="S180" s="45">
        <v>0</v>
      </c>
      <c r="T180" s="45">
        <v>0</v>
      </c>
      <c r="U180" s="45">
        <v>5608</v>
      </c>
    </row>
    <row r="181" spans="1:21" ht="16.05" customHeight="1">
      <c r="A181" s="58" t="s">
        <v>1779</v>
      </c>
      <c r="B181" s="58" t="s">
        <v>1816</v>
      </c>
      <c r="C181" s="45">
        <v>44</v>
      </c>
      <c r="D181" s="45">
        <v>17456</v>
      </c>
      <c r="E181" s="45">
        <v>0</v>
      </c>
      <c r="F181" s="45">
        <v>12084</v>
      </c>
      <c r="G181" s="45">
        <v>0</v>
      </c>
      <c r="H181" s="45">
        <v>7541</v>
      </c>
      <c r="I181" s="45">
        <v>0</v>
      </c>
      <c r="J181" s="45">
        <v>4075</v>
      </c>
      <c r="K181" s="45">
        <v>0</v>
      </c>
      <c r="L181" s="45">
        <v>2059</v>
      </c>
      <c r="M181" s="45">
        <v>0</v>
      </c>
      <c r="N181" s="45">
        <v>576</v>
      </c>
      <c r="O181" s="45">
        <v>0</v>
      </c>
      <c r="P181" s="45">
        <v>191</v>
      </c>
      <c r="Q181" s="45">
        <v>0</v>
      </c>
      <c r="R181" s="45">
        <v>59</v>
      </c>
      <c r="S181" s="45">
        <v>0</v>
      </c>
      <c r="T181" s="45">
        <v>0</v>
      </c>
      <c r="U181" s="45">
        <v>5319</v>
      </c>
    </row>
    <row r="182" spans="1:21" ht="16.05" customHeight="1">
      <c r="A182" s="58" t="s">
        <v>1779</v>
      </c>
      <c r="B182" s="58" t="s">
        <v>1817</v>
      </c>
      <c r="C182" s="45">
        <v>84</v>
      </c>
      <c r="D182" s="45">
        <v>40924</v>
      </c>
      <c r="E182" s="45">
        <v>0</v>
      </c>
      <c r="F182" s="45">
        <v>32928</v>
      </c>
      <c r="G182" s="45">
        <v>0</v>
      </c>
      <c r="H182" s="45">
        <v>25604</v>
      </c>
      <c r="I182" s="45">
        <v>0</v>
      </c>
      <c r="J182" s="45">
        <v>19278</v>
      </c>
      <c r="K182" s="45">
        <v>0</v>
      </c>
      <c r="L182" s="45">
        <v>13356</v>
      </c>
      <c r="M182" s="45">
        <v>0</v>
      </c>
      <c r="N182" s="45">
        <v>8328</v>
      </c>
      <c r="O182" s="45">
        <v>0</v>
      </c>
      <c r="P182" s="45">
        <v>4620</v>
      </c>
      <c r="Q182" s="45">
        <v>0</v>
      </c>
      <c r="R182" s="45">
        <v>2513</v>
      </c>
      <c r="S182" s="45">
        <v>0</v>
      </c>
      <c r="T182" s="45">
        <v>3167</v>
      </c>
      <c r="U182" s="45">
        <v>7830</v>
      </c>
    </row>
    <row r="183" spans="1:21" ht="16.05" customHeight="1">
      <c r="A183" s="58" t="s">
        <v>1779</v>
      </c>
      <c r="B183" s="58" t="s">
        <v>1818</v>
      </c>
      <c r="C183" s="45">
        <v>38</v>
      </c>
      <c r="D183" s="45">
        <v>17013</v>
      </c>
      <c r="E183" s="45">
        <v>0</v>
      </c>
      <c r="F183" s="45">
        <v>11228</v>
      </c>
      <c r="G183" s="45">
        <v>0</v>
      </c>
      <c r="H183" s="45">
        <v>6589</v>
      </c>
      <c r="I183" s="45">
        <v>0</v>
      </c>
      <c r="J183" s="45">
        <v>3585</v>
      </c>
      <c r="K183" s="45">
        <v>0</v>
      </c>
      <c r="L183" s="45">
        <v>1325</v>
      </c>
      <c r="M183" s="45">
        <v>0</v>
      </c>
      <c r="N183" s="45">
        <v>353</v>
      </c>
      <c r="O183" s="45">
        <v>0</v>
      </c>
      <c r="P183" s="45">
        <v>0</v>
      </c>
      <c r="Q183" s="45">
        <v>0</v>
      </c>
      <c r="R183" s="45">
        <v>0</v>
      </c>
      <c r="S183" s="45">
        <v>0</v>
      </c>
      <c r="T183" s="45">
        <v>0</v>
      </c>
      <c r="U183" s="45">
        <v>5714</v>
      </c>
    </row>
    <row r="184" spans="1:21" ht="16.05" customHeight="1">
      <c r="A184" s="58" t="s">
        <v>1779</v>
      </c>
      <c r="B184" s="58" t="s">
        <v>1819</v>
      </c>
      <c r="C184" s="45">
        <v>139</v>
      </c>
      <c r="D184" s="45">
        <v>51059</v>
      </c>
      <c r="E184" s="45">
        <v>1</v>
      </c>
      <c r="F184" s="45">
        <v>41904</v>
      </c>
      <c r="G184" s="45">
        <v>0</v>
      </c>
      <c r="H184" s="45">
        <v>33383</v>
      </c>
      <c r="I184" s="45">
        <v>0</v>
      </c>
      <c r="J184" s="45">
        <v>25709</v>
      </c>
      <c r="K184" s="45">
        <v>0</v>
      </c>
      <c r="L184" s="45">
        <v>20265</v>
      </c>
      <c r="M184" s="45">
        <v>0</v>
      </c>
      <c r="N184" s="45">
        <v>15405</v>
      </c>
      <c r="O184" s="45">
        <v>0</v>
      </c>
      <c r="P184" s="45">
        <v>11196</v>
      </c>
      <c r="Q184" s="45">
        <v>0</v>
      </c>
      <c r="R184" s="45">
        <v>7605</v>
      </c>
      <c r="S184" s="45">
        <v>0</v>
      </c>
      <c r="T184" s="45">
        <v>9409</v>
      </c>
      <c r="U184" s="45">
        <v>9001</v>
      </c>
    </row>
    <row r="185" spans="1:21" ht="16.05" customHeight="1">
      <c r="A185" s="58" t="s">
        <v>1779</v>
      </c>
      <c r="B185" s="58" t="s">
        <v>1820</v>
      </c>
      <c r="C185" s="45">
        <v>98</v>
      </c>
      <c r="D185" s="45">
        <v>53589</v>
      </c>
      <c r="E185" s="45">
        <v>2</v>
      </c>
      <c r="F185" s="45">
        <v>45144</v>
      </c>
      <c r="G185" s="45">
        <v>0</v>
      </c>
      <c r="H185" s="45">
        <v>37335</v>
      </c>
      <c r="I185" s="45">
        <v>0</v>
      </c>
      <c r="J185" s="45">
        <v>30245</v>
      </c>
      <c r="K185" s="45">
        <v>0</v>
      </c>
      <c r="L185" s="45">
        <v>23596</v>
      </c>
      <c r="M185" s="45">
        <v>0</v>
      </c>
      <c r="N185" s="45">
        <v>17836</v>
      </c>
      <c r="O185" s="45">
        <v>0</v>
      </c>
      <c r="P185" s="45">
        <v>13167</v>
      </c>
      <c r="Q185" s="45">
        <v>0</v>
      </c>
      <c r="R185" s="45">
        <v>9132</v>
      </c>
      <c r="S185" s="45">
        <v>0</v>
      </c>
      <c r="T185" s="45">
        <v>14199</v>
      </c>
      <c r="U185" s="45">
        <v>8293</v>
      </c>
    </row>
    <row r="186" spans="1:21" ht="16.05" customHeight="1">
      <c r="A186" s="58" t="s">
        <v>1779</v>
      </c>
      <c r="B186" s="58" t="s">
        <v>1821</v>
      </c>
      <c r="C186" s="45">
        <v>77</v>
      </c>
      <c r="D186" s="45">
        <v>28005</v>
      </c>
      <c r="E186" s="45">
        <v>1</v>
      </c>
      <c r="F186" s="45">
        <v>21618</v>
      </c>
      <c r="G186" s="45">
        <v>0</v>
      </c>
      <c r="H186" s="45">
        <v>15874</v>
      </c>
      <c r="I186" s="45">
        <v>0</v>
      </c>
      <c r="J186" s="45">
        <v>12378</v>
      </c>
      <c r="K186" s="45">
        <v>0</v>
      </c>
      <c r="L186" s="45">
        <v>9199</v>
      </c>
      <c r="M186" s="45">
        <v>0</v>
      </c>
      <c r="N186" s="45">
        <v>6326</v>
      </c>
      <c r="O186" s="45">
        <v>0</v>
      </c>
      <c r="P186" s="45">
        <v>3906</v>
      </c>
      <c r="Q186" s="45">
        <v>0</v>
      </c>
      <c r="R186" s="45">
        <v>2011</v>
      </c>
      <c r="S186" s="45">
        <v>0</v>
      </c>
      <c r="T186" s="45">
        <v>1132</v>
      </c>
      <c r="U186" s="45">
        <v>6290</v>
      </c>
    </row>
    <row r="187" spans="1:21" ht="16.05" customHeight="1">
      <c r="A187" s="58" t="s">
        <v>1779</v>
      </c>
      <c r="B187" s="58" t="s">
        <v>1822</v>
      </c>
      <c r="C187" s="45">
        <v>37</v>
      </c>
      <c r="D187" s="45">
        <v>15035</v>
      </c>
      <c r="E187" s="45">
        <v>0</v>
      </c>
      <c r="F187" s="45">
        <v>9224</v>
      </c>
      <c r="G187" s="45">
        <v>0</v>
      </c>
      <c r="H187" s="45">
        <v>5092</v>
      </c>
      <c r="I187" s="45">
        <v>0</v>
      </c>
      <c r="J187" s="45">
        <v>2511</v>
      </c>
      <c r="K187" s="45">
        <v>0</v>
      </c>
      <c r="L187" s="45">
        <v>672</v>
      </c>
      <c r="M187" s="45">
        <v>0</v>
      </c>
      <c r="N187" s="45">
        <v>121</v>
      </c>
      <c r="O187" s="45">
        <v>0</v>
      </c>
      <c r="P187" s="45">
        <v>0</v>
      </c>
      <c r="Q187" s="45">
        <v>0</v>
      </c>
      <c r="R187" s="45">
        <v>0</v>
      </c>
      <c r="S187" s="45">
        <v>0</v>
      </c>
      <c r="T187" s="45">
        <v>0</v>
      </c>
      <c r="U187" s="45">
        <v>5780</v>
      </c>
    </row>
    <row r="188" spans="1:21" ht="16.05" customHeight="1">
      <c r="A188" s="58" t="s">
        <v>1779</v>
      </c>
      <c r="B188" s="58" t="s">
        <v>1823</v>
      </c>
      <c r="C188" s="45">
        <v>62</v>
      </c>
      <c r="D188" s="45">
        <v>25860</v>
      </c>
      <c r="E188" s="45">
        <v>0</v>
      </c>
      <c r="F188" s="45">
        <v>19764</v>
      </c>
      <c r="G188" s="45">
        <v>0</v>
      </c>
      <c r="H188" s="45">
        <v>15399</v>
      </c>
      <c r="I188" s="45">
        <v>0</v>
      </c>
      <c r="J188" s="45">
        <v>11587</v>
      </c>
      <c r="K188" s="45">
        <v>0</v>
      </c>
      <c r="L188" s="45">
        <v>8186</v>
      </c>
      <c r="M188" s="45">
        <v>0</v>
      </c>
      <c r="N188" s="45">
        <v>5372</v>
      </c>
      <c r="O188" s="45">
        <v>0</v>
      </c>
      <c r="P188" s="45">
        <v>3062</v>
      </c>
      <c r="Q188" s="45">
        <v>0</v>
      </c>
      <c r="R188" s="45">
        <v>1259</v>
      </c>
      <c r="S188" s="45">
        <v>0</v>
      </c>
      <c r="T188" s="45">
        <v>226</v>
      </c>
      <c r="U188" s="45">
        <v>5982</v>
      </c>
    </row>
    <row r="189" spans="1:21" ht="16.05" customHeight="1">
      <c r="A189" s="58" t="s">
        <v>1779</v>
      </c>
      <c r="B189" s="58" t="s">
        <v>1824</v>
      </c>
      <c r="C189" s="45">
        <v>43</v>
      </c>
      <c r="D189" s="45">
        <v>18090</v>
      </c>
      <c r="E189" s="45">
        <v>0</v>
      </c>
      <c r="F189" s="45">
        <v>13102</v>
      </c>
      <c r="G189" s="45">
        <v>0</v>
      </c>
      <c r="H189" s="45">
        <v>8840</v>
      </c>
      <c r="I189" s="45">
        <v>0</v>
      </c>
      <c r="J189" s="45">
        <v>5179</v>
      </c>
      <c r="K189" s="45">
        <v>0</v>
      </c>
      <c r="L189" s="45">
        <v>2774</v>
      </c>
      <c r="M189" s="45">
        <v>0</v>
      </c>
      <c r="N189" s="45">
        <v>1178</v>
      </c>
      <c r="O189" s="45">
        <v>0</v>
      </c>
      <c r="P189" s="45">
        <v>517</v>
      </c>
      <c r="Q189" s="45">
        <v>0</v>
      </c>
      <c r="R189" s="45">
        <v>175</v>
      </c>
      <c r="S189" s="45">
        <v>0</v>
      </c>
      <c r="T189" s="45">
        <v>0</v>
      </c>
      <c r="U189" s="45">
        <v>4856</v>
      </c>
    </row>
    <row r="190" spans="1:21" ht="16.05" customHeight="1">
      <c r="A190" s="58" t="s">
        <v>1779</v>
      </c>
      <c r="B190" s="58" t="s">
        <v>1825</v>
      </c>
      <c r="C190" s="45">
        <v>72</v>
      </c>
      <c r="D190" s="45">
        <v>28015</v>
      </c>
      <c r="E190" s="45">
        <v>0</v>
      </c>
      <c r="F190" s="45">
        <v>22009</v>
      </c>
      <c r="G190" s="45">
        <v>0</v>
      </c>
      <c r="H190" s="45">
        <v>16711</v>
      </c>
      <c r="I190" s="45">
        <v>0</v>
      </c>
      <c r="J190" s="45">
        <v>11818</v>
      </c>
      <c r="K190" s="45">
        <v>0</v>
      </c>
      <c r="L190" s="45">
        <v>7661</v>
      </c>
      <c r="M190" s="45">
        <v>0</v>
      </c>
      <c r="N190" s="45">
        <v>4661</v>
      </c>
      <c r="O190" s="45">
        <v>0</v>
      </c>
      <c r="P190" s="45">
        <v>2382</v>
      </c>
      <c r="Q190" s="45">
        <v>0</v>
      </c>
      <c r="R190" s="45">
        <v>1161</v>
      </c>
      <c r="S190" s="45">
        <v>0</v>
      </c>
      <c r="T190" s="45">
        <v>1059</v>
      </c>
      <c r="U190" s="45">
        <v>5896</v>
      </c>
    </row>
    <row r="191" spans="1:21" ht="16.05" customHeight="1">
      <c r="A191" s="58" t="s">
        <v>1779</v>
      </c>
      <c r="B191" s="58" t="s">
        <v>1826</v>
      </c>
      <c r="C191" s="45">
        <v>23</v>
      </c>
      <c r="D191" s="45">
        <v>11936</v>
      </c>
      <c r="E191" s="45">
        <v>0</v>
      </c>
      <c r="F191" s="45">
        <v>6194</v>
      </c>
      <c r="G191" s="45">
        <v>0</v>
      </c>
      <c r="H191" s="45">
        <v>2534</v>
      </c>
      <c r="I191" s="45">
        <v>0</v>
      </c>
      <c r="J191" s="45">
        <v>413</v>
      </c>
      <c r="K191" s="45">
        <v>0</v>
      </c>
      <c r="L191" s="45">
        <v>0</v>
      </c>
      <c r="M191" s="45">
        <v>0</v>
      </c>
      <c r="N191" s="45">
        <v>0</v>
      </c>
      <c r="O191" s="45">
        <v>0</v>
      </c>
      <c r="P191" s="45">
        <v>0</v>
      </c>
      <c r="Q191" s="45">
        <v>0</v>
      </c>
      <c r="R191" s="45">
        <v>0</v>
      </c>
      <c r="S191" s="45">
        <v>0</v>
      </c>
      <c r="T191" s="45">
        <v>0</v>
      </c>
      <c r="U191" s="45">
        <v>5716</v>
      </c>
    </row>
    <row r="192" spans="1:21" ht="16.05" customHeight="1">
      <c r="A192" s="58" t="s">
        <v>1779</v>
      </c>
      <c r="B192" s="58" t="s">
        <v>1827</v>
      </c>
      <c r="C192" s="45">
        <v>47</v>
      </c>
      <c r="D192" s="45">
        <v>18772</v>
      </c>
      <c r="E192" s="45">
        <v>0</v>
      </c>
      <c r="F192" s="45">
        <v>12710</v>
      </c>
      <c r="G192" s="45">
        <v>0</v>
      </c>
      <c r="H192" s="45">
        <v>7879</v>
      </c>
      <c r="I192" s="45">
        <v>0</v>
      </c>
      <c r="J192" s="45">
        <v>4906</v>
      </c>
      <c r="K192" s="45">
        <v>0</v>
      </c>
      <c r="L192" s="45">
        <v>2306</v>
      </c>
      <c r="M192" s="45">
        <v>0</v>
      </c>
      <c r="N192" s="45">
        <v>210</v>
      </c>
      <c r="O192" s="45">
        <v>0</v>
      </c>
      <c r="P192" s="45">
        <v>44</v>
      </c>
      <c r="Q192" s="45">
        <v>0</v>
      </c>
      <c r="R192" s="45">
        <v>0</v>
      </c>
      <c r="S192" s="45">
        <v>0</v>
      </c>
      <c r="T192" s="45">
        <v>0</v>
      </c>
      <c r="U192" s="45">
        <v>5993</v>
      </c>
    </row>
    <row r="193" spans="1:21" ht="16.05" customHeight="1">
      <c r="A193" s="58" t="s">
        <v>1779</v>
      </c>
      <c r="B193" s="58" t="s">
        <v>1828</v>
      </c>
      <c r="C193" s="45">
        <v>17</v>
      </c>
      <c r="D193" s="45">
        <v>10612</v>
      </c>
      <c r="E193" s="45">
        <v>0</v>
      </c>
      <c r="F193" s="45">
        <v>5766</v>
      </c>
      <c r="G193" s="45">
        <v>0</v>
      </c>
      <c r="H193" s="45">
        <v>2037</v>
      </c>
      <c r="I193" s="45">
        <v>0</v>
      </c>
      <c r="J193" s="45">
        <v>344</v>
      </c>
      <c r="K193" s="45">
        <v>0</v>
      </c>
      <c r="L193" s="45">
        <v>98</v>
      </c>
      <c r="M193" s="45">
        <v>0</v>
      </c>
      <c r="N193" s="45">
        <v>0</v>
      </c>
      <c r="O193" s="45">
        <v>0</v>
      </c>
      <c r="P193" s="45">
        <v>0</v>
      </c>
      <c r="Q193" s="45">
        <v>0</v>
      </c>
      <c r="R193" s="45">
        <v>0</v>
      </c>
      <c r="S193" s="45">
        <v>0</v>
      </c>
      <c r="T193" s="45">
        <v>0</v>
      </c>
      <c r="U193" s="45">
        <v>4831</v>
      </c>
    </row>
    <row r="194" spans="1:21" ht="16.05" customHeight="1">
      <c r="A194" s="58" t="s">
        <v>1779</v>
      </c>
      <c r="B194" s="58" t="s">
        <v>1829</v>
      </c>
      <c r="C194" s="45">
        <v>195</v>
      </c>
      <c r="D194" s="45">
        <v>77429</v>
      </c>
      <c r="E194" s="45">
        <v>1</v>
      </c>
      <c r="F194" s="45">
        <v>67409</v>
      </c>
      <c r="G194" s="45">
        <v>0</v>
      </c>
      <c r="H194" s="45">
        <v>57959</v>
      </c>
      <c r="I194" s="45">
        <v>0</v>
      </c>
      <c r="J194" s="45">
        <v>49144</v>
      </c>
      <c r="K194" s="45">
        <v>0</v>
      </c>
      <c r="L194" s="45">
        <v>41476</v>
      </c>
      <c r="M194" s="45">
        <v>0</v>
      </c>
      <c r="N194" s="45">
        <v>34322</v>
      </c>
      <c r="O194" s="45">
        <v>0</v>
      </c>
      <c r="P194" s="45">
        <v>27698</v>
      </c>
      <c r="Q194" s="45">
        <v>0</v>
      </c>
      <c r="R194" s="45">
        <v>21586</v>
      </c>
      <c r="S194" s="45">
        <v>0</v>
      </c>
      <c r="T194" s="45">
        <v>50702</v>
      </c>
      <c r="U194" s="45">
        <v>9779</v>
      </c>
    </row>
    <row r="195" spans="1:21" ht="16.05" customHeight="1">
      <c r="A195" s="58" t="s">
        <v>1779</v>
      </c>
      <c r="B195" s="58" t="s">
        <v>1830</v>
      </c>
      <c r="C195" s="45">
        <v>49</v>
      </c>
      <c r="D195" s="45">
        <v>20178</v>
      </c>
      <c r="E195" s="45">
        <v>0</v>
      </c>
      <c r="F195" s="45">
        <v>13899</v>
      </c>
      <c r="G195" s="45">
        <v>0</v>
      </c>
      <c r="H195" s="45">
        <v>8952</v>
      </c>
      <c r="I195" s="45">
        <v>0</v>
      </c>
      <c r="J195" s="45">
        <v>4987</v>
      </c>
      <c r="K195" s="45">
        <v>0</v>
      </c>
      <c r="L195" s="45">
        <v>2523</v>
      </c>
      <c r="M195" s="45">
        <v>0</v>
      </c>
      <c r="N195" s="45">
        <v>975</v>
      </c>
      <c r="O195" s="45">
        <v>0</v>
      </c>
      <c r="P195" s="45">
        <v>183</v>
      </c>
      <c r="Q195" s="45">
        <v>0</v>
      </c>
      <c r="R195" s="45">
        <v>0</v>
      </c>
      <c r="S195" s="45">
        <v>0</v>
      </c>
      <c r="T195" s="45">
        <v>0</v>
      </c>
      <c r="U195" s="45">
        <v>6200</v>
      </c>
    </row>
    <row r="196" spans="1:21" ht="16.05" customHeight="1">
      <c r="A196" s="58" t="s">
        <v>1779</v>
      </c>
      <c r="B196" s="58" t="s">
        <v>1831</v>
      </c>
      <c r="C196" s="45">
        <v>78</v>
      </c>
      <c r="D196" s="45">
        <v>32998</v>
      </c>
      <c r="E196" s="45">
        <v>1</v>
      </c>
      <c r="F196" s="45">
        <v>25702</v>
      </c>
      <c r="G196" s="45">
        <v>0</v>
      </c>
      <c r="H196" s="45">
        <v>20040</v>
      </c>
      <c r="I196" s="45">
        <v>0</v>
      </c>
      <c r="J196" s="45">
        <v>14698</v>
      </c>
      <c r="K196" s="45">
        <v>0</v>
      </c>
      <c r="L196" s="45">
        <v>10069</v>
      </c>
      <c r="M196" s="45">
        <v>0</v>
      </c>
      <c r="N196" s="45">
        <v>6358</v>
      </c>
      <c r="O196" s="45">
        <v>0</v>
      </c>
      <c r="P196" s="45">
        <v>3941</v>
      </c>
      <c r="Q196" s="45">
        <v>0</v>
      </c>
      <c r="R196" s="45">
        <v>2300</v>
      </c>
      <c r="S196" s="45">
        <v>0</v>
      </c>
      <c r="T196" s="45">
        <v>1664</v>
      </c>
      <c r="U196" s="45">
        <v>7171</v>
      </c>
    </row>
    <row r="197" spans="1:21" ht="16.05" customHeight="1">
      <c r="A197" s="58" t="s">
        <v>1779</v>
      </c>
      <c r="B197" s="58" t="s">
        <v>1832</v>
      </c>
      <c r="C197" s="45">
        <v>152</v>
      </c>
      <c r="D197" s="45">
        <v>61811</v>
      </c>
      <c r="E197" s="45">
        <v>0</v>
      </c>
      <c r="F197" s="45">
        <v>52967</v>
      </c>
      <c r="G197" s="45">
        <v>0</v>
      </c>
      <c r="H197" s="45">
        <v>44840</v>
      </c>
      <c r="I197" s="45">
        <v>0</v>
      </c>
      <c r="J197" s="45">
        <v>37453</v>
      </c>
      <c r="K197" s="45">
        <v>0</v>
      </c>
      <c r="L197" s="45">
        <v>30678</v>
      </c>
      <c r="M197" s="45">
        <v>0</v>
      </c>
      <c r="N197" s="45">
        <v>24919</v>
      </c>
      <c r="O197" s="45">
        <v>0</v>
      </c>
      <c r="P197" s="45">
        <v>20177</v>
      </c>
      <c r="Q197" s="45">
        <v>0</v>
      </c>
      <c r="R197" s="45">
        <v>15824</v>
      </c>
      <c r="S197" s="45">
        <v>0</v>
      </c>
      <c r="T197" s="45">
        <v>34818</v>
      </c>
      <c r="U197" s="45">
        <v>8630</v>
      </c>
    </row>
    <row r="198" spans="1:21" ht="16.05" customHeight="1">
      <c r="A198" s="58" t="s">
        <v>1779</v>
      </c>
      <c r="B198" s="58" t="s">
        <v>1833</v>
      </c>
      <c r="C198" s="45">
        <v>102</v>
      </c>
      <c r="D198" s="45">
        <v>46344</v>
      </c>
      <c r="E198" s="45">
        <v>0</v>
      </c>
      <c r="F198" s="45">
        <v>38935</v>
      </c>
      <c r="G198" s="45">
        <v>0</v>
      </c>
      <c r="H198" s="45">
        <v>32267</v>
      </c>
      <c r="I198" s="45">
        <v>0</v>
      </c>
      <c r="J198" s="45">
        <v>25987</v>
      </c>
      <c r="K198" s="45">
        <v>0</v>
      </c>
      <c r="L198" s="45">
        <v>20636</v>
      </c>
      <c r="M198" s="45">
        <v>0</v>
      </c>
      <c r="N198" s="45">
        <v>15912</v>
      </c>
      <c r="O198" s="45">
        <v>0</v>
      </c>
      <c r="P198" s="45">
        <v>12040</v>
      </c>
      <c r="Q198" s="45">
        <v>0</v>
      </c>
      <c r="R198" s="45">
        <v>8916</v>
      </c>
      <c r="S198" s="45">
        <v>0</v>
      </c>
      <c r="T198" s="45">
        <v>14477</v>
      </c>
      <c r="U198" s="45">
        <v>7213</v>
      </c>
    </row>
    <row r="199" spans="1:21" ht="16.05" customHeight="1">
      <c r="A199" s="58" t="s">
        <v>1779</v>
      </c>
      <c r="B199" s="58" t="s">
        <v>1834</v>
      </c>
      <c r="C199" s="45">
        <v>78</v>
      </c>
      <c r="D199" s="45">
        <v>43499</v>
      </c>
      <c r="E199" s="45">
        <v>0</v>
      </c>
      <c r="F199" s="45">
        <v>36146</v>
      </c>
      <c r="G199" s="45">
        <v>0</v>
      </c>
      <c r="H199" s="45">
        <v>29562</v>
      </c>
      <c r="I199" s="45">
        <v>0</v>
      </c>
      <c r="J199" s="45">
        <v>23278</v>
      </c>
      <c r="K199" s="45">
        <v>0</v>
      </c>
      <c r="L199" s="45">
        <v>17603</v>
      </c>
      <c r="M199" s="45">
        <v>0</v>
      </c>
      <c r="N199" s="45">
        <v>13132</v>
      </c>
      <c r="O199" s="45">
        <v>0</v>
      </c>
      <c r="P199" s="45">
        <v>9344</v>
      </c>
      <c r="Q199" s="45">
        <v>0</v>
      </c>
      <c r="R199" s="45">
        <v>6237</v>
      </c>
      <c r="S199" s="45">
        <v>0</v>
      </c>
      <c r="T199" s="45">
        <v>7939</v>
      </c>
      <c r="U199" s="45">
        <v>7164</v>
      </c>
    </row>
    <row r="200" spans="1:21" ht="16.05" customHeight="1">
      <c r="A200" s="58" t="s">
        <v>1779</v>
      </c>
      <c r="B200" s="58" t="s">
        <v>1835</v>
      </c>
      <c r="C200" s="45">
        <v>93</v>
      </c>
      <c r="D200" s="45">
        <v>43048</v>
      </c>
      <c r="E200" s="45">
        <v>1</v>
      </c>
      <c r="F200" s="45">
        <v>36152</v>
      </c>
      <c r="G200" s="45">
        <v>0</v>
      </c>
      <c r="H200" s="45">
        <v>29623</v>
      </c>
      <c r="I200" s="45">
        <v>0</v>
      </c>
      <c r="J200" s="45">
        <v>24230</v>
      </c>
      <c r="K200" s="45">
        <v>0</v>
      </c>
      <c r="L200" s="45">
        <v>19200</v>
      </c>
      <c r="M200" s="45">
        <v>0</v>
      </c>
      <c r="N200" s="45">
        <v>15018</v>
      </c>
      <c r="O200" s="45">
        <v>0</v>
      </c>
      <c r="P200" s="45">
        <v>11380</v>
      </c>
      <c r="Q200" s="45">
        <v>0</v>
      </c>
      <c r="R200" s="45">
        <v>8259</v>
      </c>
      <c r="S200" s="45">
        <v>0</v>
      </c>
      <c r="T200" s="45">
        <v>12058</v>
      </c>
      <c r="U200" s="45">
        <v>6735</v>
      </c>
    </row>
    <row r="201" spans="1:21" ht="16.05" customHeight="1">
      <c r="A201" s="58" t="s">
        <v>1779</v>
      </c>
      <c r="B201" s="58" t="s">
        <v>1836</v>
      </c>
      <c r="C201" s="45">
        <v>110</v>
      </c>
      <c r="D201" s="45">
        <v>55858</v>
      </c>
      <c r="E201" s="45">
        <v>0</v>
      </c>
      <c r="F201" s="45">
        <v>47676</v>
      </c>
      <c r="G201" s="45">
        <v>0</v>
      </c>
      <c r="H201" s="45">
        <v>40702</v>
      </c>
      <c r="I201" s="45">
        <v>0</v>
      </c>
      <c r="J201" s="45">
        <v>33943</v>
      </c>
      <c r="K201" s="45">
        <v>0</v>
      </c>
      <c r="L201" s="45">
        <v>27830</v>
      </c>
      <c r="M201" s="45">
        <v>0</v>
      </c>
      <c r="N201" s="45">
        <v>22206</v>
      </c>
      <c r="O201" s="45">
        <v>0</v>
      </c>
      <c r="P201" s="45">
        <v>17231</v>
      </c>
      <c r="Q201" s="45">
        <v>0</v>
      </c>
      <c r="R201" s="45">
        <v>12750</v>
      </c>
      <c r="S201" s="45">
        <v>0</v>
      </c>
      <c r="T201" s="45">
        <v>25913</v>
      </c>
      <c r="U201" s="45">
        <v>7961</v>
      </c>
    </row>
    <row r="202" spans="1:21" ht="16.05" customHeight="1">
      <c r="A202" s="58" t="s">
        <v>1779</v>
      </c>
      <c r="B202" s="58" t="s">
        <v>1837</v>
      </c>
      <c r="C202" s="45">
        <v>100</v>
      </c>
      <c r="D202" s="45">
        <v>40173</v>
      </c>
      <c r="E202" s="45">
        <v>1</v>
      </c>
      <c r="F202" s="45">
        <v>33420</v>
      </c>
      <c r="G202" s="45">
        <v>0</v>
      </c>
      <c r="H202" s="45">
        <v>27391</v>
      </c>
      <c r="I202" s="45">
        <v>0</v>
      </c>
      <c r="J202" s="45">
        <v>21979</v>
      </c>
      <c r="K202" s="45">
        <v>0</v>
      </c>
      <c r="L202" s="45">
        <v>17084</v>
      </c>
      <c r="M202" s="45">
        <v>0</v>
      </c>
      <c r="N202" s="45">
        <v>12457</v>
      </c>
      <c r="O202" s="45">
        <v>0</v>
      </c>
      <c r="P202" s="45">
        <v>8820</v>
      </c>
      <c r="Q202" s="45">
        <v>0</v>
      </c>
      <c r="R202" s="45">
        <v>5977</v>
      </c>
      <c r="S202" s="45">
        <v>0</v>
      </c>
      <c r="T202" s="45">
        <v>8158</v>
      </c>
      <c r="U202" s="45">
        <v>6596</v>
      </c>
    </row>
    <row r="203" spans="1:21" ht="16.05" customHeight="1">
      <c r="A203" s="58" t="s">
        <v>1779</v>
      </c>
      <c r="B203" s="58" t="s">
        <v>1838</v>
      </c>
      <c r="C203" s="45">
        <v>38</v>
      </c>
      <c r="D203" s="45">
        <v>16836</v>
      </c>
      <c r="E203" s="45">
        <v>0</v>
      </c>
      <c r="F203" s="45">
        <v>12051</v>
      </c>
      <c r="G203" s="45">
        <v>0</v>
      </c>
      <c r="H203" s="45">
        <v>8953</v>
      </c>
      <c r="I203" s="45">
        <v>0</v>
      </c>
      <c r="J203" s="45">
        <v>6240</v>
      </c>
      <c r="K203" s="45">
        <v>0</v>
      </c>
      <c r="L203" s="45">
        <v>3848</v>
      </c>
      <c r="M203" s="45">
        <v>0</v>
      </c>
      <c r="N203" s="45">
        <v>1807</v>
      </c>
      <c r="O203" s="45">
        <v>0</v>
      </c>
      <c r="P203" s="45">
        <v>153</v>
      </c>
      <c r="Q203" s="45">
        <v>0</v>
      </c>
      <c r="R203" s="45">
        <v>0</v>
      </c>
      <c r="S203" s="45">
        <v>0</v>
      </c>
      <c r="T203" s="45">
        <v>0</v>
      </c>
      <c r="U203" s="45">
        <v>4699</v>
      </c>
    </row>
    <row r="204" spans="1:21" ht="16.05" customHeight="1">
      <c r="A204" s="58" t="s">
        <v>1779</v>
      </c>
      <c r="B204" s="58" t="s">
        <v>1839</v>
      </c>
      <c r="C204" s="45">
        <v>24</v>
      </c>
      <c r="D204" s="45">
        <v>7358</v>
      </c>
      <c r="E204" s="45">
        <v>0</v>
      </c>
      <c r="F204" s="45">
        <v>2969</v>
      </c>
      <c r="G204" s="45">
        <v>0</v>
      </c>
      <c r="H204" s="45">
        <v>647</v>
      </c>
      <c r="I204" s="45">
        <v>0</v>
      </c>
      <c r="J204" s="45">
        <v>0</v>
      </c>
      <c r="K204" s="45">
        <v>0</v>
      </c>
      <c r="L204" s="45">
        <v>0</v>
      </c>
      <c r="M204" s="45">
        <v>0</v>
      </c>
      <c r="N204" s="45">
        <v>0</v>
      </c>
      <c r="O204" s="45">
        <v>0</v>
      </c>
      <c r="P204" s="45">
        <v>0</v>
      </c>
      <c r="Q204" s="45">
        <v>0</v>
      </c>
      <c r="R204" s="45">
        <v>0</v>
      </c>
      <c r="S204" s="45">
        <v>0</v>
      </c>
      <c r="T204" s="45">
        <v>0</v>
      </c>
      <c r="U204" s="45">
        <v>4386</v>
      </c>
    </row>
    <row r="205" spans="1:21" ht="16.05" customHeight="1">
      <c r="A205" s="58" t="s">
        <v>1779</v>
      </c>
      <c r="B205" s="58" t="s">
        <v>1840</v>
      </c>
      <c r="C205" s="45">
        <v>22</v>
      </c>
      <c r="D205" s="45">
        <v>11353</v>
      </c>
      <c r="E205" s="45">
        <v>0</v>
      </c>
      <c r="F205" s="45">
        <v>8470</v>
      </c>
      <c r="G205" s="45">
        <v>0</v>
      </c>
      <c r="H205" s="45">
        <v>6228</v>
      </c>
      <c r="I205" s="45">
        <v>0</v>
      </c>
      <c r="J205" s="45">
        <v>4599</v>
      </c>
      <c r="K205" s="45">
        <v>0</v>
      </c>
      <c r="L205" s="45">
        <v>3177</v>
      </c>
      <c r="M205" s="45">
        <v>0</v>
      </c>
      <c r="N205" s="45">
        <v>2124</v>
      </c>
      <c r="O205" s="45">
        <v>0</v>
      </c>
      <c r="P205" s="45">
        <v>1215</v>
      </c>
      <c r="Q205" s="45">
        <v>0</v>
      </c>
      <c r="R205" s="45">
        <v>671</v>
      </c>
      <c r="S205" s="45">
        <v>0</v>
      </c>
      <c r="T205" s="45">
        <v>657</v>
      </c>
      <c r="U205" s="45">
        <v>2552</v>
      </c>
    </row>
    <row r="206" spans="1:21" ht="16.05" customHeight="1">
      <c r="A206" s="58" t="s">
        <v>1779</v>
      </c>
      <c r="B206" s="58" t="s">
        <v>1841</v>
      </c>
      <c r="C206" s="45">
        <v>87</v>
      </c>
      <c r="D206" s="45">
        <v>40237</v>
      </c>
      <c r="E206" s="45">
        <v>1</v>
      </c>
      <c r="F206" s="45">
        <v>32343</v>
      </c>
      <c r="G206" s="45">
        <v>0</v>
      </c>
      <c r="H206" s="45">
        <v>25057</v>
      </c>
      <c r="I206" s="45">
        <v>0</v>
      </c>
      <c r="J206" s="45">
        <v>19039</v>
      </c>
      <c r="K206" s="45">
        <v>0</v>
      </c>
      <c r="L206" s="45">
        <v>13575</v>
      </c>
      <c r="M206" s="45">
        <v>0</v>
      </c>
      <c r="N206" s="45">
        <v>8989</v>
      </c>
      <c r="O206" s="45">
        <v>0</v>
      </c>
      <c r="P206" s="45">
        <v>5555</v>
      </c>
      <c r="Q206" s="45">
        <v>0</v>
      </c>
      <c r="R206" s="45">
        <v>3162</v>
      </c>
      <c r="S206" s="45">
        <v>0</v>
      </c>
      <c r="T206" s="45">
        <v>2651</v>
      </c>
      <c r="U206" s="45">
        <v>7761</v>
      </c>
    </row>
    <row r="207" spans="1:21" ht="16.05" customHeight="1">
      <c r="A207" s="58" t="s">
        <v>1779</v>
      </c>
      <c r="B207" s="58" t="s">
        <v>1842</v>
      </c>
      <c r="C207" s="45">
        <v>111</v>
      </c>
      <c r="D207" s="45">
        <v>46172</v>
      </c>
      <c r="E207" s="45">
        <v>0</v>
      </c>
      <c r="F207" s="45">
        <v>36879</v>
      </c>
      <c r="G207" s="45">
        <v>0</v>
      </c>
      <c r="H207" s="45">
        <v>28318</v>
      </c>
      <c r="I207" s="45">
        <v>0</v>
      </c>
      <c r="J207" s="45">
        <v>20787</v>
      </c>
      <c r="K207" s="45">
        <v>0</v>
      </c>
      <c r="L207" s="45">
        <v>14076</v>
      </c>
      <c r="M207" s="45">
        <v>0</v>
      </c>
      <c r="N207" s="45">
        <v>9329</v>
      </c>
      <c r="O207" s="45">
        <v>0</v>
      </c>
      <c r="P207" s="45">
        <v>5473</v>
      </c>
      <c r="Q207" s="45">
        <v>0</v>
      </c>
      <c r="R207" s="45">
        <v>2897</v>
      </c>
      <c r="S207" s="45">
        <v>0</v>
      </c>
      <c r="T207" s="45">
        <v>2723</v>
      </c>
      <c r="U207" s="45">
        <v>9122</v>
      </c>
    </row>
    <row r="208" spans="1:21" ht="16.05" customHeight="1">
      <c r="A208" s="58" t="s">
        <v>1779</v>
      </c>
      <c r="B208" s="58" t="s">
        <v>1843</v>
      </c>
      <c r="C208" s="45">
        <v>106</v>
      </c>
      <c r="D208" s="45">
        <v>46755</v>
      </c>
      <c r="E208" s="45">
        <v>0</v>
      </c>
      <c r="F208" s="45">
        <v>38445</v>
      </c>
      <c r="G208" s="45">
        <v>0</v>
      </c>
      <c r="H208" s="45">
        <v>31910</v>
      </c>
      <c r="I208" s="45">
        <v>0</v>
      </c>
      <c r="J208" s="45">
        <v>26212</v>
      </c>
      <c r="K208" s="45">
        <v>0</v>
      </c>
      <c r="L208" s="45">
        <v>21271</v>
      </c>
      <c r="M208" s="45">
        <v>0</v>
      </c>
      <c r="N208" s="45">
        <v>16845</v>
      </c>
      <c r="O208" s="45">
        <v>0</v>
      </c>
      <c r="P208" s="45">
        <v>12791</v>
      </c>
      <c r="Q208" s="45">
        <v>0</v>
      </c>
      <c r="R208" s="45">
        <v>9138</v>
      </c>
      <c r="S208" s="45">
        <v>0</v>
      </c>
      <c r="T208" s="45">
        <v>11019</v>
      </c>
      <c r="U208" s="45">
        <v>8104</v>
      </c>
    </row>
    <row r="209" spans="1:21" ht="16.05" customHeight="1">
      <c r="A209" s="58" t="s">
        <v>1779</v>
      </c>
      <c r="B209" s="58" t="s">
        <v>1844</v>
      </c>
      <c r="C209" s="45">
        <v>188</v>
      </c>
      <c r="D209" s="45">
        <v>81867</v>
      </c>
      <c r="E209" s="45">
        <v>1</v>
      </c>
      <c r="F209" s="45">
        <v>71454</v>
      </c>
      <c r="G209" s="45">
        <v>0</v>
      </c>
      <c r="H209" s="45">
        <v>61701</v>
      </c>
      <c r="I209" s="45">
        <v>0</v>
      </c>
      <c r="J209" s="45">
        <v>52328</v>
      </c>
      <c r="K209" s="45">
        <v>0</v>
      </c>
      <c r="L209" s="45">
        <v>43500</v>
      </c>
      <c r="M209" s="45">
        <v>0</v>
      </c>
      <c r="N209" s="45">
        <v>35761</v>
      </c>
      <c r="O209" s="45">
        <v>0</v>
      </c>
      <c r="P209" s="45">
        <v>28795</v>
      </c>
      <c r="Q209" s="45">
        <v>0</v>
      </c>
      <c r="R209" s="45">
        <v>22623</v>
      </c>
      <c r="S209" s="45">
        <v>0</v>
      </c>
      <c r="T209" s="45">
        <v>57011</v>
      </c>
      <c r="U209" s="45">
        <v>10183</v>
      </c>
    </row>
    <row r="210" spans="1:21" ht="16.05" customHeight="1">
      <c r="A210" s="58" t="s">
        <v>1779</v>
      </c>
      <c r="B210" s="58" t="s">
        <v>1845</v>
      </c>
      <c r="C210" s="45">
        <v>212</v>
      </c>
      <c r="D210" s="45">
        <v>92498</v>
      </c>
      <c r="E210" s="45">
        <v>3</v>
      </c>
      <c r="F210" s="45">
        <v>81564</v>
      </c>
      <c r="G210" s="45">
        <v>0</v>
      </c>
      <c r="H210" s="45">
        <v>71357</v>
      </c>
      <c r="I210" s="45">
        <v>0</v>
      </c>
      <c r="J210" s="45">
        <v>61528</v>
      </c>
      <c r="K210" s="45">
        <v>0</v>
      </c>
      <c r="L210" s="45">
        <v>52396</v>
      </c>
      <c r="M210" s="45">
        <v>0</v>
      </c>
      <c r="N210" s="45">
        <v>44387</v>
      </c>
      <c r="O210" s="45">
        <v>0</v>
      </c>
      <c r="P210" s="45">
        <v>37109</v>
      </c>
      <c r="Q210" s="45">
        <v>0</v>
      </c>
      <c r="R210" s="45">
        <v>30246</v>
      </c>
      <c r="S210" s="45">
        <v>0</v>
      </c>
      <c r="T210" s="45">
        <v>90032</v>
      </c>
      <c r="U210" s="45">
        <v>10628</v>
      </c>
    </row>
    <row r="211" spans="1:21" ht="16.05" customHeight="1">
      <c r="A211" s="58" t="s">
        <v>1779</v>
      </c>
      <c r="B211" s="58" t="s">
        <v>1846</v>
      </c>
      <c r="C211" s="45">
        <v>192</v>
      </c>
      <c r="D211" s="45">
        <v>87055</v>
      </c>
      <c r="E211" s="45">
        <v>0</v>
      </c>
      <c r="F211" s="45">
        <v>76259</v>
      </c>
      <c r="G211" s="45">
        <v>0</v>
      </c>
      <c r="H211" s="45">
        <v>66206</v>
      </c>
      <c r="I211" s="45">
        <v>0</v>
      </c>
      <c r="J211" s="45">
        <v>56809</v>
      </c>
      <c r="K211" s="45">
        <v>0</v>
      </c>
      <c r="L211" s="45">
        <v>47668</v>
      </c>
      <c r="M211" s="45">
        <v>0</v>
      </c>
      <c r="N211" s="45">
        <v>39099</v>
      </c>
      <c r="O211" s="45">
        <v>0</v>
      </c>
      <c r="P211" s="45">
        <v>31361</v>
      </c>
      <c r="Q211" s="45">
        <v>0</v>
      </c>
      <c r="R211" s="45">
        <v>24381</v>
      </c>
      <c r="S211" s="45">
        <v>0</v>
      </c>
      <c r="T211" s="45">
        <v>58814</v>
      </c>
      <c r="U211" s="45">
        <v>10552</v>
      </c>
    </row>
    <row r="212" spans="1:21" ht="16.05" customHeight="1">
      <c r="A212" s="58" t="s">
        <v>1779</v>
      </c>
      <c r="B212" s="58" t="s">
        <v>1847</v>
      </c>
      <c r="C212" s="45">
        <v>111</v>
      </c>
      <c r="D212" s="45">
        <v>54202</v>
      </c>
      <c r="E212" s="45">
        <v>0</v>
      </c>
      <c r="F212" s="45">
        <v>43613</v>
      </c>
      <c r="G212" s="45">
        <v>0</v>
      </c>
      <c r="H212" s="45">
        <v>34665</v>
      </c>
      <c r="I212" s="45">
        <v>0</v>
      </c>
      <c r="J212" s="45">
        <v>26777</v>
      </c>
      <c r="K212" s="45">
        <v>0</v>
      </c>
      <c r="L212" s="45">
        <v>20509</v>
      </c>
      <c r="M212" s="45">
        <v>0</v>
      </c>
      <c r="N212" s="45">
        <v>14911</v>
      </c>
      <c r="O212" s="45">
        <v>0</v>
      </c>
      <c r="P212" s="45">
        <v>10419</v>
      </c>
      <c r="Q212" s="45">
        <v>0</v>
      </c>
      <c r="R212" s="45">
        <v>6788</v>
      </c>
      <c r="S212" s="45">
        <v>0</v>
      </c>
      <c r="T212" s="45">
        <v>7506</v>
      </c>
      <c r="U212" s="45">
        <v>10408</v>
      </c>
    </row>
    <row r="213" spans="1:21" ht="16.05" customHeight="1">
      <c r="A213" s="58" t="s">
        <v>1779</v>
      </c>
      <c r="B213" s="58" t="s">
        <v>1848</v>
      </c>
      <c r="C213" s="45">
        <v>192</v>
      </c>
      <c r="D213" s="45">
        <v>73411</v>
      </c>
      <c r="E213" s="45">
        <v>1</v>
      </c>
      <c r="F213" s="45">
        <v>62993</v>
      </c>
      <c r="G213" s="45">
        <v>0</v>
      </c>
      <c r="H213" s="45">
        <v>53525</v>
      </c>
      <c r="I213" s="45">
        <v>0</v>
      </c>
      <c r="J213" s="45">
        <v>44504</v>
      </c>
      <c r="K213" s="45">
        <v>0</v>
      </c>
      <c r="L213" s="45">
        <v>36234</v>
      </c>
      <c r="M213" s="45">
        <v>0</v>
      </c>
      <c r="N213" s="45">
        <v>29340</v>
      </c>
      <c r="O213" s="45">
        <v>0</v>
      </c>
      <c r="P213" s="45">
        <v>23454</v>
      </c>
      <c r="Q213" s="45">
        <v>0</v>
      </c>
      <c r="R213" s="45">
        <v>18498</v>
      </c>
      <c r="S213" s="45">
        <v>0</v>
      </c>
      <c r="T213" s="45">
        <v>40720</v>
      </c>
      <c r="U213" s="45">
        <v>10204</v>
      </c>
    </row>
    <row r="214" spans="1:21" ht="16.05" customHeight="1">
      <c r="A214" s="58" t="s">
        <v>1779</v>
      </c>
      <c r="B214" s="58" t="s">
        <v>1849</v>
      </c>
      <c r="C214" s="45">
        <v>133</v>
      </c>
      <c r="D214" s="45">
        <v>53473</v>
      </c>
      <c r="E214" s="45">
        <v>3</v>
      </c>
      <c r="F214" s="45">
        <v>43315</v>
      </c>
      <c r="G214" s="45">
        <v>0</v>
      </c>
      <c r="H214" s="45">
        <v>34676</v>
      </c>
      <c r="I214" s="45">
        <v>0</v>
      </c>
      <c r="J214" s="45">
        <v>26977</v>
      </c>
      <c r="K214" s="45">
        <v>0</v>
      </c>
      <c r="L214" s="45">
        <v>19939</v>
      </c>
      <c r="M214" s="45">
        <v>0</v>
      </c>
      <c r="N214" s="45">
        <v>14564</v>
      </c>
      <c r="O214" s="45">
        <v>0</v>
      </c>
      <c r="P214" s="45">
        <v>10147</v>
      </c>
      <c r="Q214" s="45">
        <v>0</v>
      </c>
      <c r="R214" s="45">
        <v>6516</v>
      </c>
      <c r="S214" s="45">
        <v>0</v>
      </c>
      <c r="T214" s="45">
        <v>7225</v>
      </c>
      <c r="U214" s="45">
        <v>9904</v>
      </c>
    </row>
    <row r="215" spans="1:21" ht="16.05" customHeight="1">
      <c r="A215" s="58" t="s">
        <v>1779</v>
      </c>
      <c r="B215" s="58" t="s">
        <v>1850</v>
      </c>
      <c r="C215" s="45">
        <v>165</v>
      </c>
      <c r="D215" s="45">
        <v>68507</v>
      </c>
      <c r="E215" s="45">
        <v>1</v>
      </c>
      <c r="F215" s="45">
        <v>59289</v>
      </c>
      <c r="G215" s="45">
        <v>0</v>
      </c>
      <c r="H215" s="45">
        <v>51075</v>
      </c>
      <c r="I215" s="45">
        <v>0</v>
      </c>
      <c r="J215" s="45">
        <v>44303</v>
      </c>
      <c r="K215" s="45">
        <v>0</v>
      </c>
      <c r="L215" s="45">
        <v>37749</v>
      </c>
      <c r="M215" s="45">
        <v>0</v>
      </c>
      <c r="N215" s="45">
        <v>32034</v>
      </c>
      <c r="O215" s="45">
        <v>0</v>
      </c>
      <c r="P215" s="45">
        <v>26779</v>
      </c>
      <c r="Q215" s="45">
        <v>0</v>
      </c>
      <c r="R215" s="45">
        <v>22142</v>
      </c>
      <c r="S215" s="45">
        <v>0</v>
      </c>
      <c r="T215" s="45">
        <v>60799</v>
      </c>
      <c r="U215" s="45">
        <v>8996</v>
      </c>
    </row>
    <row r="216" spans="1:21" ht="16.05" customHeight="1">
      <c r="A216" s="58" t="s">
        <v>1779</v>
      </c>
      <c r="B216" s="58" t="s">
        <v>1851</v>
      </c>
      <c r="C216" s="45">
        <v>132</v>
      </c>
      <c r="D216" s="45">
        <v>52825</v>
      </c>
      <c r="E216" s="45">
        <v>2</v>
      </c>
      <c r="F216" s="45">
        <v>43167</v>
      </c>
      <c r="G216" s="45">
        <v>0</v>
      </c>
      <c r="H216" s="45">
        <v>34417</v>
      </c>
      <c r="I216" s="45">
        <v>0</v>
      </c>
      <c r="J216" s="45">
        <v>26956</v>
      </c>
      <c r="K216" s="45">
        <v>0</v>
      </c>
      <c r="L216" s="45">
        <v>20904</v>
      </c>
      <c r="M216" s="45">
        <v>0</v>
      </c>
      <c r="N216" s="45">
        <v>16380</v>
      </c>
      <c r="O216" s="45">
        <v>0</v>
      </c>
      <c r="P216" s="45">
        <v>12425</v>
      </c>
      <c r="Q216" s="45">
        <v>0</v>
      </c>
      <c r="R216" s="45">
        <v>8719</v>
      </c>
      <c r="S216" s="45">
        <v>0</v>
      </c>
      <c r="T216" s="45">
        <v>10701</v>
      </c>
      <c r="U216" s="45">
        <v>9510</v>
      </c>
    </row>
    <row r="217" spans="1:21" ht="16.05" customHeight="1">
      <c r="A217" s="58" t="s">
        <v>1779</v>
      </c>
      <c r="B217" s="58" t="s">
        <v>1852</v>
      </c>
      <c r="C217" s="45">
        <v>181</v>
      </c>
      <c r="D217" s="45">
        <v>63419</v>
      </c>
      <c r="E217" s="45">
        <v>3</v>
      </c>
      <c r="F217" s="45">
        <v>52939</v>
      </c>
      <c r="G217" s="45">
        <v>0</v>
      </c>
      <c r="H217" s="45">
        <v>43346</v>
      </c>
      <c r="I217" s="45">
        <v>0</v>
      </c>
      <c r="J217" s="45">
        <v>34707</v>
      </c>
      <c r="K217" s="45">
        <v>0</v>
      </c>
      <c r="L217" s="45">
        <v>27142</v>
      </c>
      <c r="M217" s="45">
        <v>0</v>
      </c>
      <c r="N217" s="45">
        <v>20326</v>
      </c>
      <c r="O217" s="45">
        <v>0</v>
      </c>
      <c r="P217" s="45">
        <v>14892</v>
      </c>
      <c r="Q217" s="45">
        <v>0</v>
      </c>
      <c r="R217" s="45">
        <v>10543</v>
      </c>
      <c r="S217" s="45">
        <v>0</v>
      </c>
      <c r="T217" s="45">
        <v>16551</v>
      </c>
      <c r="U217" s="45">
        <v>10236</v>
      </c>
    </row>
    <row r="218" spans="1:21" ht="16.05" customHeight="1">
      <c r="A218" s="58" t="s">
        <v>1779</v>
      </c>
      <c r="B218" s="58" t="s">
        <v>1853</v>
      </c>
      <c r="C218" s="45">
        <v>161</v>
      </c>
      <c r="D218" s="45">
        <v>66233</v>
      </c>
      <c r="E218" s="45">
        <v>1</v>
      </c>
      <c r="F218" s="45">
        <v>56103</v>
      </c>
      <c r="G218" s="45">
        <v>0</v>
      </c>
      <c r="H218" s="45">
        <v>46970</v>
      </c>
      <c r="I218" s="45">
        <v>0</v>
      </c>
      <c r="J218" s="45">
        <v>38780</v>
      </c>
      <c r="K218" s="45">
        <v>0</v>
      </c>
      <c r="L218" s="45">
        <v>31235</v>
      </c>
      <c r="M218" s="45">
        <v>0</v>
      </c>
      <c r="N218" s="45">
        <v>24129</v>
      </c>
      <c r="O218" s="45">
        <v>0</v>
      </c>
      <c r="P218" s="45">
        <v>18130</v>
      </c>
      <c r="Q218" s="45">
        <v>0</v>
      </c>
      <c r="R218" s="45">
        <v>12930</v>
      </c>
      <c r="S218" s="45">
        <v>0</v>
      </c>
      <c r="T218" s="45">
        <v>23944</v>
      </c>
      <c r="U218" s="45">
        <v>9883</v>
      </c>
    </row>
    <row r="219" spans="1:21" ht="16.05" customHeight="1">
      <c r="A219" s="58" t="s">
        <v>1779</v>
      </c>
      <c r="B219" s="58" t="s">
        <v>1854</v>
      </c>
      <c r="C219" s="45">
        <v>232</v>
      </c>
      <c r="D219" s="45">
        <v>100186</v>
      </c>
      <c r="E219" s="45">
        <v>0</v>
      </c>
      <c r="F219" s="45">
        <v>89201</v>
      </c>
      <c r="G219" s="45">
        <v>0</v>
      </c>
      <c r="H219" s="45">
        <v>79036</v>
      </c>
      <c r="I219" s="45">
        <v>0</v>
      </c>
      <c r="J219" s="45">
        <v>70173</v>
      </c>
      <c r="K219" s="45">
        <v>0</v>
      </c>
      <c r="L219" s="45">
        <v>61641</v>
      </c>
      <c r="M219" s="45">
        <v>0</v>
      </c>
      <c r="N219" s="45">
        <v>53439</v>
      </c>
      <c r="O219" s="45">
        <v>0</v>
      </c>
      <c r="P219" s="45">
        <v>45663</v>
      </c>
      <c r="Q219" s="45">
        <v>0</v>
      </c>
      <c r="R219" s="45">
        <v>38163</v>
      </c>
      <c r="S219" s="45">
        <v>0</v>
      </c>
      <c r="T219" s="45">
        <v>134179</v>
      </c>
      <c r="U219" s="45">
        <v>10647</v>
      </c>
    </row>
    <row r="220" spans="1:21" ht="16.05" customHeight="1">
      <c r="A220" s="58" t="s">
        <v>1779</v>
      </c>
      <c r="B220" s="58" t="s">
        <v>1855</v>
      </c>
      <c r="C220" s="45">
        <v>168</v>
      </c>
      <c r="D220" s="45">
        <v>65397</v>
      </c>
      <c r="E220" s="45">
        <v>0</v>
      </c>
      <c r="F220" s="45">
        <v>55026</v>
      </c>
      <c r="G220" s="45">
        <v>0</v>
      </c>
      <c r="H220" s="45">
        <v>46073</v>
      </c>
      <c r="I220" s="45">
        <v>0</v>
      </c>
      <c r="J220" s="45">
        <v>37650</v>
      </c>
      <c r="K220" s="45">
        <v>0</v>
      </c>
      <c r="L220" s="45">
        <v>30388</v>
      </c>
      <c r="M220" s="45">
        <v>0</v>
      </c>
      <c r="N220" s="45">
        <v>24027</v>
      </c>
      <c r="O220" s="45">
        <v>0</v>
      </c>
      <c r="P220" s="45">
        <v>18386</v>
      </c>
      <c r="Q220" s="45">
        <v>0</v>
      </c>
      <c r="R220" s="45">
        <v>14110</v>
      </c>
      <c r="S220" s="45">
        <v>0</v>
      </c>
      <c r="T220" s="45">
        <v>25399</v>
      </c>
      <c r="U220" s="45">
        <v>10090</v>
      </c>
    </row>
    <row r="221" spans="1:21" ht="16.05" customHeight="1">
      <c r="A221" s="58" t="s">
        <v>1779</v>
      </c>
      <c r="B221" s="58" t="s">
        <v>1856</v>
      </c>
      <c r="C221" s="45">
        <v>217</v>
      </c>
      <c r="D221" s="45">
        <v>85545</v>
      </c>
      <c r="E221" s="45">
        <v>1</v>
      </c>
      <c r="F221" s="45">
        <v>74963</v>
      </c>
      <c r="G221" s="45">
        <v>0</v>
      </c>
      <c r="H221" s="45">
        <v>65642</v>
      </c>
      <c r="I221" s="45">
        <v>0</v>
      </c>
      <c r="J221" s="45">
        <v>56970</v>
      </c>
      <c r="K221" s="45">
        <v>0</v>
      </c>
      <c r="L221" s="45">
        <v>48716</v>
      </c>
      <c r="M221" s="45">
        <v>0</v>
      </c>
      <c r="N221" s="45">
        <v>41049</v>
      </c>
      <c r="O221" s="45">
        <v>0</v>
      </c>
      <c r="P221" s="45">
        <v>34700</v>
      </c>
      <c r="Q221" s="45">
        <v>0</v>
      </c>
      <c r="R221" s="45">
        <v>28685</v>
      </c>
      <c r="S221" s="45">
        <v>0</v>
      </c>
      <c r="T221" s="45">
        <v>85968</v>
      </c>
      <c r="U221" s="45">
        <v>10361</v>
      </c>
    </row>
    <row r="222" spans="1:21" ht="16.05" customHeight="1">
      <c r="A222" s="58" t="s">
        <v>1779</v>
      </c>
      <c r="B222" s="58" t="s">
        <v>1857</v>
      </c>
      <c r="C222" s="45">
        <v>195</v>
      </c>
      <c r="D222" s="45">
        <v>79266</v>
      </c>
      <c r="E222" s="45">
        <v>1</v>
      </c>
      <c r="F222" s="45">
        <v>69131</v>
      </c>
      <c r="G222" s="45">
        <v>0</v>
      </c>
      <c r="H222" s="45">
        <v>60121</v>
      </c>
      <c r="I222" s="45">
        <v>0</v>
      </c>
      <c r="J222" s="45">
        <v>52134</v>
      </c>
      <c r="K222" s="45">
        <v>0</v>
      </c>
      <c r="L222" s="45">
        <v>44563</v>
      </c>
      <c r="M222" s="45">
        <v>0</v>
      </c>
      <c r="N222" s="45">
        <v>37576</v>
      </c>
      <c r="O222" s="45">
        <v>0</v>
      </c>
      <c r="P222" s="45">
        <v>30948</v>
      </c>
      <c r="Q222" s="45">
        <v>0</v>
      </c>
      <c r="R222" s="45">
        <v>25233</v>
      </c>
      <c r="S222" s="45">
        <v>0</v>
      </c>
      <c r="T222" s="45">
        <v>72710</v>
      </c>
      <c r="U222" s="45">
        <v>9893</v>
      </c>
    </row>
    <row r="223" spans="1:21" ht="16.05" customHeight="1">
      <c r="A223" s="58" t="s">
        <v>1779</v>
      </c>
      <c r="B223" s="58" t="s">
        <v>1858</v>
      </c>
      <c r="C223" s="45">
        <v>181</v>
      </c>
      <c r="D223" s="45">
        <v>65347</v>
      </c>
      <c r="E223" s="45">
        <v>0</v>
      </c>
      <c r="F223" s="45">
        <v>55664</v>
      </c>
      <c r="G223" s="45">
        <v>0</v>
      </c>
      <c r="H223" s="45">
        <v>46930</v>
      </c>
      <c r="I223" s="45">
        <v>0</v>
      </c>
      <c r="J223" s="45">
        <v>39002</v>
      </c>
      <c r="K223" s="45">
        <v>0</v>
      </c>
      <c r="L223" s="45">
        <v>31837</v>
      </c>
      <c r="M223" s="45">
        <v>0</v>
      </c>
      <c r="N223" s="45">
        <v>25473</v>
      </c>
      <c r="O223" s="45">
        <v>0</v>
      </c>
      <c r="P223" s="45">
        <v>20078</v>
      </c>
      <c r="Q223" s="45">
        <v>0</v>
      </c>
      <c r="R223" s="45">
        <v>15418</v>
      </c>
      <c r="S223" s="45">
        <v>0</v>
      </c>
      <c r="T223" s="45">
        <v>29537</v>
      </c>
      <c r="U223" s="45">
        <v>9494</v>
      </c>
    </row>
    <row r="224" spans="1:21" ht="16.05" customHeight="1">
      <c r="A224" s="58" t="s">
        <v>1779</v>
      </c>
      <c r="B224" s="58" t="s">
        <v>1859</v>
      </c>
      <c r="C224" s="45">
        <v>102</v>
      </c>
      <c r="D224" s="45">
        <v>48846</v>
      </c>
      <c r="E224" s="45">
        <v>1</v>
      </c>
      <c r="F224" s="45">
        <v>39099</v>
      </c>
      <c r="G224" s="45">
        <v>0</v>
      </c>
      <c r="H224" s="45">
        <v>30717</v>
      </c>
      <c r="I224" s="45">
        <v>0</v>
      </c>
      <c r="J224" s="45">
        <v>22780</v>
      </c>
      <c r="K224" s="45">
        <v>0</v>
      </c>
      <c r="L224" s="45">
        <v>15780</v>
      </c>
      <c r="M224" s="45">
        <v>0</v>
      </c>
      <c r="N224" s="45">
        <v>9614</v>
      </c>
      <c r="O224" s="45">
        <v>0</v>
      </c>
      <c r="P224" s="45">
        <v>4722</v>
      </c>
      <c r="Q224" s="45">
        <v>0</v>
      </c>
      <c r="R224" s="45">
        <v>2385</v>
      </c>
      <c r="S224" s="45">
        <v>0</v>
      </c>
      <c r="T224" s="45">
        <v>3100</v>
      </c>
      <c r="U224" s="45">
        <v>9554</v>
      </c>
    </row>
    <row r="225" spans="1:21" ht="16.05" customHeight="1">
      <c r="A225" s="58" t="s">
        <v>1779</v>
      </c>
      <c r="B225" s="58" t="s">
        <v>1860</v>
      </c>
      <c r="C225" s="45">
        <v>207</v>
      </c>
      <c r="D225" s="45">
        <v>75313</v>
      </c>
      <c r="E225" s="45">
        <v>1</v>
      </c>
      <c r="F225" s="45">
        <v>64998</v>
      </c>
      <c r="G225" s="45">
        <v>0</v>
      </c>
      <c r="H225" s="45">
        <v>55740</v>
      </c>
      <c r="I225" s="45">
        <v>0</v>
      </c>
      <c r="J225" s="45">
        <v>47058</v>
      </c>
      <c r="K225" s="45">
        <v>0</v>
      </c>
      <c r="L225" s="45">
        <v>38640</v>
      </c>
      <c r="M225" s="45">
        <v>0</v>
      </c>
      <c r="N225" s="45">
        <v>30732</v>
      </c>
      <c r="O225" s="45">
        <v>0</v>
      </c>
      <c r="P225" s="45">
        <v>23581</v>
      </c>
      <c r="Q225" s="45">
        <v>0</v>
      </c>
      <c r="R225" s="45">
        <v>17369</v>
      </c>
      <c r="S225" s="45">
        <v>0</v>
      </c>
      <c r="T225" s="45">
        <v>35311</v>
      </c>
      <c r="U225" s="45">
        <v>10049</v>
      </c>
    </row>
    <row r="226" spans="1:21" ht="16.05" customHeight="1">
      <c r="A226" s="58" t="s">
        <v>1779</v>
      </c>
      <c r="B226" s="58" t="s">
        <v>1861</v>
      </c>
      <c r="C226" s="45">
        <v>195</v>
      </c>
      <c r="D226" s="45">
        <v>71639</v>
      </c>
      <c r="E226" s="45">
        <v>0</v>
      </c>
      <c r="F226" s="45">
        <v>61571</v>
      </c>
      <c r="G226" s="45">
        <v>0</v>
      </c>
      <c r="H226" s="45">
        <v>52503</v>
      </c>
      <c r="I226" s="45">
        <v>0</v>
      </c>
      <c r="J226" s="45">
        <v>43832</v>
      </c>
      <c r="K226" s="45">
        <v>0</v>
      </c>
      <c r="L226" s="45">
        <v>35770</v>
      </c>
      <c r="M226" s="45">
        <v>0</v>
      </c>
      <c r="N226" s="45">
        <v>29292</v>
      </c>
      <c r="O226" s="45">
        <v>0</v>
      </c>
      <c r="P226" s="45">
        <v>23721</v>
      </c>
      <c r="Q226" s="45">
        <v>0</v>
      </c>
      <c r="R226" s="45">
        <v>18733</v>
      </c>
      <c r="S226" s="45">
        <v>0</v>
      </c>
      <c r="T226" s="45">
        <v>41385</v>
      </c>
      <c r="U226" s="45">
        <v>9802</v>
      </c>
    </row>
    <row r="227" spans="1:21" ht="16.05" customHeight="1">
      <c r="A227" s="58" t="s">
        <v>1779</v>
      </c>
      <c r="B227" s="58" t="s">
        <v>1862</v>
      </c>
      <c r="C227" s="45">
        <v>221</v>
      </c>
      <c r="D227" s="45">
        <v>87859</v>
      </c>
      <c r="E227" s="45">
        <v>0</v>
      </c>
      <c r="F227" s="45">
        <v>78053</v>
      </c>
      <c r="G227" s="45">
        <v>0</v>
      </c>
      <c r="H227" s="45">
        <v>68771</v>
      </c>
      <c r="I227" s="45">
        <v>0</v>
      </c>
      <c r="J227" s="45">
        <v>60331</v>
      </c>
      <c r="K227" s="45">
        <v>0</v>
      </c>
      <c r="L227" s="45">
        <v>52448</v>
      </c>
      <c r="M227" s="45">
        <v>0</v>
      </c>
      <c r="N227" s="45">
        <v>45363</v>
      </c>
      <c r="O227" s="45">
        <v>0</v>
      </c>
      <c r="P227" s="45">
        <v>38579</v>
      </c>
      <c r="Q227" s="45">
        <v>0</v>
      </c>
      <c r="R227" s="45">
        <v>32392</v>
      </c>
      <c r="S227" s="45">
        <v>0</v>
      </c>
      <c r="T227" s="45">
        <v>111718</v>
      </c>
      <c r="U227" s="45">
        <v>9500</v>
      </c>
    </row>
    <row r="228" spans="1:21" ht="16.05" customHeight="1">
      <c r="A228" s="58" t="s">
        <v>1779</v>
      </c>
      <c r="B228" s="58" t="s">
        <v>1863</v>
      </c>
      <c r="C228" s="45">
        <v>179</v>
      </c>
      <c r="D228" s="45">
        <v>85201</v>
      </c>
      <c r="E228" s="45">
        <v>0</v>
      </c>
      <c r="F228" s="45">
        <v>75392</v>
      </c>
      <c r="G228" s="45">
        <v>0</v>
      </c>
      <c r="H228" s="45">
        <v>66567</v>
      </c>
      <c r="I228" s="45">
        <v>0</v>
      </c>
      <c r="J228" s="45">
        <v>58102</v>
      </c>
      <c r="K228" s="45">
        <v>0</v>
      </c>
      <c r="L228" s="45">
        <v>50406</v>
      </c>
      <c r="M228" s="45">
        <v>0</v>
      </c>
      <c r="N228" s="45">
        <v>43573</v>
      </c>
      <c r="O228" s="45">
        <v>0</v>
      </c>
      <c r="P228" s="45">
        <v>37690</v>
      </c>
      <c r="Q228" s="45">
        <v>0</v>
      </c>
      <c r="R228" s="45">
        <v>32164</v>
      </c>
      <c r="S228" s="45">
        <v>0</v>
      </c>
      <c r="T228" s="45">
        <v>117412</v>
      </c>
      <c r="U228" s="45">
        <v>9504</v>
      </c>
    </row>
    <row r="229" spans="1:21" ht="16.05" customHeight="1">
      <c r="A229" s="58" t="s">
        <v>1779</v>
      </c>
      <c r="B229" s="58" t="s">
        <v>1864</v>
      </c>
      <c r="C229" s="45">
        <v>181</v>
      </c>
      <c r="D229" s="45">
        <v>68890</v>
      </c>
      <c r="E229" s="45">
        <v>2</v>
      </c>
      <c r="F229" s="45">
        <v>59354</v>
      </c>
      <c r="G229" s="45">
        <v>0</v>
      </c>
      <c r="H229" s="45">
        <v>50452</v>
      </c>
      <c r="I229" s="45">
        <v>0</v>
      </c>
      <c r="J229" s="45">
        <v>41895</v>
      </c>
      <c r="K229" s="45">
        <v>0</v>
      </c>
      <c r="L229" s="45">
        <v>34145</v>
      </c>
      <c r="M229" s="45">
        <v>0</v>
      </c>
      <c r="N229" s="45">
        <v>27242</v>
      </c>
      <c r="O229" s="45">
        <v>0</v>
      </c>
      <c r="P229" s="45">
        <v>21135</v>
      </c>
      <c r="Q229" s="45">
        <v>0</v>
      </c>
      <c r="R229" s="45">
        <v>15969</v>
      </c>
      <c r="S229" s="45">
        <v>0</v>
      </c>
      <c r="T229" s="45">
        <v>32785</v>
      </c>
      <c r="U229" s="45">
        <v>9292</v>
      </c>
    </row>
    <row r="230" spans="1:21" ht="16.05" customHeight="1">
      <c r="A230" s="58" t="s">
        <v>1779</v>
      </c>
      <c r="B230" s="58" t="s">
        <v>1865</v>
      </c>
      <c r="C230" s="45">
        <v>228</v>
      </c>
      <c r="D230" s="45">
        <v>90979</v>
      </c>
      <c r="E230" s="45">
        <v>3</v>
      </c>
      <c r="F230" s="45">
        <v>79617</v>
      </c>
      <c r="G230" s="45">
        <v>0</v>
      </c>
      <c r="H230" s="45">
        <v>69521</v>
      </c>
      <c r="I230" s="45">
        <v>0</v>
      </c>
      <c r="J230" s="45">
        <v>60331</v>
      </c>
      <c r="K230" s="45">
        <v>0</v>
      </c>
      <c r="L230" s="45">
        <v>51544</v>
      </c>
      <c r="M230" s="45">
        <v>0</v>
      </c>
      <c r="N230" s="45">
        <v>43064</v>
      </c>
      <c r="O230" s="45">
        <v>0</v>
      </c>
      <c r="P230" s="45">
        <v>35510</v>
      </c>
      <c r="Q230" s="45">
        <v>0</v>
      </c>
      <c r="R230" s="45">
        <v>28629</v>
      </c>
      <c r="S230" s="45">
        <v>0</v>
      </c>
      <c r="T230" s="45">
        <v>83581</v>
      </c>
      <c r="U230" s="45">
        <v>10998</v>
      </c>
    </row>
    <row r="231" spans="1:21" ht="16.05" customHeight="1">
      <c r="A231" s="58" t="s">
        <v>1779</v>
      </c>
      <c r="B231" s="58" t="s">
        <v>1866</v>
      </c>
      <c r="C231" s="45">
        <v>143</v>
      </c>
      <c r="D231" s="45">
        <v>68953</v>
      </c>
      <c r="E231" s="45">
        <v>1</v>
      </c>
      <c r="F231" s="45">
        <v>59695</v>
      </c>
      <c r="G231" s="45">
        <v>0</v>
      </c>
      <c r="H231" s="45">
        <v>51486</v>
      </c>
      <c r="I231" s="45">
        <v>0</v>
      </c>
      <c r="J231" s="45">
        <v>43752</v>
      </c>
      <c r="K231" s="45">
        <v>0</v>
      </c>
      <c r="L231" s="45">
        <v>36592</v>
      </c>
      <c r="M231" s="45">
        <v>0</v>
      </c>
      <c r="N231" s="45">
        <v>30249</v>
      </c>
      <c r="O231" s="45">
        <v>0</v>
      </c>
      <c r="P231" s="45">
        <v>24349</v>
      </c>
      <c r="Q231" s="45">
        <v>0</v>
      </c>
      <c r="R231" s="45">
        <v>19332</v>
      </c>
      <c r="S231" s="45">
        <v>0</v>
      </c>
      <c r="T231" s="45">
        <v>47088</v>
      </c>
      <c r="U231" s="45">
        <v>8998</v>
      </c>
    </row>
    <row r="232" spans="1:21" ht="16.05" customHeight="1">
      <c r="A232" s="58" t="s">
        <v>1779</v>
      </c>
      <c r="B232" s="58" t="s">
        <v>1867</v>
      </c>
      <c r="C232" s="45">
        <v>74</v>
      </c>
      <c r="D232" s="45">
        <v>23889</v>
      </c>
      <c r="E232" s="45">
        <v>0</v>
      </c>
      <c r="F232" s="45">
        <v>15803</v>
      </c>
      <c r="G232" s="45">
        <v>0</v>
      </c>
      <c r="H232" s="45">
        <v>8225</v>
      </c>
      <c r="I232" s="45">
        <v>0</v>
      </c>
      <c r="J232" s="45">
        <v>4634</v>
      </c>
      <c r="K232" s="45">
        <v>0</v>
      </c>
      <c r="L232" s="45">
        <v>2141</v>
      </c>
      <c r="M232" s="45">
        <v>0</v>
      </c>
      <c r="N232" s="45">
        <v>185</v>
      </c>
      <c r="O232" s="45">
        <v>0</v>
      </c>
      <c r="P232" s="45">
        <v>75</v>
      </c>
      <c r="Q232" s="45">
        <v>0</v>
      </c>
      <c r="R232" s="45">
        <v>0</v>
      </c>
      <c r="S232" s="45">
        <v>0</v>
      </c>
      <c r="T232" s="45">
        <v>0</v>
      </c>
      <c r="U232" s="45">
        <v>8032</v>
      </c>
    </row>
    <row r="233" spans="1:21" ht="16.05" customHeight="1">
      <c r="A233" s="58" t="s">
        <v>1779</v>
      </c>
      <c r="B233" s="58" t="s">
        <v>1868</v>
      </c>
      <c r="C233" s="45">
        <v>66</v>
      </c>
      <c r="D233" s="45">
        <v>27241</v>
      </c>
      <c r="E233" s="45">
        <v>0</v>
      </c>
      <c r="F233" s="45">
        <v>20284</v>
      </c>
      <c r="G233" s="45">
        <v>0</v>
      </c>
      <c r="H233" s="45">
        <v>13865</v>
      </c>
      <c r="I233" s="45">
        <v>0</v>
      </c>
      <c r="J233" s="45">
        <v>8746</v>
      </c>
      <c r="K233" s="45">
        <v>0</v>
      </c>
      <c r="L233" s="45">
        <v>4450</v>
      </c>
      <c r="M233" s="45">
        <v>0</v>
      </c>
      <c r="N233" s="45">
        <v>2270</v>
      </c>
      <c r="O233" s="45">
        <v>0</v>
      </c>
      <c r="P233" s="45">
        <v>851</v>
      </c>
      <c r="Q233" s="45">
        <v>0</v>
      </c>
      <c r="R233" s="45">
        <v>396</v>
      </c>
      <c r="S233" s="45">
        <v>0</v>
      </c>
      <c r="T233" s="45">
        <v>182</v>
      </c>
      <c r="U233" s="45">
        <v>6807</v>
      </c>
    </row>
    <row r="234" spans="1:21" ht="16.05" customHeight="1">
      <c r="A234" s="58" t="s">
        <v>1779</v>
      </c>
      <c r="B234" s="58" t="s">
        <v>1869</v>
      </c>
      <c r="C234" s="45">
        <v>21</v>
      </c>
      <c r="D234" s="45">
        <v>8204</v>
      </c>
      <c r="E234" s="45">
        <v>0</v>
      </c>
      <c r="F234" s="45">
        <v>4017</v>
      </c>
      <c r="G234" s="45">
        <v>0</v>
      </c>
      <c r="H234" s="45">
        <v>1881</v>
      </c>
      <c r="I234" s="45">
        <v>0</v>
      </c>
      <c r="J234" s="45">
        <v>148</v>
      </c>
      <c r="K234" s="45">
        <v>0</v>
      </c>
      <c r="L234" s="45">
        <v>0</v>
      </c>
      <c r="M234" s="45">
        <v>0</v>
      </c>
      <c r="N234" s="45">
        <v>0</v>
      </c>
      <c r="O234" s="45">
        <v>0</v>
      </c>
      <c r="P234" s="45">
        <v>0</v>
      </c>
      <c r="Q234" s="45">
        <v>0</v>
      </c>
      <c r="R234" s="45">
        <v>0</v>
      </c>
      <c r="S234" s="45">
        <v>0</v>
      </c>
      <c r="T234" s="45">
        <v>0</v>
      </c>
      <c r="U234" s="45">
        <v>4176</v>
      </c>
    </row>
    <row r="235" spans="1:21" ht="16.05" customHeight="1">
      <c r="A235" s="58" t="s">
        <v>1779</v>
      </c>
      <c r="B235" s="58" t="s">
        <v>1870</v>
      </c>
      <c r="C235" s="45">
        <v>31</v>
      </c>
      <c r="D235" s="45">
        <v>16560</v>
      </c>
      <c r="E235" s="45">
        <v>0</v>
      </c>
      <c r="F235" s="45">
        <v>12777</v>
      </c>
      <c r="G235" s="45">
        <v>0</v>
      </c>
      <c r="H235" s="45">
        <v>9493</v>
      </c>
      <c r="I235" s="45">
        <v>0</v>
      </c>
      <c r="J235" s="45">
        <v>6627</v>
      </c>
      <c r="K235" s="45">
        <v>0</v>
      </c>
      <c r="L235" s="45">
        <v>3882</v>
      </c>
      <c r="M235" s="45">
        <v>0</v>
      </c>
      <c r="N235" s="45">
        <v>1569</v>
      </c>
      <c r="O235" s="45">
        <v>0</v>
      </c>
      <c r="P235" s="45">
        <v>0</v>
      </c>
      <c r="Q235" s="45">
        <v>0</v>
      </c>
      <c r="R235" s="45">
        <v>0</v>
      </c>
      <c r="S235" s="45">
        <v>0</v>
      </c>
      <c r="T235" s="45">
        <v>0</v>
      </c>
      <c r="U235" s="45">
        <v>3712</v>
      </c>
    </row>
    <row r="236" spans="1:21" ht="16.05" customHeight="1">
      <c r="A236" s="58" t="s">
        <v>1779</v>
      </c>
      <c r="B236" s="58" t="s">
        <v>1871</v>
      </c>
      <c r="C236" s="45">
        <v>92</v>
      </c>
      <c r="D236" s="45">
        <v>32037</v>
      </c>
      <c r="E236" s="45">
        <v>0</v>
      </c>
      <c r="F236" s="45">
        <v>25757</v>
      </c>
      <c r="G236" s="45">
        <v>0</v>
      </c>
      <c r="H236" s="45">
        <v>20087</v>
      </c>
      <c r="I236" s="45">
        <v>0</v>
      </c>
      <c r="J236" s="45">
        <v>15139</v>
      </c>
      <c r="K236" s="45">
        <v>0</v>
      </c>
      <c r="L236" s="45">
        <v>10496</v>
      </c>
      <c r="M236" s="45">
        <v>0</v>
      </c>
      <c r="N236" s="45">
        <v>6671</v>
      </c>
      <c r="O236" s="45">
        <v>0</v>
      </c>
      <c r="P236" s="45">
        <v>3942</v>
      </c>
      <c r="Q236" s="45">
        <v>0</v>
      </c>
      <c r="R236" s="45">
        <v>2152</v>
      </c>
      <c r="S236" s="45">
        <v>0</v>
      </c>
      <c r="T236" s="45">
        <v>2393</v>
      </c>
      <c r="U236" s="45">
        <v>6174</v>
      </c>
    </row>
    <row r="237" spans="1:21" ht="16.05" customHeight="1">
      <c r="A237" s="58" t="s">
        <v>1779</v>
      </c>
      <c r="B237" s="58" t="s">
        <v>1872</v>
      </c>
      <c r="C237" s="45">
        <v>64</v>
      </c>
      <c r="D237" s="45">
        <v>19355</v>
      </c>
      <c r="E237" s="45">
        <v>0</v>
      </c>
      <c r="F237" s="45">
        <v>13988</v>
      </c>
      <c r="G237" s="45">
        <v>0</v>
      </c>
      <c r="H237" s="45">
        <v>9310</v>
      </c>
      <c r="I237" s="45">
        <v>0</v>
      </c>
      <c r="J237" s="45">
        <v>4991</v>
      </c>
      <c r="K237" s="45">
        <v>0</v>
      </c>
      <c r="L237" s="45">
        <v>1569</v>
      </c>
      <c r="M237" s="45">
        <v>0</v>
      </c>
      <c r="N237" s="45">
        <v>851</v>
      </c>
      <c r="O237" s="45">
        <v>0</v>
      </c>
      <c r="P237" s="45">
        <v>445</v>
      </c>
      <c r="Q237" s="45">
        <v>0</v>
      </c>
      <c r="R237" s="45">
        <v>149</v>
      </c>
      <c r="S237" s="45">
        <v>0</v>
      </c>
      <c r="T237" s="45">
        <v>0</v>
      </c>
      <c r="U237" s="45">
        <v>5305</v>
      </c>
    </row>
    <row r="238" spans="1:21" ht="16.05" customHeight="1">
      <c r="A238" s="58" t="s">
        <v>1779</v>
      </c>
      <c r="B238" s="58" t="s">
        <v>1873</v>
      </c>
      <c r="C238" s="45">
        <v>27</v>
      </c>
      <c r="D238" s="45">
        <v>13204</v>
      </c>
      <c r="E238" s="45">
        <v>1</v>
      </c>
      <c r="F238" s="45">
        <v>7988</v>
      </c>
      <c r="G238" s="45">
        <v>0</v>
      </c>
      <c r="H238" s="45">
        <v>4068</v>
      </c>
      <c r="I238" s="45">
        <v>0</v>
      </c>
      <c r="J238" s="45">
        <v>1173</v>
      </c>
      <c r="K238" s="45">
        <v>0</v>
      </c>
      <c r="L238" s="45">
        <v>446</v>
      </c>
      <c r="M238" s="45">
        <v>0</v>
      </c>
      <c r="N238" s="45">
        <v>71</v>
      </c>
      <c r="O238" s="45">
        <v>0</v>
      </c>
      <c r="P238" s="45">
        <v>0</v>
      </c>
      <c r="Q238" s="45">
        <v>0</v>
      </c>
      <c r="R238" s="45">
        <v>0</v>
      </c>
      <c r="S238" s="45">
        <v>0</v>
      </c>
      <c r="T238" s="45">
        <v>0</v>
      </c>
      <c r="U238" s="45">
        <v>5172</v>
      </c>
    </row>
    <row r="239" spans="1:21" ht="16.05" customHeight="1">
      <c r="A239" s="58" t="s">
        <v>1779</v>
      </c>
      <c r="B239" s="58" t="s">
        <v>1874</v>
      </c>
      <c r="C239" s="45">
        <v>48</v>
      </c>
      <c r="D239" s="45">
        <v>28241</v>
      </c>
      <c r="E239" s="45">
        <v>0</v>
      </c>
      <c r="F239" s="45">
        <v>22010</v>
      </c>
      <c r="G239" s="45">
        <v>0</v>
      </c>
      <c r="H239" s="45">
        <v>16667</v>
      </c>
      <c r="I239" s="45">
        <v>0</v>
      </c>
      <c r="J239" s="45">
        <v>12219</v>
      </c>
      <c r="K239" s="45">
        <v>0</v>
      </c>
      <c r="L239" s="45">
        <v>8475</v>
      </c>
      <c r="M239" s="45">
        <v>0</v>
      </c>
      <c r="N239" s="45">
        <v>5691</v>
      </c>
      <c r="O239" s="45">
        <v>0</v>
      </c>
      <c r="P239" s="45">
        <v>3393</v>
      </c>
      <c r="Q239" s="45">
        <v>0</v>
      </c>
      <c r="R239" s="45">
        <v>1752</v>
      </c>
      <c r="S239" s="45">
        <v>0</v>
      </c>
      <c r="T239" s="45">
        <v>1338</v>
      </c>
      <c r="U239" s="45">
        <v>6155</v>
      </c>
    </row>
    <row r="240" spans="1:21" ht="16.05" customHeight="1">
      <c r="A240" s="58" t="s">
        <v>1779</v>
      </c>
      <c r="B240" s="58" t="s">
        <v>1875</v>
      </c>
      <c r="C240" s="45">
        <v>74</v>
      </c>
      <c r="D240" s="45">
        <v>33742</v>
      </c>
      <c r="E240" s="45">
        <v>0</v>
      </c>
      <c r="F240" s="45">
        <v>27129</v>
      </c>
      <c r="G240" s="45">
        <v>0</v>
      </c>
      <c r="H240" s="45">
        <v>21099</v>
      </c>
      <c r="I240" s="45">
        <v>0</v>
      </c>
      <c r="J240" s="45">
        <v>16048</v>
      </c>
      <c r="K240" s="45">
        <v>0</v>
      </c>
      <c r="L240" s="45">
        <v>12456</v>
      </c>
      <c r="M240" s="45">
        <v>0</v>
      </c>
      <c r="N240" s="45">
        <v>9344</v>
      </c>
      <c r="O240" s="45">
        <v>0</v>
      </c>
      <c r="P240" s="45">
        <v>6458</v>
      </c>
      <c r="Q240" s="45">
        <v>0</v>
      </c>
      <c r="R240" s="45">
        <v>3938</v>
      </c>
      <c r="S240" s="45">
        <v>0</v>
      </c>
      <c r="T240" s="45">
        <v>2701</v>
      </c>
      <c r="U240" s="45">
        <v>6506</v>
      </c>
    </row>
    <row r="241" spans="1:21" ht="16.05" customHeight="1">
      <c r="A241" s="58" t="s">
        <v>1779</v>
      </c>
      <c r="B241" s="58" t="s">
        <v>1876</v>
      </c>
      <c r="C241" s="45">
        <v>42</v>
      </c>
      <c r="D241" s="45">
        <v>22413</v>
      </c>
      <c r="E241" s="45">
        <v>0</v>
      </c>
      <c r="F241" s="45">
        <v>16200</v>
      </c>
      <c r="G241" s="45">
        <v>0</v>
      </c>
      <c r="H241" s="45">
        <v>10792</v>
      </c>
      <c r="I241" s="45">
        <v>0</v>
      </c>
      <c r="J241" s="45">
        <v>6479</v>
      </c>
      <c r="K241" s="45">
        <v>0</v>
      </c>
      <c r="L241" s="45">
        <v>3420</v>
      </c>
      <c r="M241" s="45">
        <v>0</v>
      </c>
      <c r="N241" s="45">
        <v>1518</v>
      </c>
      <c r="O241" s="45">
        <v>0</v>
      </c>
      <c r="P241" s="45">
        <v>563</v>
      </c>
      <c r="Q241" s="45">
        <v>0</v>
      </c>
      <c r="R241" s="45">
        <v>202</v>
      </c>
      <c r="S241" s="45">
        <v>0</v>
      </c>
      <c r="T241" s="45">
        <v>0</v>
      </c>
      <c r="U241" s="45">
        <v>6122</v>
      </c>
    </row>
    <row r="242" spans="1:21" ht="16.05" customHeight="1">
      <c r="A242" s="58" t="s">
        <v>1779</v>
      </c>
      <c r="B242" s="58" t="s">
        <v>1877</v>
      </c>
      <c r="C242" s="45">
        <v>68</v>
      </c>
      <c r="D242" s="45">
        <v>24482</v>
      </c>
      <c r="E242" s="45">
        <v>0</v>
      </c>
      <c r="F242" s="45">
        <v>17899</v>
      </c>
      <c r="G242" s="45">
        <v>0</v>
      </c>
      <c r="H242" s="45">
        <v>12768</v>
      </c>
      <c r="I242" s="45">
        <v>0</v>
      </c>
      <c r="J242" s="45">
        <v>8248</v>
      </c>
      <c r="K242" s="45">
        <v>0</v>
      </c>
      <c r="L242" s="45">
        <v>4819</v>
      </c>
      <c r="M242" s="45">
        <v>0</v>
      </c>
      <c r="N242" s="45">
        <v>2591</v>
      </c>
      <c r="O242" s="45">
        <v>0</v>
      </c>
      <c r="P242" s="45">
        <v>977</v>
      </c>
      <c r="Q242" s="45">
        <v>0</v>
      </c>
      <c r="R242" s="45">
        <v>399</v>
      </c>
      <c r="S242" s="45">
        <v>0</v>
      </c>
      <c r="T242" s="45">
        <v>40</v>
      </c>
      <c r="U242" s="45">
        <v>6456</v>
      </c>
    </row>
    <row r="243" spans="1:21" ht="16.05" customHeight="1">
      <c r="A243" s="58" t="s">
        <v>1779</v>
      </c>
      <c r="B243" s="58" t="s">
        <v>1878</v>
      </c>
      <c r="C243" s="45">
        <v>67</v>
      </c>
      <c r="D243" s="45">
        <v>31932</v>
      </c>
      <c r="E243" s="45">
        <v>0</v>
      </c>
      <c r="F243" s="45">
        <v>24675</v>
      </c>
      <c r="G243" s="45">
        <v>0</v>
      </c>
      <c r="H243" s="45">
        <v>19306</v>
      </c>
      <c r="I243" s="45">
        <v>0</v>
      </c>
      <c r="J243" s="45">
        <v>14371</v>
      </c>
      <c r="K243" s="45">
        <v>0</v>
      </c>
      <c r="L243" s="45">
        <v>10606</v>
      </c>
      <c r="M243" s="45">
        <v>0</v>
      </c>
      <c r="N243" s="45">
        <v>7152</v>
      </c>
      <c r="O243" s="45">
        <v>0</v>
      </c>
      <c r="P243" s="45">
        <v>4201</v>
      </c>
      <c r="Q243" s="45">
        <v>0</v>
      </c>
      <c r="R243" s="45">
        <v>2063</v>
      </c>
      <c r="S243" s="45">
        <v>0</v>
      </c>
      <c r="T243" s="45">
        <v>977</v>
      </c>
      <c r="U243" s="45">
        <v>7106</v>
      </c>
    </row>
    <row r="244" spans="1:21" ht="16.05" customHeight="1">
      <c r="A244" s="58" t="s">
        <v>1779</v>
      </c>
      <c r="B244" s="58" t="s">
        <v>1879</v>
      </c>
      <c r="C244" s="45">
        <v>95</v>
      </c>
      <c r="D244" s="45">
        <v>39260</v>
      </c>
      <c r="E244" s="45">
        <v>0</v>
      </c>
      <c r="F244" s="45">
        <v>31588</v>
      </c>
      <c r="G244" s="45">
        <v>0</v>
      </c>
      <c r="H244" s="45">
        <v>25742</v>
      </c>
      <c r="I244" s="45">
        <v>0</v>
      </c>
      <c r="J244" s="45">
        <v>20649</v>
      </c>
      <c r="K244" s="45">
        <v>0</v>
      </c>
      <c r="L244" s="45">
        <v>16177</v>
      </c>
      <c r="M244" s="45">
        <v>0</v>
      </c>
      <c r="N244" s="45">
        <v>12311</v>
      </c>
      <c r="O244" s="45">
        <v>0</v>
      </c>
      <c r="P244" s="45">
        <v>8916</v>
      </c>
      <c r="Q244" s="45">
        <v>0</v>
      </c>
      <c r="R244" s="45">
        <v>6043</v>
      </c>
      <c r="S244" s="45">
        <v>0</v>
      </c>
      <c r="T244" s="45">
        <v>7082</v>
      </c>
      <c r="U244" s="45">
        <v>7527</v>
      </c>
    </row>
    <row r="245" spans="1:21" ht="16.05" customHeight="1">
      <c r="A245" s="58" t="s">
        <v>1779</v>
      </c>
      <c r="B245" s="58" t="s">
        <v>1880</v>
      </c>
      <c r="C245" s="45">
        <v>117</v>
      </c>
      <c r="D245" s="45">
        <v>45957</v>
      </c>
      <c r="E245" s="45">
        <v>1</v>
      </c>
      <c r="F245" s="45">
        <v>37268</v>
      </c>
      <c r="G245" s="45">
        <v>0</v>
      </c>
      <c r="H245" s="45">
        <v>29468</v>
      </c>
      <c r="I245" s="45">
        <v>0</v>
      </c>
      <c r="J245" s="45">
        <v>22571</v>
      </c>
      <c r="K245" s="45">
        <v>0</v>
      </c>
      <c r="L245" s="45">
        <v>17113</v>
      </c>
      <c r="M245" s="45">
        <v>0</v>
      </c>
      <c r="N245" s="45">
        <v>12778</v>
      </c>
      <c r="O245" s="45">
        <v>0</v>
      </c>
      <c r="P245" s="45">
        <v>8967</v>
      </c>
      <c r="Q245" s="45">
        <v>0</v>
      </c>
      <c r="R245" s="45">
        <v>5698</v>
      </c>
      <c r="S245" s="45">
        <v>0</v>
      </c>
      <c r="T245" s="45">
        <v>5381</v>
      </c>
      <c r="U245" s="45">
        <v>8500</v>
      </c>
    </row>
    <row r="246" spans="1:21" ht="16.05" customHeight="1">
      <c r="A246" s="58" t="s">
        <v>1779</v>
      </c>
      <c r="B246" s="58" t="s">
        <v>1881</v>
      </c>
      <c r="C246" s="45">
        <v>71</v>
      </c>
      <c r="D246" s="45">
        <v>35018</v>
      </c>
      <c r="E246" s="45">
        <v>1</v>
      </c>
      <c r="F246" s="45">
        <v>26937</v>
      </c>
      <c r="G246" s="45">
        <v>0</v>
      </c>
      <c r="H246" s="45">
        <v>20897</v>
      </c>
      <c r="I246" s="45">
        <v>0</v>
      </c>
      <c r="J246" s="45">
        <v>15802</v>
      </c>
      <c r="K246" s="45">
        <v>0</v>
      </c>
      <c r="L246" s="45">
        <v>11341</v>
      </c>
      <c r="M246" s="45">
        <v>0</v>
      </c>
      <c r="N246" s="45">
        <v>7752</v>
      </c>
      <c r="O246" s="45">
        <v>0</v>
      </c>
      <c r="P246" s="45">
        <v>4781</v>
      </c>
      <c r="Q246" s="45">
        <v>0</v>
      </c>
      <c r="R246" s="45">
        <v>2487</v>
      </c>
      <c r="S246" s="45">
        <v>0</v>
      </c>
      <c r="T246" s="45">
        <v>1156</v>
      </c>
      <c r="U246" s="45">
        <v>7939</v>
      </c>
    </row>
    <row r="247" spans="1:21" ht="16.05" customHeight="1">
      <c r="A247" s="58" t="s">
        <v>1779</v>
      </c>
      <c r="B247" s="58" t="s">
        <v>1882</v>
      </c>
      <c r="C247" s="45">
        <v>40</v>
      </c>
      <c r="D247" s="45">
        <v>14916</v>
      </c>
      <c r="E247" s="45">
        <v>0</v>
      </c>
      <c r="F247" s="45">
        <v>9350</v>
      </c>
      <c r="G247" s="45">
        <v>0</v>
      </c>
      <c r="H247" s="45">
        <v>5005</v>
      </c>
      <c r="I247" s="45">
        <v>0</v>
      </c>
      <c r="J247" s="45">
        <v>2106</v>
      </c>
      <c r="K247" s="45">
        <v>0</v>
      </c>
      <c r="L247" s="45">
        <v>648</v>
      </c>
      <c r="M247" s="45">
        <v>0</v>
      </c>
      <c r="N247" s="45">
        <v>140</v>
      </c>
      <c r="O247" s="45">
        <v>0</v>
      </c>
      <c r="P247" s="45">
        <v>0</v>
      </c>
      <c r="Q247" s="45">
        <v>0</v>
      </c>
      <c r="R247" s="45">
        <v>0</v>
      </c>
      <c r="S247" s="45">
        <v>0</v>
      </c>
      <c r="T247" s="45">
        <v>0</v>
      </c>
      <c r="U247" s="45">
        <v>5523</v>
      </c>
    </row>
    <row r="248" spans="1:21" ht="16.05" customHeight="1">
      <c r="A248" s="58" t="s">
        <v>1779</v>
      </c>
      <c r="B248" s="58" t="s">
        <v>1883</v>
      </c>
      <c r="C248" s="45">
        <v>63</v>
      </c>
      <c r="D248" s="45">
        <v>20311</v>
      </c>
      <c r="E248" s="45">
        <v>4</v>
      </c>
      <c r="F248" s="45">
        <v>14912</v>
      </c>
      <c r="G248" s="45">
        <v>3</v>
      </c>
      <c r="H248" s="45">
        <v>10570</v>
      </c>
      <c r="I248" s="45">
        <v>2</v>
      </c>
      <c r="J248" s="45">
        <v>6728</v>
      </c>
      <c r="K248" s="45">
        <v>1</v>
      </c>
      <c r="L248" s="45">
        <v>3317</v>
      </c>
      <c r="M248" s="45">
        <v>0</v>
      </c>
      <c r="N248" s="45">
        <v>1925</v>
      </c>
      <c r="O248" s="45">
        <v>0</v>
      </c>
      <c r="P248" s="45">
        <v>952</v>
      </c>
      <c r="Q248" s="45">
        <v>0</v>
      </c>
      <c r="R248" s="45">
        <v>234</v>
      </c>
      <c r="S248" s="45">
        <v>0</v>
      </c>
      <c r="T248" s="45">
        <v>0</v>
      </c>
      <c r="U248" s="45">
        <v>5335</v>
      </c>
    </row>
    <row r="249" spans="1:21" ht="16.05" customHeight="1">
      <c r="A249" s="58" t="s">
        <v>1779</v>
      </c>
      <c r="B249" s="58" t="s">
        <v>1884</v>
      </c>
      <c r="C249" s="45">
        <v>141</v>
      </c>
      <c r="D249" s="45">
        <v>47746</v>
      </c>
      <c r="E249" s="45">
        <v>3</v>
      </c>
      <c r="F249" s="45">
        <v>40834</v>
      </c>
      <c r="G249" s="45">
        <v>0</v>
      </c>
      <c r="H249" s="45">
        <v>34366</v>
      </c>
      <c r="I249" s="45">
        <v>0</v>
      </c>
      <c r="J249" s="45">
        <v>28342</v>
      </c>
      <c r="K249" s="45">
        <v>0</v>
      </c>
      <c r="L249" s="45">
        <v>22652</v>
      </c>
      <c r="M249" s="45">
        <v>0</v>
      </c>
      <c r="N249" s="45">
        <v>17307</v>
      </c>
      <c r="O249" s="45">
        <v>0</v>
      </c>
      <c r="P249" s="45">
        <v>12340</v>
      </c>
      <c r="Q249" s="45">
        <v>0</v>
      </c>
      <c r="R249" s="45">
        <v>7835</v>
      </c>
      <c r="S249" s="45">
        <v>0</v>
      </c>
      <c r="T249" s="45">
        <v>15085</v>
      </c>
      <c r="U249" s="45">
        <v>6757</v>
      </c>
    </row>
    <row r="250" spans="1:21" ht="16.05" customHeight="1">
      <c r="A250" s="58" t="s">
        <v>1779</v>
      </c>
      <c r="B250" s="58" t="s">
        <v>1885</v>
      </c>
      <c r="C250" s="45">
        <v>47</v>
      </c>
      <c r="D250" s="45">
        <v>20861</v>
      </c>
      <c r="E250" s="45">
        <v>1</v>
      </c>
      <c r="F250" s="45">
        <v>15094</v>
      </c>
      <c r="G250" s="45">
        <v>0</v>
      </c>
      <c r="H250" s="45">
        <v>11055</v>
      </c>
      <c r="I250" s="45">
        <v>0</v>
      </c>
      <c r="J250" s="45">
        <v>7953</v>
      </c>
      <c r="K250" s="45">
        <v>0</v>
      </c>
      <c r="L250" s="45">
        <v>5156</v>
      </c>
      <c r="M250" s="45">
        <v>0</v>
      </c>
      <c r="N250" s="45">
        <v>2734</v>
      </c>
      <c r="O250" s="45">
        <v>0</v>
      </c>
      <c r="P250" s="45">
        <v>735</v>
      </c>
      <c r="Q250" s="45">
        <v>0</v>
      </c>
      <c r="R250" s="45">
        <v>109</v>
      </c>
      <c r="S250" s="45">
        <v>0</v>
      </c>
      <c r="T250" s="45">
        <v>0</v>
      </c>
      <c r="U250" s="45">
        <v>5692</v>
      </c>
    </row>
    <row r="251" spans="1:21" ht="16.05" customHeight="1">
      <c r="A251" s="58" t="s">
        <v>1779</v>
      </c>
      <c r="B251" s="58" t="s">
        <v>1886</v>
      </c>
      <c r="C251" s="45">
        <v>23</v>
      </c>
      <c r="D251" s="45">
        <v>12132</v>
      </c>
      <c r="E251" s="45">
        <v>0</v>
      </c>
      <c r="F251" s="45">
        <v>7036</v>
      </c>
      <c r="G251" s="45">
        <v>0</v>
      </c>
      <c r="H251" s="45">
        <v>3762</v>
      </c>
      <c r="I251" s="45">
        <v>0</v>
      </c>
      <c r="J251" s="45">
        <v>1375</v>
      </c>
      <c r="K251" s="45">
        <v>0</v>
      </c>
      <c r="L251" s="45">
        <v>187</v>
      </c>
      <c r="M251" s="45">
        <v>0</v>
      </c>
      <c r="N251" s="45">
        <v>0</v>
      </c>
      <c r="O251" s="45">
        <v>0</v>
      </c>
      <c r="P251" s="45">
        <v>0</v>
      </c>
      <c r="Q251" s="45">
        <v>0</v>
      </c>
      <c r="R251" s="45">
        <v>0</v>
      </c>
      <c r="S251" s="45">
        <v>0</v>
      </c>
      <c r="T251" s="45">
        <v>0</v>
      </c>
      <c r="U251" s="45">
        <v>5054</v>
      </c>
    </row>
    <row r="252" spans="1:21" ht="16.05" customHeight="1">
      <c r="A252" s="58" t="s">
        <v>1779</v>
      </c>
      <c r="B252" s="58" t="s">
        <v>1887</v>
      </c>
      <c r="C252" s="45">
        <v>50</v>
      </c>
      <c r="D252" s="45">
        <v>20090</v>
      </c>
      <c r="E252" s="45">
        <v>0</v>
      </c>
      <c r="F252" s="45">
        <v>14552</v>
      </c>
      <c r="G252" s="45">
        <v>0</v>
      </c>
      <c r="H252" s="45">
        <v>10319</v>
      </c>
      <c r="I252" s="45">
        <v>0</v>
      </c>
      <c r="J252" s="45">
        <v>6521</v>
      </c>
      <c r="K252" s="45">
        <v>0</v>
      </c>
      <c r="L252" s="45">
        <v>3695</v>
      </c>
      <c r="M252" s="45">
        <v>0</v>
      </c>
      <c r="N252" s="45">
        <v>1815</v>
      </c>
      <c r="O252" s="45">
        <v>0</v>
      </c>
      <c r="P252" s="45">
        <v>855</v>
      </c>
      <c r="Q252" s="45">
        <v>0</v>
      </c>
      <c r="R252" s="45">
        <v>183</v>
      </c>
      <c r="S252" s="45">
        <v>0</v>
      </c>
      <c r="T252" s="45">
        <v>0</v>
      </c>
      <c r="U252" s="45">
        <v>5439</v>
      </c>
    </row>
    <row r="253" spans="1:21" ht="16.05" customHeight="1">
      <c r="A253" s="58" t="s">
        <v>1779</v>
      </c>
      <c r="B253" s="58" t="s">
        <v>1888</v>
      </c>
      <c r="C253" s="45">
        <v>93</v>
      </c>
      <c r="D253" s="45">
        <v>42196</v>
      </c>
      <c r="E253" s="45">
        <v>1</v>
      </c>
      <c r="F253" s="45">
        <v>34276</v>
      </c>
      <c r="G253" s="45">
        <v>0</v>
      </c>
      <c r="H253" s="45">
        <v>27008</v>
      </c>
      <c r="I253" s="45">
        <v>0</v>
      </c>
      <c r="J253" s="45">
        <v>20228</v>
      </c>
      <c r="K253" s="45">
        <v>0</v>
      </c>
      <c r="L253" s="45">
        <v>14479</v>
      </c>
      <c r="M253" s="45">
        <v>0</v>
      </c>
      <c r="N253" s="45">
        <v>9598</v>
      </c>
      <c r="O253" s="45">
        <v>0</v>
      </c>
      <c r="P253" s="45">
        <v>5348</v>
      </c>
      <c r="Q253" s="45">
        <v>0</v>
      </c>
      <c r="R253" s="45">
        <v>2641</v>
      </c>
      <c r="S253" s="45">
        <v>0</v>
      </c>
      <c r="T253" s="45">
        <v>3383</v>
      </c>
      <c r="U253" s="45">
        <v>7712</v>
      </c>
    </row>
    <row r="254" spans="1:21" ht="16.05" customHeight="1">
      <c r="A254" s="58" t="s">
        <v>1779</v>
      </c>
      <c r="B254" s="58" t="s">
        <v>1889</v>
      </c>
      <c r="C254" s="45">
        <v>133</v>
      </c>
      <c r="D254" s="45">
        <v>55835</v>
      </c>
      <c r="E254" s="45">
        <v>1</v>
      </c>
      <c r="F254" s="45">
        <v>47131</v>
      </c>
      <c r="G254" s="45">
        <v>0</v>
      </c>
      <c r="H254" s="45">
        <v>38937</v>
      </c>
      <c r="I254" s="45">
        <v>0</v>
      </c>
      <c r="J254" s="45">
        <v>31459</v>
      </c>
      <c r="K254" s="45">
        <v>0</v>
      </c>
      <c r="L254" s="45">
        <v>24746</v>
      </c>
      <c r="M254" s="45">
        <v>0</v>
      </c>
      <c r="N254" s="45">
        <v>18526</v>
      </c>
      <c r="O254" s="45">
        <v>0</v>
      </c>
      <c r="P254" s="45">
        <v>13556</v>
      </c>
      <c r="Q254" s="45">
        <v>0</v>
      </c>
      <c r="R254" s="45">
        <v>9540</v>
      </c>
      <c r="S254" s="45">
        <v>0</v>
      </c>
      <c r="T254" s="45">
        <v>13687</v>
      </c>
      <c r="U254" s="45">
        <v>8530</v>
      </c>
    </row>
    <row r="255" spans="1:21" ht="16.05" customHeight="1">
      <c r="A255" s="58" t="s">
        <v>1779</v>
      </c>
      <c r="B255" s="58" t="s">
        <v>1890</v>
      </c>
      <c r="C255" s="45">
        <v>142</v>
      </c>
      <c r="D255" s="45">
        <v>55460</v>
      </c>
      <c r="E255" s="45">
        <v>0</v>
      </c>
      <c r="F255" s="45">
        <v>46066</v>
      </c>
      <c r="G255" s="45">
        <v>0</v>
      </c>
      <c r="H255" s="45">
        <v>38000</v>
      </c>
      <c r="I255" s="45">
        <v>0</v>
      </c>
      <c r="J255" s="45">
        <v>30558</v>
      </c>
      <c r="K255" s="45">
        <v>0</v>
      </c>
      <c r="L255" s="45">
        <v>23878</v>
      </c>
      <c r="M255" s="45">
        <v>0</v>
      </c>
      <c r="N255" s="45">
        <v>18019</v>
      </c>
      <c r="O255" s="45">
        <v>0</v>
      </c>
      <c r="P255" s="45">
        <v>13513</v>
      </c>
      <c r="Q255" s="45">
        <v>0</v>
      </c>
      <c r="R255" s="45">
        <v>9568</v>
      </c>
      <c r="S255" s="45">
        <v>0</v>
      </c>
      <c r="T255" s="45">
        <v>14429</v>
      </c>
      <c r="U255" s="45">
        <v>9213</v>
      </c>
    </row>
    <row r="256" spans="1:21" ht="16.05" customHeight="1">
      <c r="A256" s="58" t="s">
        <v>1779</v>
      </c>
      <c r="B256" s="58" t="s">
        <v>1891</v>
      </c>
      <c r="C256" s="45">
        <v>86</v>
      </c>
      <c r="D256" s="45">
        <v>31312</v>
      </c>
      <c r="E256" s="45">
        <v>0</v>
      </c>
      <c r="F256" s="45">
        <v>22506</v>
      </c>
      <c r="G256" s="45">
        <v>0</v>
      </c>
      <c r="H256" s="45">
        <v>14834</v>
      </c>
      <c r="I256" s="45">
        <v>0</v>
      </c>
      <c r="J256" s="45">
        <v>8238</v>
      </c>
      <c r="K256" s="45">
        <v>0</v>
      </c>
      <c r="L256" s="45">
        <v>3502</v>
      </c>
      <c r="M256" s="45">
        <v>0</v>
      </c>
      <c r="N256" s="45">
        <v>1254</v>
      </c>
      <c r="O256" s="45">
        <v>0</v>
      </c>
      <c r="P256" s="45">
        <v>558</v>
      </c>
      <c r="Q256" s="45">
        <v>0</v>
      </c>
      <c r="R256" s="45">
        <v>228</v>
      </c>
      <c r="S256" s="45">
        <v>0</v>
      </c>
      <c r="T256" s="45">
        <v>56</v>
      </c>
      <c r="U256" s="45">
        <v>8710</v>
      </c>
    </row>
    <row r="257" spans="1:21" ht="16.05" customHeight="1">
      <c r="A257" s="58" t="s">
        <v>1779</v>
      </c>
      <c r="B257" s="58" t="s">
        <v>1892</v>
      </c>
      <c r="C257" s="45">
        <v>93</v>
      </c>
      <c r="D257" s="45">
        <v>37373</v>
      </c>
      <c r="E257" s="45">
        <v>1</v>
      </c>
      <c r="F257" s="45">
        <v>30313</v>
      </c>
      <c r="G257" s="45">
        <v>0</v>
      </c>
      <c r="H257" s="45">
        <v>23964</v>
      </c>
      <c r="I257" s="45">
        <v>0</v>
      </c>
      <c r="J257" s="45">
        <v>18248</v>
      </c>
      <c r="K257" s="45">
        <v>0</v>
      </c>
      <c r="L257" s="45">
        <v>13568</v>
      </c>
      <c r="M257" s="45">
        <v>0</v>
      </c>
      <c r="N257" s="45">
        <v>9425</v>
      </c>
      <c r="O257" s="45">
        <v>0</v>
      </c>
      <c r="P257" s="45">
        <v>6079</v>
      </c>
      <c r="Q257" s="45">
        <v>0</v>
      </c>
      <c r="R257" s="45">
        <v>3616</v>
      </c>
      <c r="S257" s="45">
        <v>0</v>
      </c>
      <c r="T257" s="45">
        <v>3782</v>
      </c>
      <c r="U257" s="45">
        <v>6937</v>
      </c>
    </row>
    <row r="258" spans="1:21" ht="16.05" customHeight="1">
      <c r="A258" s="58" t="s">
        <v>1779</v>
      </c>
      <c r="B258" s="58" t="s">
        <v>1893</v>
      </c>
      <c r="C258" s="45">
        <v>127</v>
      </c>
      <c r="D258" s="45">
        <v>55968</v>
      </c>
      <c r="E258" s="45">
        <v>1</v>
      </c>
      <c r="F258" s="45">
        <v>47189</v>
      </c>
      <c r="G258" s="45">
        <v>0</v>
      </c>
      <c r="H258" s="45">
        <v>39020</v>
      </c>
      <c r="I258" s="45">
        <v>0</v>
      </c>
      <c r="J258" s="45">
        <v>31638</v>
      </c>
      <c r="K258" s="45">
        <v>0</v>
      </c>
      <c r="L258" s="45">
        <v>25258</v>
      </c>
      <c r="M258" s="45">
        <v>0</v>
      </c>
      <c r="N258" s="45">
        <v>19137</v>
      </c>
      <c r="O258" s="45">
        <v>0</v>
      </c>
      <c r="P258" s="45">
        <v>13573</v>
      </c>
      <c r="Q258" s="45">
        <v>0</v>
      </c>
      <c r="R258" s="45">
        <v>8885</v>
      </c>
      <c r="S258" s="45">
        <v>0</v>
      </c>
      <c r="T258" s="45">
        <v>13329</v>
      </c>
      <c r="U258" s="45">
        <v>8543</v>
      </c>
    </row>
    <row r="259" spans="1:21" ht="16.05" customHeight="1">
      <c r="A259" s="58" t="s">
        <v>1779</v>
      </c>
      <c r="B259" s="58" t="s">
        <v>1894</v>
      </c>
      <c r="C259" s="45">
        <v>92</v>
      </c>
      <c r="D259" s="45">
        <v>39917</v>
      </c>
      <c r="E259" s="45">
        <v>0</v>
      </c>
      <c r="F259" s="45">
        <v>32692</v>
      </c>
      <c r="G259" s="45">
        <v>0</v>
      </c>
      <c r="H259" s="45">
        <v>25920</v>
      </c>
      <c r="I259" s="45">
        <v>0</v>
      </c>
      <c r="J259" s="45">
        <v>19936</v>
      </c>
      <c r="K259" s="45">
        <v>0</v>
      </c>
      <c r="L259" s="45">
        <v>14412</v>
      </c>
      <c r="M259" s="45">
        <v>0</v>
      </c>
      <c r="N259" s="45">
        <v>10143</v>
      </c>
      <c r="O259" s="45">
        <v>0</v>
      </c>
      <c r="P259" s="45">
        <v>6680</v>
      </c>
      <c r="Q259" s="45">
        <v>0</v>
      </c>
      <c r="R259" s="45">
        <v>4110</v>
      </c>
      <c r="S259" s="45">
        <v>0</v>
      </c>
      <c r="T259" s="45">
        <v>4639</v>
      </c>
      <c r="U259" s="45">
        <v>7101</v>
      </c>
    </row>
    <row r="260" spans="1:21" ht="16.05" customHeight="1">
      <c r="A260" s="58" t="s">
        <v>1779</v>
      </c>
      <c r="B260" s="58" t="s">
        <v>1895</v>
      </c>
      <c r="C260" s="45">
        <v>79</v>
      </c>
      <c r="D260" s="45">
        <v>35713</v>
      </c>
      <c r="E260" s="45">
        <v>0</v>
      </c>
      <c r="F260" s="45">
        <v>27524</v>
      </c>
      <c r="G260" s="45">
        <v>0</v>
      </c>
      <c r="H260" s="45">
        <v>20010</v>
      </c>
      <c r="I260" s="45">
        <v>0</v>
      </c>
      <c r="J260" s="45">
        <v>13082</v>
      </c>
      <c r="K260" s="45">
        <v>0</v>
      </c>
      <c r="L260" s="45">
        <v>8210</v>
      </c>
      <c r="M260" s="45">
        <v>0</v>
      </c>
      <c r="N260" s="45">
        <v>4208</v>
      </c>
      <c r="O260" s="45">
        <v>0</v>
      </c>
      <c r="P260" s="45">
        <v>1881</v>
      </c>
      <c r="Q260" s="45">
        <v>0</v>
      </c>
      <c r="R260" s="45">
        <v>954</v>
      </c>
      <c r="S260" s="45">
        <v>0</v>
      </c>
      <c r="T260" s="45">
        <v>559</v>
      </c>
      <c r="U260" s="45">
        <v>8074</v>
      </c>
    </row>
    <row r="261" spans="1:21" ht="16.05" customHeight="1">
      <c r="A261" s="58" t="s">
        <v>1779</v>
      </c>
      <c r="B261" s="58" t="s">
        <v>1896</v>
      </c>
      <c r="C261" s="45">
        <v>121</v>
      </c>
      <c r="D261" s="45">
        <v>50999</v>
      </c>
      <c r="E261" s="45">
        <v>1</v>
      </c>
      <c r="F261" s="45">
        <v>42719</v>
      </c>
      <c r="G261" s="45">
        <v>0</v>
      </c>
      <c r="H261" s="45">
        <v>34887</v>
      </c>
      <c r="I261" s="45">
        <v>0</v>
      </c>
      <c r="J261" s="45">
        <v>28325</v>
      </c>
      <c r="K261" s="45">
        <v>0</v>
      </c>
      <c r="L261" s="45">
        <v>22634</v>
      </c>
      <c r="M261" s="45">
        <v>0</v>
      </c>
      <c r="N261" s="45">
        <v>17623</v>
      </c>
      <c r="O261" s="45">
        <v>0</v>
      </c>
      <c r="P261" s="45">
        <v>13310</v>
      </c>
      <c r="Q261" s="45">
        <v>0</v>
      </c>
      <c r="R261" s="45">
        <v>9463</v>
      </c>
      <c r="S261" s="45">
        <v>0</v>
      </c>
      <c r="T261" s="45">
        <v>15182</v>
      </c>
      <c r="U261" s="45">
        <v>8126</v>
      </c>
    </row>
    <row r="262" spans="1:21" ht="16.05" customHeight="1">
      <c r="A262" s="58" t="s">
        <v>1779</v>
      </c>
      <c r="B262" s="58" t="s">
        <v>1897</v>
      </c>
      <c r="C262" s="45">
        <v>113</v>
      </c>
      <c r="D262" s="45">
        <v>44845</v>
      </c>
      <c r="E262" s="45">
        <v>0</v>
      </c>
      <c r="F262" s="45">
        <v>35953</v>
      </c>
      <c r="G262" s="45">
        <v>0</v>
      </c>
      <c r="H262" s="45">
        <v>27978</v>
      </c>
      <c r="I262" s="45">
        <v>0</v>
      </c>
      <c r="J262" s="45">
        <v>21167</v>
      </c>
      <c r="K262" s="45">
        <v>0</v>
      </c>
      <c r="L262" s="45">
        <v>15234</v>
      </c>
      <c r="M262" s="45">
        <v>0</v>
      </c>
      <c r="N262" s="45">
        <v>10845</v>
      </c>
      <c r="O262" s="45">
        <v>0</v>
      </c>
      <c r="P262" s="45">
        <v>7232</v>
      </c>
      <c r="Q262" s="45">
        <v>0</v>
      </c>
      <c r="R262" s="45">
        <v>4246</v>
      </c>
      <c r="S262" s="45">
        <v>0</v>
      </c>
      <c r="T262" s="45">
        <v>4063</v>
      </c>
      <c r="U262" s="45">
        <v>8680</v>
      </c>
    </row>
    <row r="263" spans="1:21" ht="16.05" customHeight="1">
      <c r="A263" s="58" t="s">
        <v>1779</v>
      </c>
      <c r="B263" s="58" t="s">
        <v>1898</v>
      </c>
      <c r="C263" s="45">
        <v>62</v>
      </c>
      <c r="D263" s="45">
        <v>23448</v>
      </c>
      <c r="E263" s="45">
        <v>0</v>
      </c>
      <c r="F263" s="45">
        <v>17376</v>
      </c>
      <c r="G263" s="45">
        <v>0</v>
      </c>
      <c r="H263" s="45">
        <v>12735</v>
      </c>
      <c r="I263" s="45">
        <v>0</v>
      </c>
      <c r="J263" s="45">
        <v>8313</v>
      </c>
      <c r="K263" s="45">
        <v>0</v>
      </c>
      <c r="L263" s="45">
        <v>5006</v>
      </c>
      <c r="M263" s="45">
        <v>0</v>
      </c>
      <c r="N263" s="45">
        <v>2635</v>
      </c>
      <c r="O263" s="45">
        <v>0</v>
      </c>
      <c r="P263" s="45">
        <v>1305</v>
      </c>
      <c r="Q263" s="45">
        <v>0</v>
      </c>
      <c r="R263" s="45">
        <v>603</v>
      </c>
      <c r="S263" s="45">
        <v>0</v>
      </c>
      <c r="T263" s="45">
        <v>139</v>
      </c>
      <c r="U263" s="45">
        <v>5940</v>
      </c>
    </row>
    <row r="264" spans="1:21" ht="16.05" customHeight="1">
      <c r="A264" s="58" t="s">
        <v>1779</v>
      </c>
      <c r="B264" s="58" t="s">
        <v>1899</v>
      </c>
      <c r="C264" s="45">
        <v>27</v>
      </c>
      <c r="D264" s="45">
        <v>14549</v>
      </c>
      <c r="E264" s="45">
        <v>0</v>
      </c>
      <c r="F264" s="45">
        <v>10114</v>
      </c>
      <c r="G264" s="45">
        <v>0</v>
      </c>
      <c r="H264" s="45">
        <v>6132</v>
      </c>
      <c r="I264" s="45">
        <v>0</v>
      </c>
      <c r="J264" s="45">
        <v>3761</v>
      </c>
      <c r="K264" s="45">
        <v>0</v>
      </c>
      <c r="L264" s="45">
        <v>1860</v>
      </c>
      <c r="M264" s="45">
        <v>0</v>
      </c>
      <c r="N264" s="45">
        <v>470</v>
      </c>
      <c r="O264" s="45">
        <v>0</v>
      </c>
      <c r="P264" s="45">
        <v>175</v>
      </c>
      <c r="Q264" s="45">
        <v>0</v>
      </c>
      <c r="R264" s="45">
        <v>0</v>
      </c>
      <c r="S264" s="45">
        <v>0</v>
      </c>
      <c r="T264" s="45">
        <v>0</v>
      </c>
      <c r="U264" s="45">
        <v>4376</v>
      </c>
    </row>
    <row r="265" spans="1:21" ht="16.05" customHeight="1">
      <c r="A265" s="58" t="s">
        <v>1779</v>
      </c>
      <c r="B265" s="58" t="s">
        <v>1900</v>
      </c>
      <c r="C265" s="45">
        <v>50</v>
      </c>
      <c r="D265" s="45">
        <v>21240</v>
      </c>
      <c r="E265" s="45">
        <v>0</v>
      </c>
      <c r="F265" s="45">
        <v>16017</v>
      </c>
      <c r="G265" s="45">
        <v>0</v>
      </c>
      <c r="H265" s="45">
        <v>11991</v>
      </c>
      <c r="I265" s="45">
        <v>0</v>
      </c>
      <c r="J265" s="45">
        <v>8356</v>
      </c>
      <c r="K265" s="45">
        <v>0</v>
      </c>
      <c r="L265" s="45">
        <v>5154</v>
      </c>
      <c r="M265" s="45">
        <v>0</v>
      </c>
      <c r="N265" s="45">
        <v>2950</v>
      </c>
      <c r="O265" s="45">
        <v>0</v>
      </c>
      <c r="P265" s="45">
        <v>1659</v>
      </c>
      <c r="Q265" s="45">
        <v>0</v>
      </c>
      <c r="R265" s="45">
        <v>771</v>
      </c>
      <c r="S265" s="45">
        <v>0</v>
      </c>
      <c r="T265" s="45">
        <v>190</v>
      </c>
      <c r="U265" s="45">
        <v>5093</v>
      </c>
    </row>
    <row r="266" spans="1:21" ht="16.05" customHeight="1">
      <c r="A266" s="58" t="s">
        <v>1779</v>
      </c>
      <c r="B266" s="58" t="s">
        <v>1901</v>
      </c>
      <c r="C266" s="45">
        <v>101</v>
      </c>
      <c r="D266" s="45">
        <v>39753</v>
      </c>
      <c r="E266" s="45">
        <v>0</v>
      </c>
      <c r="F266" s="45">
        <v>32506</v>
      </c>
      <c r="G266" s="45">
        <v>0</v>
      </c>
      <c r="H266" s="45">
        <v>26008</v>
      </c>
      <c r="I266" s="45">
        <v>0</v>
      </c>
      <c r="J266" s="45">
        <v>19783</v>
      </c>
      <c r="K266" s="45">
        <v>0</v>
      </c>
      <c r="L266" s="45">
        <v>14423</v>
      </c>
      <c r="M266" s="45">
        <v>0</v>
      </c>
      <c r="N266" s="45">
        <v>10026</v>
      </c>
      <c r="O266" s="45">
        <v>0</v>
      </c>
      <c r="P266" s="45">
        <v>6417</v>
      </c>
      <c r="Q266" s="45">
        <v>0</v>
      </c>
      <c r="R266" s="45">
        <v>3802</v>
      </c>
      <c r="S266" s="45">
        <v>0</v>
      </c>
      <c r="T266" s="45">
        <v>4376</v>
      </c>
      <c r="U266" s="45">
        <v>7057</v>
      </c>
    </row>
    <row r="267" spans="1:21" ht="16.05" customHeight="1">
      <c r="A267" s="58" t="s">
        <v>1779</v>
      </c>
      <c r="B267" s="58" t="s">
        <v>1902</v>
      </c>
      <c r="C267" s="45">
        <v>151</v>
      </c>
      <c r="D267" s="45">
        <v>63208</v>
      </c>
      <c r="E267" s="45">
        <v>2</v>
      </c>
      <c r="F267" s="45">
        <v>53975</v>
      </c>
      <c r="G267" s="45">
        <v>0</v>
      </c>
      <c r="H267" s="45">
        <v>45756</v>
      </c>
      <c r="I267" s="45">
        <v>0</v>
      </c>
      <c r="J267" s="45">
        <v>38170</v>
      </c>
      <c r="K267" s="45">
        <v>0</v>
      </c>
      <c r="L267" s="45">
        <v>31404</v>
      </c>
      <c r="M267" s="45">
        <v>0</v>
      </c>
      <c r="N267" s="45">
        <v>25522</v>
      </c>
      <c r="O267" s="45">
        <v>0</v>
      </c>
      <c r="P267" s="45">
        <v>20218</v>
      </c>
      <c r="Q267" s="45">
        <v>0</v>
      </c>
      <c r="R267" s="45">
        <v>15744</v>
      </c>
      <c r="S267" s="45">
        <v>0</v>
      </c>
      <c r="T267" s="45">
        <v>33626</v>
      </c>
      <c r="U267" s="45">
        <v>9059</v>
      </c>
    </row>
    <row r="268" spans="1:21" ht="16.05" customHeight="1">
      <c r="A268" s="58" t="s">
        <v>1779</v>
      </c>
      <c r="B268" s="58" t="s">
        <v>1903</v>
      </c>
      <c r="C268" s="45">
        <v>161</v>
      </c>
      <c r="D268" s="45">
        <v>70225</v>
      </c>
      <c r="E268" s="45">
        <v>0</v>
      </c>
      <c r="F268" s="45">
        <v>60630</v>
      </c>
      <c r="G268" s="45">
        <v>0</v>
      </c>
      <c r="H268" s="45">
        <v>51983</v>
      </c>
      <c r="I268" s="45">
        <v>0</v>
      </c>
      <c r="J268" s="45">
        <v>44307</v>
      </c>
      <c r="K268" s="45">
        <v>0</v>
      </c>
      <c r="L268" s="45">
        <v>37249</v>
      </c>
      <c r="M268" s="45">
        <v>0</v>
      </c>
      <c r="N268" s="45">
        <v>30480</v>
      </c>
      <c r="O268" s="45">
        <v>0</v>
      </c>
      <c r="P268" s="45">
        <v>24672</v>
      </c>
      <c r="Q268" s="45">
        <v>0</v>
      </c>
      <c r="R268" s="45">
        <v>19629</v>
      </c>
      <c r="S268" s="45">
        <v>0</v>
      </c>
      <c r="T268" s="45">
        <v>49613</v>
      </c>
      <c r="U268" s="45">
        <v>9349</v>
      </c>
    </row>
    <row r="269" spans="1:21" ht="16.05" customHeight="1">
      <c r="A269" s="58" t="s">
        <v>1779</v>
      </c>
      <c r="B269" s="58" t="s">
        <v>1904</v>
      </c>
      <c r="C269" s="45">
        <v>127</v>
      </c>
      <c r="D269" s="45">
        <v>52826</v>
      </c>
      <c r="E269" s="45">
        <v>0</v>
      </c>
      <c r="F269" s="45">
        <v>43349</v>
      </c>
      <c r="G269" s="45">
        <v>0</v>
      </c>
      <c r="H269" s="45">
        <v>35641</v>
      </c>
      <c r="I269" s="45">
        <v>0</v>
      </c>
      <c r="J269" s="45">
        <v>28633</v>
      </c>
      <c r="K269" s="45">
        <v>0</v>
      </c>
      <c r="L269" s="45">
        <v>22496</v>
      </c>
      <c r="M269" s="45">
        <v>0</v>
      </c>
      <c r="N269" s="45">
        <v>16671</v>
      </c>
      <c r="O269" s="45">
        <v>0</v>
      </c>
      <c r="P269" s="45">
        <v>12076</v>
      </c>
      <c r="Q269" s="45">
        <v>0</v>
      </c>
      <c r="R269" s="45">
        <v>8457</v>
      </c>
      <c r="S269" s="45">
        <v>0</v>
      </c>
      <c r="T269" s="45">
        <v>11578</v>
      </c>
      <c r="U269" s="45">
        <v>9271</v>
      </c>
    </row>
    <row r="270" spans="1:21" ht="16.05" customHeight="1">
      <c r="A270" s="58" t="s">
        <v>1779</v>
      </c>
      <c r="B270" s="58" t="s">
        <v>1905</v>
      </c>
      <c r="C270" s="45">
        <v>225</v>
      </c>
      <c r="D270" s="45">
        <v>90111</v>
      </c>
      <c r="E270" s="45">
        <v>0</v>
      </c>
      <c r="F270" s="45">
        <v>79103</v>
      </c>
      <c r="G270" s="45">
        <v>0</v>
      </c>
      <c r="H270" s="45">
        <v>69311</v>
      </c>
      <c r="I270" s="45">
        <v>0</v>
      </c>
      <c r="J270" s="45">
        <v>60378</v>
      </c>
      <c r="K270" s="45">
        <v>0</v>
      </c>
      <c r="L270" s="45">
        <v>51988</v>
      </c>
      <c r="M270" s="45">
        <v>0</v>
      </c>
      <c r="N270" s="45">
        <v>44078</v>
      </c>
      <c r="O270" s="45">
        <v>0</v>
      </c>
      <c r="P270" s="45">
        <v>36995</v>
      </c>
      <c r="Q270" s="45">
        <v>0</v>
      </c>
      <c r="R270" s="45">
        <v>30499</v>
      </c>
      <c r="S270" s="45">
        <v>0</v>
      </c>
      <c r="T270" s="45">
        <v>93823</v>
      </c>
      <c r="U270" s="45">
        <v>10713</v>
      </c>
    </row>
    <row r="271" spans="1:21" ht="16.05" customHeight="1">
      <c r="A271" s="58" t="s">
        <v>1779</v>
      </c>
      <c r="B271" s="58" t="s">
        <v>1906</v>
      </c>
      <c r="C271" s="45">
        <v>185</v>
      </c>
      <c r="D271" s="45">
        <v>72917</v>
      </c>
      <c r="E271" s="45">
        <v>3</v>
      </c>
      <c r="F271" s="45">
        <v>62492</v>
      </c>
      <c r="G271" s="45">
        <v>2</v>
      </c>
      <c r="H271" s="45">
        <v>53334</v>
      </c>
      <c r="I271" s="45">
        <v>1</v>
      </c>
      <c r="J271" s="45">
        <v>45467</v>
      </c>
      <c r="K271" s="45">
        <v>0</v>
      </c>
      <c r="L271" s="45">
        <v>38409</v>
      </c>
      <c r="M271" s="45">
        <v>0</v>
      </c>
      <c r="N271" s="45">
        <v>31740</v>
      </c>
      <c r="O271" s="45">
        <v>0</v>
      </c>
      <c r="P271" s="45">
        <v>25682</v>
      </c>
      <c r="Q271" s="45">
        <v>0</v>
      </c>
      <c r="R271" s="45">
        <v>20113</v>
      </c>
      <c r="S271" s="45">
        <v>0</v>
      </c>
      <c r="T271" s="45">
        <v>47756</v>
      </c>
      <c r="U271" s="45">
        <v>10164</v>
      </c>
    </row>
    <row r="272" spans="1:21" ht="16.05" customHeight="1">
      <c r="A272" s="58" t="s">
        <v>1779</v>
      </c>
      <c r="B272" s="58" t="s">
        <v>1907</v>
      </c>
      <c r="C272" s="45">
        <v>137</v>
      </c>
      <c r="D272" s="45">
        <v>58812</v>
      </c>
      <c r="E272" s="45">
        <v>1</v>
      </c>
      <c r="F272" s="45">
        <v>48732</v>
      </c>
      <c r="G272" s="45">
        <v>0</v>
      </c>
      <c r="H272" s="45">
        <v>39425</v>
      </c>
      <c r="I272" s="45">
        <v>0</v>
      </c>
      <c r="J272" s="45">
        <v>31416</v>
      </c>
      <c r="K272" s="45">
        <v>0</v>
      </c>
      <c r="L272" s="45">
        <v>24296</v>
      </c>
      <c r="M272" s="45">
        <v>0</v>
      </c>
      <c r="N272" s="45">
        <v>18774</v>
      </c>
      <c r="O272" s="45">
        <v>0</v>
      </c>
      <c r="P272" s="45">
        <v>13788</v>
      </c>
      <c r="Q272" s="45">
        <v>0</v>
      </c>
      <c r="R272" s="45">
        <v>9399</v>
      </c>
      <c r="S272" s="45">
        <v>0</v>
      </c>
      <c r="T272" s="45">
        <v>12817</v>
      </c>
      <c r="U272" s="45">
        <v>9848</v>
      </c>
    </row>
    <row r="273" spans="1:21" ht="16.05" customHeight="1">
      <c r="A273" s="58" t="s">
        <v>1779</v>
      </c>
      <c r="B273" s="58" t="s">
        <v>1908</v>
      </c>
      <c r="C273" s="45">
        <v>178</v>
      </c>
      <c r="D273" s="45">
        <v>82620</v>
      </c>
      <c r="E273" s="45">
        <v>2</v>
      </c>
      <c r="F273" s="45">
        <v>72250</v>
      </c>
      <c r="G273" s="45">
        <v>0</v>
      </c>
      <c r="H273" s="45">
        <v>62547</v>
      </c>
      <c r="I273" s="45">
        <v>0</v>
      </c>
      <c r="J273" s="45">
        <v>53308</v>
      </c>
      <c r="K273" s="45">
        <v>0</v>
      </c>
      <c r="L273" s="45">
        <v>44530</v>
      </c>
      <c r="M273" s="45">
        <v>0</v>
      </c>
      <c r="N273" s="45">
        <v>36174</v>
      </c>
      <c r="O273" s="45">
        <v>0</v>
      </c>
      <c r="P273" s="45">
        <v>28821</v>
      </c>
      <c r="Q273" s="45">
        <v>0</v>
      </c>
      <c r="R273" s="45">
        <v>22430</v>
      </c>
      <c r="S273" s="45">
        <v>0</v>
      </c>
      <c r="T273" s="45">
        <v>53405</v>
      </c>
      <c r="U273" s="45">
        <v>10072</v>
      </c>
    </row>
    <row r="274" spans="1:21" ht="16.05" customHeight="1">
      <c r="A274" s="58" t="s">
        <v>1779</v>
      </c>
      <c r="B274" s="58" t="s">
        <v>1909</v>
      </c>
      <c r="C274" s="45">
        <v>230</v>
      </c>
      <c r="D274" s="45">
        <v>98428</v>
      </c>
      <c r="E274" s="45">
        <v>0</v>
      </c>
      <c r="F274" s="45">
        <v>87563</v>
      </c>
      <c r="G274" s="45">
        <v>0</v>
      </c>
      <c r="H274" s="45">
        <v>77725</v>
      </c>
      <c r="I274" s="45">
        <v>0</v>
      </c>
      <c r="J274" s="45">
        <v>68887</v>
      </c>
      <c r="K274" s="45">
        <v>0</v>
      </c>
      <c r="L274" s="45">
        <v>60534</v>
      </c>
      <c r="M274" s="45">
        <v>0</v>
      </c>
      <c r="N274" s="45">
        <v>52573</v>
      </c>
      <c r="O274" s="45">
        <v>0</v>
      </c>
      <c r="P274" s="45">
        <v>45433</v>
      </c>
      <c r="Q274" s="45">
        <v>0</v>
      </c>
      <c r="R274" s="45">
        <v>38849</v>
      </c>
      <c r="S274" s="45">
        <v>0</v>
      </c>
      <c r="T274" s="45">
        <v>147970</v>
      </c>
      <c r="U274" s="45">
        <v>10583</v>
      </c>
    </row>
    <row r="275" spans="1:21" ht="16.05" customHeight="1">
      <c r="A275" s="58" t="s">
        <v>1779</v>
      </c>
      <c r="B275" s="58" t="s">
        <v>1910</v>
      </c>
      <c r="C275" s="45">
        <v>191</v>
      </c>
      <c r="D275" s="45">
        <v>76941</v>
      </c>
      <c r="E275" s="45">
        <v>3</v>
      </c>
      <c r="F275" s="45">
        <v>66032</v>
      </c>
      <c r="G275" s="45">
        <v>0</v>
      </c>
      <c r="H275" s="45">
        <v>56307</v>
      </c>
      <c r="I275" s="45">
        <v>0</v>
      </c>
      <c r="J275" s="45">
        <v>46950</v>
      </c>
      <c r="K275" s="45">
        <v>0</v>
      </c>
      <c r="L275" s="45">
        <v>38554</v>
      </c>
      <c r="M275" s="45">
        <v>0</v>
      </c>
      <c r="N275" s="45">
        <v>31127</v>
      </c>
      <c r="O275" s="45">
        <v>0</v>
      </c>
      <c r="P275" s="45">
        <v>24280</v>
      </c>
      <c r="Q275" s="45">
        <v>0</v>
      </c>
      <c r="R275" s="45">
        <v>18814</v>
      </c>
      <c r="S275" s="45">
        <v>0</v>
      </c>
      <c r="T275" s="45">
        <v>39610</v>
      </c>
      <c r="U275" s="45">
        <v>10618</v>
      </c>
    </row>
    <row r="276" spans="1:21" ht="16.05" customHeight="1">
      <c r="A276" s="58" t="s">
        <v>1779</v>
      </c>
      <c r="B276" s="58" t="s">
        <v>1911</v>
      </c>
      <c r="C276" s="45">
        <v>133</v>
      </c>
      <c r="D276" s="45">
        <v>70018</v>
      </c>
      <c r="E276" s="45">
        <v>0</v>
      </c>
      <c r="F276" s="45">
        <v>61003</v>
      </c>
      <c r="G276" s="45">
        <v>0</v>
      </c>
      <c r="H276" s="45">
        <v>53077</v>
      </c>
      <c r="I276" s="45">
        <v>0</v>
      </c>
      <c r="J276" s="45">
        <v>46416</v>
      </c>
      <c r="K276" s="45">
        <v>0</v>
      </c>
      <c r="L276" s="45">
        <v>39908</v>
      </c>
      <c r="M276" s="45">
        <v>0</v>
      </c>
      <c r="N276" s="45">
        <v>33868</v>
      </c>
      <c r="O276" s="45">
        <v>0</v>
      </c>
      <c r="P276" s="45">
        <v>28131</v>
      </c>
      <c r="Q276" s="45">
        <v>0</v>
      </c>
      <c r="R276" s="45">
        <v>22676</v>
      </c>
      <c r="S276" s="45">
        <v>0</v>
      </c>
      <c r="T276" s="45">
        <v>64757</v>
      </c>
      <c r="U276" s="45">
        <v>8773</v>
      </c>
    </row>
    <row r="277" spans="1:21" ht="16.05" customHeight="1">
      <c r="A277" s="58" t="s">
        <v>1779</v>
      </c>
      <c r="B277" s="58" t="s">
        <v>1912</v>
      </c>
      <c r="C277" s="45">
        <v>162</v>
      </c>
      <c r="D277" s="45">
        <v>68760</v>
      </c>
      <c r="E277" s="45">
        <v>0</v>
      </c>
      <c r="F277" s="45">
        <v>58772</v>
      </c>
      <c r="G277" s="45">
        <v>0</v>
      </c>
      <c r="H277" s="45">
        <v>49850</v>
      </c>
      <c r="I277" s="45">
        <v>0</v>
      </c>
      <c r="J277" s="45">
        <v>41804</v>
      </c>
      <c r="K277" s="45">
        <v>0</v>
      </c>
      <c r="L277" s="45">
        <v>34092</v>
      </c>
      <c r="M277" s="45">
        <v>0</v>
      </c>
      <c r="N277" s="45">
        <v>27555</v>
      </c>
      <c r="O277" s="45">
        <v>0</v>
      </c>
      <c r="P277" s="45">
        <v>21812</v>
      </c>
      <c r="Q277" s="45">
        <v>0</v>
      </c>
      <c r="R277" s="45">
        <v>16712</v>
      </c>
      <c r="S277" s="45">
        <v>0</v>
      </c>
      <c r="T277" s="45">
        <v>36181</v>
      </c>
      <c r="U277" s="45">
        <v>9714</v>
      </c>
    </row>
    <row r="278" spans="1:21" ht="16.05" customHeight="1">
      <c r="A278" s="58" t="s">
        <v>1779</v>
      </c>
      <c r="B278" s="58" t="s">
        <v>1913</v>
      </c>
      <c r="C278" s="45">
        <v>110</v>
      </c>
      <c r="D278" s="45">
        <v>52424</v>
      </c>
      <c r="E278" s="45">
        <v>1</v>
      </c>
      <c r="F278" s="45">
        <v>42714</v>
      </c>
      <c r="G278" s="45">
        <v>0</v>
      </c>
      <c r="H278" s="45">
        <v>34786</v>
      </c>
      <c r="I278" s="45">
        <v>0</v>
      </c>
      <c r="J278" s="45">
        <v>27905</v>
      </c>
      <c r="K278" s="45">
        <v>0</v>
      </c>
      <c r="L278" s="45">
        <v>21936</v>
      </c>
      <c r="M278" s="45">
        <v>0</v>
      </c>
      <c r="N278" s="45">
        <v>16749</v>
      </c>
      <c r="O278" s="45">
        <v>0</v>
      </c>
      <c r="P278" s="45">
        <v>12402</v>
      </c>
      <c r="Q278" s="45">
        <v>0</v>
      </c>
      <c r="R278" s="45">
        <v>8539</v>
      </c>
      <c r="S278" s="45">
        <v>0</v>
      </c>
      <c r="T278" s="45">
        <v>10221</v>
      </c>
      <c r="U278" s="45">
        <v>9531</v>
      </c>
    </row>
    <row r="279" spans="1:21" ht="16.05" customHeight="1">
      <c r="A279" s="58" t="s">
        <v>1779</v>
      </c>
      <c r="B279" s="58" t="s">
        <v>1914</v>
      </c>
      <c r="C279" s="45">
        <v>166</v>
      </c>
      <c r="D279" s="45">
        <v>68364</v>
      </c>
      <c r="E279" s="45">
        <v>2</v>
      </c>
      <c r="F279" s="45">
        <v>58574</v>
      </c>
      <c r="G279" s="45">
        <v>0</v>
      </c>
      <c r="H279" s="45">
        <v>50069</v>
      </c>
      <c r="I279" s="45">
        <v>0</v>
      </c>
      <c r="J279" s="45">
        <v>42369</v>
      </c>
      <c r="K279" s="45">
        <v>0</v>
      </c>
      <c r="L279" s="45">
        <v>35157</v>
      </c>
      <c r="M279" s="45">
        <v>0</v>
      </c>
      <c r="N279" s="45">
        <v>28914</v>
      </c>
      <c r="O279" s="45">
        <v>0</v>
      </c>
      <c r="P279" s="45">
        <v>23183</v>
      </c>
      <c r="Q279" s="45">
        <v>0</v>
      </c>
      <c r="R279" s="45">
        <v>18259</v>
      </c>
      <c r="S279" s="45">
        <v>0</v>
      </c>
      <c r="T279" s="45">
        <v>42208</v>
      </c>
      <c r="U279" s="45">
        <v>9586</v>
      </c>
    </row>
    <row r="280" spans="1:21" ht="16.05" customHeight="1">
      <c r="A280" s="58" t="s">
        <v>1779</v>
      </c>
      <c r="B280" s="58" t="s">
        <v>1915</v>
      </c>
      <c r="C280" s="45">
        <v>122</v>
      </c>
      <c r="D280" s="45">
        <v>52289</v>
      </c>
      <c r="E280" s="45">
        <v>0</v>
      </c>
      <c r="F280" s="45">
        <v>42729</v>
      </c>
      <c r="G280" s="45">
        <v>0</v>
      </c>
      <c r="H280" s="45">
        <v>34362</v>
      </c>
      <c r="I280" s="45">
        <v>0</v>
      </c>
      <c r="J280" s="45">
        <v>26253</v>
      </c>
      <c r="K280" s="45">
        <v>0</v>
      </c>
      <c r="L280" s="45">
        <v>19300</v>
      </c>
      <c r="M280" s="45">
        <v>0</v>
      </c>
      <c r="N280" s="45">
        <v>13690</v>
      </c>
      <c r="O280" s="45">
        <v>0</v>
      </c>
      <c r="P280" s="45">
        <v>9016</v>
      </c>
      <c r="Q280" s="45">
        <v>0</v>
      </c>
      <c r="R280" s="45">
        <v>5115</v>
      </c>
      <c r="S280" s="45">
        <v>0</v>
      </c>
      <c r="T280" s="45">
        <v>6755</v>
      </c>
      <c r="U280" s="45">
        <v>9334</v>
      </c>
    </row>
    <row r="281" spans="1:21" ht="16.05" customHeight="1">
      <c r="A281" s="58" t="s">
        <v>1779</v>
      </c>
      <c r="B281" s="58" t="s">
        <v>1916</v>
      </c>
      <c r="C281" s="45">
        <v>196</v>
      </c>
      <c r="D281" s="45">
        <v>80893</v>
      </c>
      <c r="E281" s="45">
        <v>0</v>
      </c>
      <c r="F281" s="45">
        <v>70260</v>
      </c>
      <c r="G281" s="45">
        <v>0</v>
      </c>
      <c r="H281" s="45">
        <v>61105</v>
      </c>
      <c r="I281" s="45">
        <v>0</v>
      </c>
      <c r="J281" s="45">
        <v>52399</v>
      </c>
      <c r="K281" s="45">
        <v>0</v>
      </c>
      <c r="L281" s="45">
        <v>44174</v>
      </c>
      <c r="M281" s="45">
        <v>0</v>
      </c>
      <c r="N281" s="45">
        <v>36526</v>
      </c>
      <c r="O281" s="45">
        <v>0</v>
      </c>
      <c r="P281" s="45">
        <v>29814</v>
      </c>
      <c r="Q281" s="45">
        <v>0</v>
      </c>
      <c r="R281" s="45">
        <v>23840</v>
      </c>
      <c r="S281" s="45">
        <v>0</v>
      </c>
      <c r="T281" s="45">
        <v>63921</v>
      </c>
      <c r="U281" s="45">
        <v>10344</v>
      </c>
    </row>
    <row r="282" spans="1:21" ht="16.05" customHeight="1">
      <c r="A282" s="58" t="s">
        <v>1779</v>
      </c>
      <c r="B282" s="58" t="s">
        <v>1917</v>
      </c>
      <c r="C282" s="45">
        <v>114</v>
      </c>
      <c r="D282" s="45">
        <v>51374</v>
      </c>
      <c r="E282" s="45">
        <v>0</v>
      </c>
      <c r="F282" s="45">
        <v>41275</v>
      </c>
      <c r="G282" s="45">
        <v>0</v>
      </c>
      <c r="H282" s="45">
        <v>31948</v>
      </c>
      <c r="I282" s="45">
        <v>0</v>
      </c>
      <c r="J282" s="45">
        <v>23851</v>
      </c>
      <c r="K282" s="45">
        <v>0</v>
      </c>
      <c r="L282" s="45">
        <v>16916</v>
      </c>
      <c r="M282" s="45">
        <v>0</v>
      </c>
      <c r="N282" s="45">
        <v>11454</v>
      </c>
      <c r="O282" s="45">
        <v>0</v>
      </c>
      <c r="P282" s="45">
        <v>7388</v>
      </c>
      <c r="Q282" s="45">
        <v>0</v>
      </c>
      <c r="R282" s="45">
        <v>4245</v>
      </c>
      <c r="S282" s="45">
        <v>0</v>
      </c>
      <c r="T282" s="45">
        <v>4325</v>
      </c>
      <c r="U282" s="45">
        <v>9898</v>
      </c>
    </row>
    <row r="283" spans="1:21" ht="16.05" customHeight="1">
      <c r="A283" s="58" t="s">
        <v>1779</v>
      </c>
      <c r="B283" s="58" t="s">
        <v>1918</v>
      </c>
      <c r="C283" s="45">
        <v>230</v>
      </c>
      <c r="D283" s="45">
        <v>94056</v>
      </c>
      <c r="E283" s="45">
        <v>1</v>
      </c>
      <c r="F283" s="45">
        <v>83663</v>
      </c>
      <c r="G283" s="45">
        <v>0</v>
      </c>
      <c r="H283" s="45">
        <v>73650</v>
      </c>
      <c r="I283" s="45">
        <v>0</v>
      </c>
      <c r="J283" s="45">
        <v>64038</v>
      </c>
      <c r="K283" s="45">
        <v>0</v>
      </c>
      <c r="L283" s="45">
        <v>55126</v>
      </c>
      <c r="M283" s="45">
        <v>0</v>
      </c>
      <c r="N283" s="45">
        <v>46665</v>
      </c>
      <c r="O283" s="45">
        <v>0</v>
      </c>
      <c r="P283" s="45">
        <v>39053</v>
      </c>
      <c r="Q283" s="45">
        <v>0</v>
      </c>
      <c r="R283" s="45">
        <v>31950</v>
      </c>
      <c r="S283" s="45">
        <v>0</v>
      </c>
      <c r="T283" s="45">
        <v>102047</v>
      </c>
      <c r="U283" s="45">
        <v>10123</v>
      </c>
    </row>
    <row r="284" spans="1:21" ht="16.05" customHeight="1">
      <c r="A284" s="58" t="s">
        <v>1779</v>
      </c>
      <c r="B284" s="58" t="s">
        <v>1919</v>
      </c>
      <c r="C284" s="45">
        <v>157</v>
      </c>
      <c r="D284" s="45">
        <v>74697</v>
      </c>
      <c r="E284" s="45">
        <v>0</v>
      </c>
      <c r="F284" s="45">
        <v>63986</v>
      </c>
      <c r="G284" s="45">
        <v>0</v>
      </c>
      <c r="H284" s="45">
        <v>54264</v>
      </c>
      <c r="I284" s="45">
        <v>0</v>
      </c>
      <c r="J284" s="45">
        <v>45213</v>
      </c>
      <c r="K284" s="45">
        <v>0</v>
      </c>
      <c r="L284" s="45">
        <v>36881</v>
      </c>
      <c r="M284" s="45">
        <v>0</v>
      </c>
      <c r="N284" s="45">
        <v>29366</v>
      </c>
      <c r="O284" s="45">
        <v>0</v>
      </c>
      <c r="P284" s="45">
        <v>23259</v>
      </c>
      <c r="Q284" s="45">
        <v>0</v>
      </c>
      <c r="R284" s="45">
        <v>18336</v>
      </c>
      <c r="S284" s="45">
        <v>0</v>
      </c>
      <c r="T284" s="45">
        <v>40493</v>
      </c>
      <c r="U284" s="45">
        <v>10350</v>
      </c>
    </row>
    <row r="285" spans="1:21" ht="16.05" customHeight="1">
      <c r="A285" s="58" t="s">
        <v>1779</v>
      </c>
      <c r="B285" s="58" t="s">
        <v>1920</v>
      </c>
      <c r="C285" s="45">
        <v>131</v>
      </c>
      <c r="D285" s="45">
        <v>52709</v>
      </c>
      <c r="E285" s="45">
        <v>2</v>
      </c>
      <c r="F285" s="45">
        <v>43236</v>
      </c>
      <c r="G285" s="45">
        <v>0</v>
      </c>
      <c r="H285" s="45">
        <v>34568</v>
      </c>
      <c r="I285" s="45">
        <v>0</v>
      </c>
      <c r="J285" s="45">
        <v>26757</v>
      </c>
      <c r="K285" s="45">
        <v>0</v>
      </c>
      <c r="L285" s="45">
        <v>20389</v>
      </c>
      <c r="M285" s="45">
        <v>0</v>
      </c>
      <c r="N285" s="45">
        <v>15212</v>
      </c>
      <c r="O285" s="45">
        <v>0</v>
      </c>
      <c r="P285" s="45">
        <v>10530</v>
      </c>
      <c r="Q285" s="45">
        <v>0</v>
      </c>
      <c r="R285" s="45">
        <v>6340</v>
      </c>
      <c r="S285" s="45">
        <v>0</v>
      </c>
      <c r="T285" s="45">
        <v>8783</v>
      </c>
      <c r="U285" s="45">
        <v>9272</v>
      </c>
    </row>
    <row r="286" spans="1:21" ht="16.05" customHeight="1">
      <c r="A286" s="58" t="s">
        <v>1779</v>
      </c>
      <c r="B286" s="58" t="s">
        <v>1921</v>
      </c>
      <c r="C286" s="45">
        <v>173</v>
      </c>
      <c r="D286" s="45">
        <v>80918</v>
      </c>
      <c r="E286" s="45">
        <v>0</v>
      </c>
      <c r="F286" s="45">
        <v>70376</v>
      </c>
      <c r="G286" s="45">
        <v>0</v>
      </c>
      <c r="H286" s="45">
        <v>60655</v>
      </c>
      <c r="I286" s="45">
        <v>0</v>
      </c>
      <c r="J286" s="45">
        <v>51402</v>
      </c>
      <c r="K286" s="45">
        <v>0</v>
      </c>
      <c r="L286" s="45">
        <v>42858</v>
      </c>
      <c r="M286" s="45">
        <v>0</v>
      </c>
      <c r="N286" s="45">
        <v>35104</v>
      </c>
      <c r="O286" s="45">
        <v>0</v>
      </c>
      <c r="P286" s="45">
        <v>27656</v>
      </c>
      <c r="Q286" s="45">
        <v>0</v>
      </c>
      <c r="R286" s="45">
        <v>22204</v>
      </c>
      <c r="S286" s="45">
        <v>0</v>
      </c>
      <c r="T286" s="45">
        <v>56581</v>
      </c>
      <c r="U286" s="45">
        <v>10312</v>
      </c>
    </row>
    <row r="287" spans="1:21" ht="16.05" customHeight="1">
      <c r="A287" s="58" t="s">
        <v>1779</v>
      </c>
      <c r="B287" s="58" t="s">
        <v>1922</v>
      </c>
      <c r="C287" s="45">
        <v>229</v>
      </c>
      <c r="D287" s="45">
        <v>94574</v>
      </c>
      <c r="E287" s="45">
        <v>0</v>
      </c>
      <c r="F287" s="45">
        <v>83281</v>
      </c>
      <c r="G287" s="45">
        <v>0</v>
      </c>
      <c r="H287" s="45">
        <v>72485</v>
      </c>
      <c r="I287" s="45">
        <v>0</v>
      </c>
      <c r="J287" s="45">
        <v>62618</v>
      </c>
      <c r="K287" s="45">
        <v>0</v>
      </c>
      <c r="L287" s="45">
        <v>53534</v>
      </c>
      <c r="M287" s="45">
        <v>0</v>
      </c>
      <c r="N287" s="45">
        <v>44993</v>
      </c>
      <c r="O287" s="45">
        <v>0</v>
      </c>
      <c r="P287" s="45">
        <v>37465</v>
      </c>
      <c r="Q287" s="45">
        <v>0</v>
      </c>
      <c r="R287" s="45">
        <v>30617</v>
      </c>
      <c r="S287" s="45">
        <v>0</v>
      </c>
      <c r="T287" s="45">
        <v>88510</v>
      </c>
      <c r="U287" s="45">
        <v>11012</v>
      </c>
    </row>
    <row r="288" spans="1:21" ht="16.05" customHeight="1">
      <c r="A288" s="58" t="s">
        <v>1779</v>
      </c>
      <c r="B288" s="58" t="s">
        <v>1923</v>
      </c>
      <c r="C288" s="45">
        <v>136</v>
      </c>
      <c r="D288" s="45">
        <v>53237</v>
      </c>
      <c r="E288" s="45">
        <v>3</v>
      </c>
      <c r="F288" s="45">
        <v>45089</v>
      </c>
      <c r="G288" s="45">
        <v>0</v>
      </c>
      <c r="H288" s="45">
        <v>37477</v>
      </c>
      <c r="I288" s="45">
        <v>0</v>
      </c>
      <c r="J288" s="45">
        <v>31254</v>
      </c>
      <c r="K288" s="45">
        <v>0</v>
      </c>
      <c r="L288" s="45">
        <v>25860</v>
      </c>
      <c r="M288" s="45">
        <v>0</v>
      </c>
      <c r="N288" s="45">
        <v>21313</v>
      </c>
      <c r="O288" s="45">
        <v>0</v>
      </c>
      <c r="P288" s="45">
        <v>17207</v>
      </c>
      <c r="Q288" s="45">
        <v>0</v>
      </c>
      <c r="R288" s="45">
        <v>13506</v>
      </c>
      <c r="S288" s="45">
        <v>0</v>
      </c>
      <c r="T288" s="45">
        <v>26719</v>
      </c>
      <c r="U288" s="45">
        <v>8011</v>
      </c>
    </row>
    <row r="289" spans="1:21" ht="16.05" customHeight="1">
      <c r="A289" s="58" t="s">
        <v>1779</v>
      </c>
      <c r="B289" s="58" t="s">
        <v>1924</v>
      </c>
      <c r="C289" s="45">
        <v>191</v>
      </c>
      <c r="D289" s="45">
        <v>85530</v>
      </c>
      <c r="E289" s="45">
        <v>0</v>
      </c>
      <c r="F289" s="45">
        <v>75376</v>
      </c>
      <c r="G289" s="45">
        <v>0</v>
      </c>
      <c r="H289" s="45">
        <v>66112</v>
      </c>
      <c r="I289" s="45">
        <v>0</v>
      </c>
      <c r="J289" s="45">
        <v>57398</v>
      </c>
      <c r="K289" s="45">
        <v>0</v>
      </c>
      <c r="L289" s="45">
        <v>49083</v>
      </c>
      <c r="M289" s="45">
        <v>0</v>
      </c>
      <c r="N289" s="45">
        <v>41055</v>
      </c>
      <c r="O289" s="45">
        <v>0</v>
      </c>
      <c r="P289" s="45">
        <v>33930</v>
      </c>
      <c r="Q289" s="45">
        <v>0</v>
      </c>
      <c r="R289" s="45">
        <v>27667</v>
      </c>
      <c r="S289" s="45">
        <v>0</v>
      </c>
      <c r="T289" s="45">
        <v>81718</v>
      </c>
      <c r="U289" s="45">
        <v>9895</v>
      </c>
    </row>
    <row r="290" spans="1:21" ht="16.05" customHeight="1">
      <c r="A290" s="58" t="s">
        <v>1779</v>
      </c>
      <c r="B290" s="58" t="s">
        <v>1925</v>
      </c>
      <c r="C290" s="45">
        <v>111</v>
      </c>
      <c r="D290" s="45">
        <v>53330</v>
      </c>
      <c r="E290" s="45">
        <v>0</v>
      </c>
      <c r="F290" s="45">
        <v>44871</v>
      </c>
      <c r="G290" s="45">
        <v>0</v>
      </c>
      <c r="H290" s="45">
        <v>37348</v>
      </c>
      <c r="I290" s="45">
        <v>0</v>
      </c>
      <c r="J290" s="45">
        <v>30498</v>
      </c>
      <c r="K290" s="45">
        <v>0</v>
      </c>
      <c r="L290" s="45">
        <v>24199</v>
      </c>
      <c r="M290" s="45">
        <v>0</v>
      </c>
      <c r="N290" s="45">
        <v>18632</v>
      </c>
      <c r="O290" s="45">
        <v>0</v>
      </c>
      <c r="P290" s="45">
        <v>14102</v>
      </c>
      <c r="Q290" s="45">
        <v>0</v>
      </c>
      <c r="R290" s="45">
        <v>10518</v>
      </c>
      <c r="S290" s="45">
        <v>0</v>
      </c>
      <c r="T290" s="45">
        <v>17349</v>
      </c>
      <c r="U290" s="45">
        <v>8203</v>
      </c>
    </row>
    <row r="291" spans="1:21" ht="16.05" customHeight="1">
      <c r="A291" s="58" t="s">
        <v>1779</v>
      </c>
      <c r="B291" s="58" t="s">
        <v>1926</v>
      </c>
      <c r="C291" s="45">
        <v>220</v>
      </c>
      <c r="D291" s="45">
        <v>89320</v>
      </c>
      <c r="E291" s="45">
        <v>0</v>
      </c>
      <c r="F291" s="45">
        <v>78491</v>
      </c>
      <c r="G291" s="45">
        <v>0</v>
      </c>
      <c r="H291" s="45">
        <v>69284</v>
      </c>
      <c r="I291" s="45">
        <v>0</v>
      </c>
      <c r="J291" s="45">
        <v>60943</v>
      </c>
      <c r="K291" s="45">
        <v>0</v>
      </c>
      <c r="L291" s="45">
        <v>53100</v>
      </c>
      <c r="M291" s="45">
        <v>0</v>
      </c>
      <c r="N291" s="45">
        <v>45665</v>
      </c>
      <c r="O291" s="45">
        <v>0</v>
      </c>
      <c r="P291" s="45">
        <v>38943</v>
      </c>
      <c r="Q291" s="45">
        <v>0</v>
      </c>
      <c r="R291" s="45">
        <v>32649</v>
      </c>
      <c r="S291" s="45">
        <v>0</v>
      </c>
      <c r="T291" s="45">
        <v>108369</v>
      </c>
      <c r="U291" s="45">
        <v>10517</v>
      </c>
    </row>
    <row r="292" spans="1:21" ht="16.05" customHeight="1">
      <c r="A292" s="58" t="s">
        <v>1779</v>
      </c>
      <c r="B292" s="58" t="s">
        <v>1927</v>
      </c>
      <c r="C292" s="45">
        <v>126</v>
      </c>
      <c r="D292" s="45">
        <v>50976</v>
      </c>
      <c r="E292" s="45">
        <v>0</v>
      </c>
      <c r="F292" s="45">
        <v>41799</v>
      </c>
      <c r="G292" s="45">
        <v>0</v>
      </c>
      <c r="H292" s="45">
        <v>35323</v>
      </c>
      <c r="I292" s="45">
        <v>0</v>
      </c>
      <c r="J292" s="45">
        <v>29339</v>
      </c>
      <c r="K292" s="45">
        <v>0</v>
      </c>
      <c r="L292" s="45">
        <v>23816</v>
      </c>
      <c r="M292" s="45">
        <v>0</v>
      </c>
      <c r="N292" s="45">
        <v>19045</v>
      </c>
      <c r="O292" s="45">
        <v>0</v>
      </c>
      <c r="P292" s="45">
        <v>14665</v>
      </c>
      <c r="Q292" s="45">
        <v>0</v>
      </c>
      <c r="R292" s="45">
        <v>11014</v>
      </c>
      <c r="S292" s="45">
        <v>0</v>
      </c>
      <c r="T292" s="45">
        <v>18268</v>
      </c>
      <c r="U292" s="45">
        <v>9014</v>
      </c>
    </row>
    <row r="293" spans="1:21" ht="16.05" customHeight="1">
      <c r="A293" s="58" t="s">
        <v>1779</v>
      </c>
      <c r="B293" s="58" t="s">
        <v>1928</v>
      </c>
      <c r="C293" s="45">
        <v>87</v>
      </c>
      <c r="D293" s="45">
        <v>38087</v>
      </c>
      <c r="E293" s="45">
        <v>0</v>
      </c>
      <c r="F293" s="45">
        <v>30366</v>
      </c>
      <c r="G293" s="45">
        <v>0</v>
      </c>
      <c r="H293" s="45">
        <v>24620</v>
      </c>
      <c r="I293" s="45">
        <v>0</v>
      </c>
      <c r="J293" s="45">
        <v>19443</v>
      </c>
      <c r="K293" s="45">
        <v>0</v>
      </c>
      <c r="L293" s="45">
        <v>14639</v>
      </c>
      <c r="M293" s="45">
        <v>0</v>
      </c>
      <c r="N293" s="45">
        <v>10954</v>
      </c>
      <c r="O293" s="45">
        <v>0</v>
      </c>
      <c r="P293" s="45">
        <v>7762</v>
      </c>
      <c r="Q293" s="45">
        <v>0</v>
      </c>
      <c r="R293" s="45">
        <v>4941</v>
      </c>
      <c r="S293" s="45">
        <v>0</v>
      </c>
      <c r="T293" s="45">
        <v>5281</v>
      </c>
      <c r="U293" s="45">
        <v>7619</v>
      </c>
    </row>
    <row r="294" spans="1:21" ht="16.05" customHeight="1">
      <c r="A294" s="58" t="s">
        <v>1779</v>
      </c>
      <c r="B294" s="58" t="s">
        <v>1929</v>
      </c>
      <c r="C294" s="45">
        <v>40</v>
      </c>
      <c r="D294" s="45">
        <v>12783</v>
      </c>
      <c r="E294" s="45">
        <v>0</v>
      </c>
      <c r="F294" s="45">
        <v>7462</v>
      </c>
      <c r="G294" s="45">
        <v>0</v>
      </c>
      <c r="H294" s="45">
        <v>3792</v>
      </c>
      <c r="I294" s="45">
        <v>0</v>
      </c>
      <c r="J294" s="45">
        <v>1554</v>
      </c>
      <c r="K294" s="45">
        <v>0</v>
      </c>
      <c r="L294" s="45">
        <v>348</v>
      </c>
      <c r="M294" s="45">
        <v>0</v>
      </c>
      <c r="N294" s="45">
        <v>40</v>
      </c>
      <c r="O294" s="45">
        <v>0</v>
      </c>
      <c r="P294" s="45">
        <v>0</v>
      </c>
      <c r="Q294" s="45">
        <v>0</v>
      </c>
      <c r="R294" s="45">
        <v>0</v>
      </c>
      <c r="S294" s="45">
        <v>0</v>
      </c>
      <c r="T294" s="45">
        <v>0</v>
      </c>
      <c r="U294" s="45">
        <v>5276</v>
      </c>
    </row>
    <row r="295" spans="1:21" ht="16.05" customHeight="1">
      <c r="A295" s="58" t="s">
        <v>1779</v>
      </c>
      <c r="B295" s="58" t="s">
        <v>1930</v>
      </c>
      <c r="C295" s="45">
        <v>19</v>
      </c>
      <c r="D295" s="45">
        <v>7735</v>
      </c>
      <c r="E295" s="45">
        <v>0</v>
      </c>
      <c r="F295" s="45">
        <v>5324</v>
      </c>
      <c r="G295" s="45">
        <v>0</v>
      </c>
      <c r="H295" s="45">
        <v>3282</v>
      </c>
      <c r="I295" s="45">
        <v>0</v>
      </c>
      <c r="J295" s="45">
        <v>1492</v>
      </c>
      <c r="K295" s="45">
        <v>0</v>
      </c>
      <c r="L295" s="45">
        <v>0</v>
      </c>
      <c r="M295" s="45">
        <v>0</v>
      </c>
      <c r="N295" s="45">
        <v>0</v>
      </c>
      <c r="O295" s="45">
        <v>0</v>
      </c>
      <c r="P295" s="45">
        <v>0</v>
      </c>
      <c r="Q295" s="45">
        <v>0</v>
      </c>
      <c r="R295" s="45">
        <v>0</v>
      </c>
      <c r="S295" s="45">
        <v>0</v>
      </c>
      <c r="T295" s="45">
        <v>0</v>
      </c>
      <c r="U295" s="45">
        <v>2379</v>
      </c>
    </row>
    <row r="296" spans="1:21" ht="16.05" customHeight="1">
      <c r="A296" s="58" t="s">
        <v>1779</v>
      </c>
      <c r="B296" s="58" t="s">
        <v>1931</v>
      </c>
      <c r="C296" s="45">
        <v>61</v>
      </c>
      <c r="D296" s="45">
        <v>23615</v>
      </c>
      <c r="E296" s="45">
        <v>0</v>
      </c>
      <c r="F296" s="45">
        <v>17658</v>
      </c>
      <c r="G296" s="45">
        <v>0</v>
      </c>
      <c r="H296" s="45">
        <v>12092</v>
      </c>
      <c r="I296" s="45">
        <v>0</v>
      </c>
      <c r="J296" s="45">
        <v>7611</v>
      </c>
      <c r="K296" s="45">
        <v>0</v>
      </c>
      <c r="L296" s="45">
        <v>4384</v>
      </c>
      <c r="M296" s="45">
        <v>0</v>
      </c>
      <c r="N296" s="45">
        <v>2135</v>
      </c>
      <c r="O296" s="45">
        <v>0</v>
      </c>
      <c r="P296" s="45">
        <v>820</v>
      </c>
      <c r="Q296" s="45">
        <v>0</v>
      </c>
      <c r="R296" s="45">
        <v>366</v>
      </c>
      <c r="S296" s="45">
        <v>0</v>
      </c>
      <c r="T296" s="45">
        <v>148</v>
      </c>
      <c r="U296" s="45">
        <v>5868</v>
      </c>
    </row>
    <row r="297" spans="1:21" ht="16.05" customHeight="1">
      <c r="A297" s="58" t="s">
        <v>1779</v>
      </c>
      <c r="B297" s="58" t="s">
        <v>1932</v>
      </c>
      <c r="C297" s="45">
        <v>29</v>
      </c>
      <c r="D297" s="45">
        <v>8598</v>
      </c>
      <c r="E297" s="45">
        <v>0</v>
      </c>
      <c r="F297" s="45">
        <v>4185</v>
      </c>
      <c r="G297" s="45">
        <v>0</v>
      </c>
      <c r="H297" s="45">
        <v>1897</v>
      </c>
      <c r="I297" s="45">
        <v>0</v>
      </c>
      <c r="J297" s="45">
        <v>213</v>
      </c>
      <c r="K297" s="45">
        <v>0</v>
      </c>
      <c r="L297" s="45">
        <v>0</v>
      </c>
      <c r="M297" s="45">
        <v>0</v>
      </c>
      <c r="N297" s="45">
        <v>0</v>
      </c>
      <c r="O297" s="45">
        <v>0</v>
      </c>
      <c r="P297" s="45">
        <v>0</v>
      </c>
      <c r="Q297" s="45">
        <v>0</v>
      </c>
      <c r="R297" s="45">
        <v>0</v>
      </c>
      <c r="S297" s="45">
        <v>0</v>
      </c>
      <c r="T297" s="45">
        <v>0</v>
      </c>
      <c r="U297" s="45">
        <v>4397</v>
      </c>
    </row>
    <row r="298" spans="1:21" ht="16.05" customHeight="1">
      <c r="A298" s="58" t="s">
        <v>1779</v>
      </c>
      <c r="B298" s="58" t="s">
        <v>1933</v>
      </c>
      <c r="C298" s="45">
        <v>36</v>
      </c>
      <c r="D298" s="45">
        <v>13600</v>
      </c>
      <c r="E298" s="45">
        <v>0</v>
      </c>
      <c r="F298" s="45">
        <v>8476</v>
      </c>
      <c r="G298" s="45">
        <v>0</v>
      </c>
      <c r="H298" s="45">
        <v>4328</v>
      </c>
      <c r="I298" s="45">
        <v>0</v>
      </c>
      <c r="J298" s="45">
        <v>1409</v>
      </c>
      <c r="K298" s="45">
        <v>0</v>
      </c>
      <c r="L298" s="45">
        <v>409</v>
      </c>
      <c r="M298" s="45">
        <v>0</v>
      </c>
      <c r="N298" s="45">
        <v>113</v>
      </c>
      <c r="O298" s="45">
        <v>0</v>
      </c>
      <c r="P298" s="45">
        <v>0</v>
      </c>
      <c r="Q298" s="45">
        <v>0</v>
      </c>
      <c r="R298" s="45">
        <v>0</v>
      </c>
      <c r="S298" s="45">
        <v>0</v>
      </c>
      <c r="T298" s="45">
        <v>0</v>
      </c>
      <c r="U298" s="45">
        <v>5084</v>
      </c>
    </row>
    <row r="299" spans="1:21" ht="16.05" customHeight="1">
      <c r="A299" s="58" t="s">
        <v>1779</v>
      </c>
      <c r="B299" s="58" t="s">
        <v>1934</v>
      </c>
      <c r="C299" s="45">
        <v>16</v>
      </c>
      <c r="D299" s="45">
        <v>5886</v>
      </c>
      <c r="E299" s="45">
        <v>0</v>
      </c>
      <c r="F299" s="45">
        <v>2911</v>
      </c>
      <c r="G299" s="45">
        <v>0</v>
      </c>
      <c r="H299" s="45">
        <v>927</v>
      </c>
      <c r="I299" s="45">
        <v>0</v>
      </c>
      <c r="J299" s="45">
        <v>0</v>
      </c>
      <c r="K299" s="45">
        <v>0</v>
      </c>
      <c r="L299" s="45">
        <v>0</v>
      </c>
      <c r="M299" s="45">
        <v>0</v>
      </c>
      <c r="N299" s="45">
        <v>0</v>
      </c>
      <c r="O299" s="45">
        <v>0</v>
      </c>
      <c r="P299" s="45">
        <v>0</v>
      </c>
      <c r="Q299" s="45">
        <v>0</v>
      </c>
      <c r="R299" s="45">
        <v>0</v>
      </c>
      <c r="S299" s="45">
        <v>0</v>
      </c>
      <c r="T299" s="45">
        <v>0</v>
      </c>
      <c r="U299" s="45">
        <v>2973</v>
      </c>
    </row>
    <row r="300" spans="1:21" ht="16.05" customHeight="1">
      <c r="A300" s="58" t="s">
        <v>1779</v>
      </c>
      <c r="B300" s="58" t="s">
        <v>1935</v>
      </c>
      <c r="C300" s="45">
        <v>36</v>
      </c>
      <c r="D300" s="45">
        <v>19920</v>
      </c>
      <c r="E300" s="45">
        <v>0</v>
      </c>
      <c r="F300" s="45">
        <v>13642</v>
      </c>
      <c r="G300" s="45">
        <v>0</v>
      </c>
      <c r="H300" s="45">
        <v>8002</v>
      </c>
      <c r="I300" s="45">
        <v>0</v>
      </c>
      <c r="J300" s="45">
        <v>4036</v>
      </c>
      <c r="K300" s="45">
        <v>0</v>
      </c>
      <c r="L300" s="45">
        <v>1558</v>
      </c>
      <c r="M300" s="45">
        <v>0</v>
      </c>
      <c r="N300" s="45">
        <v>512</v>
      </c>
      <c r="O300" s="45">
        <v>0</v>
      </c>
      <c r="P300" s="45">
        <v>177</v>
      </c>
      <c r="Q300" s="45">
        <v>0</v>
      </c>
      <c r="R300" s="45">
        <v>0</v>
      </c>
      <c r="S300" s="45">
        <v>0</v>
      </c>
      <c r="T300" s="45">
        <v>0</v>
      </c>
      <c r="U300" s="45">
        <v>6217</v>
      </c>
    </row>
    <row r="301" spans="1:21" ht="16.05" customHeight="1">
      <c r="A301" s="58" t="s">
        <v>1779</v>
      </c>
      <c r="B301" s="58" t="s">
        <v>1936</v>
      </c>
      <c r="C301" s="45">
        <v>67</v>
      </c>
      <c r="D301" s="45">
        <v>25494</v>
      </c>
      <c r="E301" s="45">
        <v>0</v>
      </c>
      <c r="F301" s="45">
        <v>18765</v>
      </c>
      <c r="G301" s="45">
        <v>0</v>
      </c>
      <c r="H301" s="45">
        <v>12813</v>
      </c>
      <c r="I301" s="45">
        <v>0</v>
      </c>
      <c r="J301" s="45">
        <v>7584</v>
      </c>
      <c r="K301" s="45">
        <v>0</v>
      </c>
      <c r="L301" s="45">
        <v>3509</v>
      </c>
      <c r="M301" s="45">
        <v>0</v>
      </c>
      <c r="N301" s="45">
        <v>1348</v>
      </c>
      <c r="O301" s="45">
        <v>0</v>
      </c>
      <c r="P301" s="45">
        <v>680</v>
      </c>
      <c r="Q301" s="45">
        <v>0</v>
      </c>
      <c r="R301" s="45">
        <v>315</v>
      </c>
      <c r="S301" s="45">
        <v>0</v>
      </c>
      <c r="T301" s="45">
        <v>91</v>
      </c>
      <c r="U301" s="45">
        <v>6653</v>
      </c>
    </row>
    <row r="302" spans="1:21" ht="16.05" customHeight="1">
      <c r="A302" s="58" t="s">
        <v>1779</v>
      </c>
      <c r="B302" s="58" t="s">
        <v>1937</v>
      </c>
      <c r="C302" s="45">
        <v>98</v>
      </c>
      <c r="D302" s="45">
        <v>48372</v>
      </c>
      <c r="E302" s="45">
        <v>1</v>
      </c>
      <c r="F302" s="45">
        <v>40624</v>
      </c>
      <c r="G302" s="45">
        <v>0</v>
      </c>
      <c r="H302" s="45">
        <v>33662</v>
      </c>
      <c r="I302" s="45">
        <v>0</v>
      </c>
      <c r="J302" s="45">
        <v>27199</v>
      </c>
      <c r="K302" s="45">
        <v>0</v>
      </c>
      <c r="L302" s="45">
        <v>21861</v>
      </c>
      <c r="M302" s="45">
        <v>0</v>
      </c>
      <c r="N302" s="45">
        <v>16871</v>
      </c>
      <c r="O302" s="45">
        <v>0</v>
      </c>
      <c r="P302" s="45">
        <v>12441</v>
      </c>
      <c r="Q302" s="45">
        <v>0</v>
      </c>
      <c r="R302" s="45">
        <v>8527</v>
      </c>
      <c r="S302" s="45">
        <v>0</v>
      </c>
      <c r="T302" s="45">
        <v>13982</v>
      </c>
      <c r="U302" s="45">
        <v>7536</v>
      </c>
    </row>
    <row r="303" spans="1:21" ht="16.05" customHeight="1">
      <c r="A303" s="58" t="s">
        <v>1779</v>
      </c>
      <c r="B303" s="58" t="s">
        <v>1938</v>
      </c>
      <c r="C303" s="45">
        <v>95</v>
      </c>
      <c r="D303" s="45">
        <v>39611</v>
      </c>
      <c r="E303" s="45">
        <v>0</v>
      </c>
      <c r="F303" s="45">
        <v>31860</v>
      </c>
      <c r="G303" s="45">
        <v>0</v>
      </c>
      <c r="H303" s="45">
        <v>24591</v>
      </c>
      <c r="I303" s="45">
        <v>0</v>
      </c>
      <c r="J303" s="45">
        <v>18159</v>
      </c>
      <c r="K303" s="45">
        <v>0</v>
      </c>
      <c r="L303" s="45">
        <v>12715</v>
      </c>
      <c r="M303" s="45">
        <v>0</v>
      </c>
      <c r="N303" s="45">
        <v>8354</v>
      </c>
      <c r="O303" s="45">
        <v>0</v>
      </c>
      <c r="P303" s="45">
        <v>4603</v>
      </c>
      <c r="Q303" s="45">
        <v>0</v>
      </c>
      <c r="R303" s="45">
        <v>2318</v>
      </c>
      <c r="S303" s="45">
        <v>0</v>
      </c>
      <c r="T303" s="45">
        <v>2719</v>
      </c>
      <c r="U303" s="45">
        <v>7623</v>
      </c>
    </row>
    <row r="304" spans="1:21" ht="16.05" customHeight="1">
      <c r="A304" s="58" t="s">
        <v>1779</v>
      </c>
      <c r="B304" s="58" t="s">
        <v>1939</v>
      </c>
      <c r="C304" s="45">
        <v>77</v>
      </c>
      <c r="D304" s="45">
        <v>31168</v>
      </c>
      <c r="E304" s="45">
        <v>1</v>
      </c>
      <c r="F304" s="45">
        <v>24968</v>
      </c>
      <c r="G304" s="45">
        <v>0</v>
      </c>
      <c r="H304" s="45">
        <v>19464</v>
      </c>
      <c r="I304" s="45">
        <v>0</v>
      </c>
      <c r="J304" s="45">
        <v>14995</v>
      </c>
      <c r="K304" s="45">
        <v>0</v>
      </c>
      <c r="L304" s="45">
        <v>10926</v>
      </c>
      <c r="M304" s="45">
        <v>0</v>
      </c>
      <c r="N304" s="45">
        <v>7405</v>
      </c>
      <c r="O304" s="45">
        <v>0</v>
      </c>
      <c r="P304" s="45">
        <v>4831</v>
      </c>
      <c r="Q304" s="45">
        <v>0</v>
      </c>
      <c r="R304" s="45">
        <v>3061</v>
      </c>
      <c r="S304" s="45">
        <v>0</v>
      </c>
      <c r="T304" s="45">
        <v>2231</v>
      </c>
      <c r="U304" s="45">
        <v>6033</v>
      </c>
    </row>
    <row r="305" spans="1:21" ht="16.05" customHeight="1">
      <c r="A305" s="58" t="s">
        <v>1779</v>
      </c>
      <c r="B305" s="58" t="s">
        <v>1940</v>
      </c>
      <c r="C305" s="45">
        <v>133</v>
      </c>
      <c r="D305" s="45">
        <v>50072</v>
      </c>
      <c r="E305" s="45">
        <v>1</v>
      </c>
      <c r="F305" s="45">
        <v>41496</v>
      </c>
      <c r="G305" s="45">
        <v>0</v>
      </c>
      <c r="H305" s="45">
        <v>33470</v>
      </c>
      <c r="I305" s="45">
        <v>0</v>
      </c>
      <c r="J305" s="45">
        <v>25929</v>
      </c>
      <c r="K305" s="45">
        <v>0</v>
      </c>
      <c r="L305" s="45">
        <v>20037</v>
      </c>
      <c r="M305" s="45">
        <v>0</v>
      </c>
      <c r="N305" s="45">
        <v>14548</v>
      </c>
      <c r="O305" s="45">
        <v>0</v>
      </c>
      <c r="P305" s="45">
        <v>10493</v>
      </c>
      <c r="Q305" s="45">
        <v>0</v>
      </c>
      <c r="R305" s="45">
        <v>7064</v>
      </c>
      <c r="S305" s="45">
        <v>0</v>
      </c>
      <c r="T305" s="45">
        <v>10006</v>
      </c>
      <c r="U305" s="45">
        <v>8427</v>
      </c>
    </row>
    <row r="306" spans="1:21" ht="16.05" customHeight="1">
      <c r="A306" s="58" t="s">
        <v>1779</v>
      </c>
      <c r="B306" s="58" t="s">
        <v>1941</v>
      </c>
      <c r="C306" s="45">
        <v>122</v>
      </c>
      <c r="D306" s="45">
        <v>57357</v>
      </c>
      <c r="E306" s="45">
        <v>0</v>
      </c>
      <c r="F306" s="45">
        <v>48683</v>
      </c>
      <c r="G306" s="45">
        <v>0</v>
      </c>
      <c r="H306" s="45">
        <v>40524</v>
      </c>
      <c r="I306" s="45">
        <v>0</v>
      </c>
      <c r="J306" s="45">
        <v>32965</v>
      </c>
      <c r="K306" s="45">
        <v>0</v>
      </c>
      <c r="L306" s="45">
        <v>25825</v>
      </c>
      <c r="M306" s="45">
        <v>0</v>
      </c>
      <c r="N306" s="45">
        <v>19198</v>
      </c>
      <c r="O306" s="45">
        <v>0</v>
      </c>
      <c r="P306" s="45">
        <v>13679</v>
      </c>
      <c r="Q306" s="45">
        <v>0</v>
      </c>
      <c r="R306" s="45">
        <v>9331</v>
      </c>
      <c r="S306" s="45">
        <v>0</v>
      </c>
      <c r="T306" s="45">
        <v>15356</v>
      </c>
      <c r="U306" s="45">
        <v>8426</v>
      </c>
    </row>
    <row r="307" spans="1:21" ht="16.05" customHeight="1">
      <c r="A307" s="58" t="s">
        <v>1779</v>
      </c>
      <c r="B307" s="58" t="s">
        <v>1942</v>
      </c>
      <c r="C307" s="45">
        <v>75</v>
      </c>
      <c r="D307" s="45">
        <v>34420</v>
      </c>
      <c r="E307" s="45">
        <v>0</v>
      </c>
      <c r="F307" s="45">
        <v>27473</v>
      </c>
      <c r="G307" s="45">
        <v>0</v>
      </c>
      <c r="H307" s="45">
        <v>21676</v>
      </c>
      <c r="I307" s="45">
        <v>0</v>
      </c>
      <c r="J307" s="45">
        <v>16161</v>
      </c>
      <c r="K307" s="45">
        <v>0</v>
      </c>
      <c r="L307" s="45">
        <v>11176</v>
      </c>
      <c r="M307" s="45">
        <v>0</v>
      </c>
      <c r="N307" s="45">
        <v>7104</v>
      </c>
      <c r="O307" s="45">
        <v>0</v>
      </c>
      <c r="P307" s="45">
        <v>4177</v>
      </c>
      <c r="Q307" s="45">
        <v>0</v>
      </c>
      <c r="R307" s="45">
        <v>2392</v>
      </c>
      <c r="S307" s="45">
        <v>0</v>
      </c>
      <c r="T307" s="45">
        <v>2190</v>
      </c>
      <c r="U307" s="45">
        <v>6775</v>
      </c>
    </row>
    <row r="308" spans="1:21" ht="16.05" customHeight="1">
      <c r="A308" s="58" t="s">
        <v>1779</v>
      </c>
      <c r="B308" s="58" t="s">
        <v>1943</v>
      </c>
      <c r="C308" s="45">
        <v>39</v>
      </c>
      <c r="D308" s="45">
        <v>16467</v>
      </c>
      <c r="E308" s="45">
        <v>0</v>
      </c>
      <c r="F308" s="45">
        <v>10911</v>
      </c>
      <c r="G308" s="45">
        <v>0</v>
      </c>
      <c r="H308" s="45">
        <v>5843</v>
      </c>
      <c r="I308" s="45">
        <v>0</v>
      </c>
      <c r="J308" s="45">
        <v>2063</v>
      </c>
      <c r="K308" s="45">
        <v>0</v>
      </c>
      <c r="L308" s="45">
        <v>510</v>
      </c>
      <c r="M308" s="45">
        <v>0</v>
      </c>
      <c r="N308" s="45">
        <v>185</v>
      </c>
      <c r="O308" s="45">
        <v>0</v>
      </c>
      <c r="P308" s="45">
        <v>70</v>
      </c>
      <c r="Q308" s="45">
        <v>0</v>
      </c>
      <c r="R308" s="45">
        <v>0</v>
      </c>
      <c r="S308" s="45">
        <v>0</v>
      </c>
      <c r="T308" s="45">
        <v>0</v>
      </c>
      <c r="U308" s="45">
        <v>5498</v>
      </c>
    </row>
    <row r="309" spans="1:21" ht="16.05" customHeight="1">
      <c r="A309" s="58" t="s">
        <v>1779</v>
      </c>
      <c r="B309" s="58" t="s">
        <v>1944</v>
      </c>
      <c r="C309" s="45">
        <v>59</v>
      </c>
      <c r="D309" s="45">
        <v>20964</v>
      </c>
      <c r="E309" s="45">
        <v>0</v>
      </c>
      <c r="F309" s="45">
        <v>15958</v>
      </c>
      <c r="G309" s="45">
        <v>0</v>
      </c>
      <c r="H309" s="45">
        <v>11680</v>
      </c>
      <c r="I309" s="45">
        <v>0</v>
      </c>
      <c r="J309" s="45">
        <v>8064</v>
      </c>
      <c r="K309" s="45">
        <v>0</v>
      </c>
      <c r="L309" s="45">
        <v>5210</v>
      </c>
      <c r="M309" s="45">
        <v>0</v>
      </c>
      <c r="N309" s="45">
        <v>3021</v>
      </c>
      <c r="O309" s="45">
        <v>0</v>
      </c>
      <c r="P309" s="45">
        <v>1462</v>
      </c>
      <c r="Q309" s="45">
        <v>0</v>
      </c>
      <c r="R309" s="45">
        <v>613</v>
      </c>
      <c r="S309" s="45">
        <v>0</v>
      </c>
      <c r="T309" s="45">
        <v>195</v>
      </c>
      <c r="U309" s="45">
        <v>4946</v>
      </c>
    </row>
    <row r="310" spans="1:21" ht="16.05" customHeight="1">
      <c r="A310" s="58" t="s">
        <v>1779</v>
      </c>
      <c r="B310" s="58" t="s">
        <v>1945</v>
      </c>
      <c r="C310" s="45">
        <v>61</v>
      </c>
      <c r="D310" s="45">
        <v>31832</v>
      </c>
      <c r="E310" s="45">
        <v>0</v>
      </c>
      <c r="F310" s="45">
        <v>24910</v>
      </c>
      <c r="G310" s="45">
        <v>0</v>
      </c>
      <c r="H310" s="45">
        <v>18801</v>
      </c>
      <c r="I310" s="45">
        <v>0</v>
      </c>
      <c r="J310" s="45">
        <v>13398</v>
      </c>
      <c r="K310" s="45">
        <v>0</v>
      </c>
      <c r="L310" s="45">
        <v>9886</v>
      </c>
      <c r="M310" s="45">
        <v>0</v>
      </c>
      <c r="N310" s="45">
        <v>6705</v>
      </c>
      <c r="O310" s="45">
        <v>0</v>
      </c>
      <c r="P310" s="45">
        <v>4136</v>
      </c>
      <c r="Q310" s="45">
        <v>0</v>
      </c>
      <c r="R310" s="45">
        <v>2195</v>
      </c>
      <c r="S310" s="45">
        <v>0</v>
      </c>
      <c r="T310" s="45">
        <v>903</v>
      </c>
      <c r="U310" s="45">
        <v>6786</v>
      </c>
    </row>
    <row r="311" spans="1:21" ht="16.05" customHeight="1">
      <c r="A311" s="58" t="s">
        <v>1779</v>
      </c>
      <c r="B311" s="58" t="s">
        <v>1946</v>
      </c>
      <c r="C311" s="45">
        <v>21</v>
      </c>
      <c r="D311" s="45">
        <v>10803</v>
      </c>
      <c r="E311" s="45">
        <v>0</v>
      </c>
      <c r="F311" s="45">
        <v>5513</v>
      </c>
      <c r="G311" s="45">
        <v>0</v>
      </c>
      <c r="H311" s="45">
        <v>1760</v>
      </c>
      <c r="I311" s="45">
        <v>0</v>
      </c>
      <c r="J311" s="45">
        <v>278</v>
      </c>
      <c r="K311" s="45">
        <v>0</v>
      </c>
      <c r="L311" s="45">
        <v>37</v>
      </c>
      <c r="M311" s="45">
        <v>0</v>
      </c>
      <c r="N311" s="45">
        <v>0</v>
      </c>
      <c r="O311" s="45">
        <v>0</v>
      </c>
      <c r="P311" s="45">
        <v>0</v>
      </c>
      <c r="Q311" s="45">
        <v>0</v>
      </c>
      <c r="R311" s="45">
        <v>0</v>
      </c>
      <c r="S311" s="45">
        <v>0</v>
      </c>
      <c r="T311" s="45">
        <v>0</v>
      </c>
      <c r="U311" s="45">
        <v>5269</v>
      </c>
    </row>
    <row r="312" spans="1:21" ht="16.05" customHeight="1">
      <c r="A312" s="58" t="s">
        <v>1779</v>
      </c>
      <c r="B312" s="58" t="s">
        <v>1947</v>
      </c>
      <c r="C312" s="45">
        <v>26</v>
      </c>
      <c r="D312" s="45">
        <v>7927</v>
      </c>
      <c r="E312" s="45">
        <v>0</v>
      </c>
      <c r="F312" s="45">
        <v>4020</v>
      </c>
      <c r="G312" s="45">
        <v>0</v>
      </c>
      <c r="H312" s="45">
        <v>2023</v>
      </c>
      <c r="I312" s="45">
        <v>0</v>
      </c>
      <c r="J312" s="45">
        <v>345</v>
      </c>
      <c r="K312" s="45">
        <v>0</v>
      </c>
      <c r="L312" s="45">
        <v>0</v>
      </c>
      <c r="M312" s="45">
        <v>0</v>
      </c>
      <c r="N312" s="45">
        <v>0</v>
      </c>
      <c r="O312" s="45">
        <v>0</v>
      </c>
      <c r="P312" s="45">
        <v>0</v>
      </c>
      <c r="Q312" s="45">
        <v>0</v>
      </c>
      <c r="R312" s="45">
        <v>0</v>
      </c>
      <c r="S312" s="45">
        <v>0</v>
      </c>
      <c r="T312" s="45">
        <v>0</v>
      </c>
      <c r="U312" s="45">
        <v>3883</v>
      </c>
    </row>
    <row r="313" spans="1:21" ht="16.05" customHeight="1">
      <c r="A313" s="58" t="s">
        <v>1779</v>
      </c>
      <c r="B313" s="58" t="s">
        <v>1948</v>
      </c>
      <c r="C313" s="45">
        <v>57</v>
      </c>
      <c r="D313" s="45">
        <v>22437</v>
      </c>
      <c r="E313" s="45">
        <v>0</v>
      </c>
      <c r="F313" s="45">
        <v>16262</v>
      </c>
      <c r="G313" s="45">
        <v>0</v>
      </c>
      <c r="H313" s="45">
        <v>10867</v>
      </c>
      <c r="I313" s="45">
        <v>0</v>
      </c>
      <c r="J313" s="45">
        <v>7118</v>
      </c>
      <c r="K313" s="45">
        <v>0</v>
      </c>
      <c r="L313" s="45">
        <v>4022</v>
      </c>
      <c r="M313" s="45">
        <v>0</v>
      </c>
      <c r="N313" s="45">
        <v>2090</v>
      </c>
      <c r="O313" s="45">
        <v>0</v>
      </c>
      <c r="P313" s="45">
        <v>1011</v>
      </c>
      <c r="Q313" s="45">
        <v>0</v>
      </c>
      <c r="R313" s="45">
        <v>179</v>
      </c>
      <c r="S313" s="45">
        <v>0</v>
      </c>
      <c r="T313" s="45">
        <v>56</v>
      </c>
      <c r="U313" s="45">
        <v>6050</v>
      </c>
    </row>
    <row r="314" spans="1:21" ht="16.05" customHeight="1">
      <c r="A314" s="58" t="s">
        <v>1779</v>
      </c>
      <c r="B314" s="58" t="s">
        <v>1949</v>
      </c>
      <c r="C314" s="45">
        <v>64</v>
      </c>
      <c r="D314" s="45">
        <v>30529</v>
      </c>
      <c r="E314" s="45">
        <v>0</v>
      </c>
      <c r="F314" s="45">
        <v>23405</v>
      </c>
      <c r="G314" s="45">
        <v>0</v>
      </c>
      <c r="H314" s="45">
        <v>16929</v>
      </c>
      <c r="I314" s="45">
        <v>0</v>
      </c>
      <c r="J314" s="45">
        <v>11034</v>
      </c>
      <c r="K314" s="45">
        <v>0</v>
      </c>
      <c r="L314" s="45">
        <v>5962</v>
      </c>
      <c r="M314" s="45">
        <v>0</v>
      </c>
      <c r="N314" s="45">
        <v>1733</v>
      </c>
      <c r="O314" s="45">
        <v>0</v>
      </c>
      <c r="P314" s="45">
        <v>1059</v>
      </c>
      <c r="Q314" s="45">
        <v>0</v>
      </c>
      <c r="R314" s="45">
        <v>642</v>
      </c>
      <c r="S314" s="45">
        <v>0</v>
      </c>
      <c r="T314" s="45">
        <v>452</v>
      </c>
      <c r="U314" s="45">
        <v>6996</v>
      </c>
    </row>
    <row r="315" spans="1:21" ht="16.05" customHeight="1">
      <c r="A315" s="58" t="s">
        <v>1779</v>
      </c>
      <c r="B315" s="58" t="s">
        <v>1950</v>
      </c>
      <c r="C315" s="45">
        <v>113</v>
      </c>
      <c r="D315" s="45">
        <v>51223</v>
      </c>
      <c r="E315" s="45">
        <v>0</v>
      </c>
      <c r="F315" s="45">
        <v>41386</v>
      </c>
      <c r="G315" s="45">
        <v>0</v>
      </c>
      <c r="H315" s="45">
        <v>32756</v>
      </c>
      <c r="I315" s="45">
        <v>0</v>
      </c>
      <c r="J315" s="45">
        <v>25081</v>
      </c>
      <c r="K315" s="45">
        <v>0</v>
      </c>
      <c r="L315" s="45">
        <v>18779</v>
      </c>
      <c r="M315" s="45">
        <v>0</v>
      </c>
      <c r="N315" s="45">
        <v>13599</v>
      </c>
      <c r="O315" s="45">
        <v>0</v>
      </c>
      <c r="P315" s="45">
        <v>9187</v>
      </c>
      <c r="Q315" s="45">
        <v>0</v>
      </c>
      <c r="R315" s="45">
        <v>5772</v>
      </c>
      <c r="S315" s="45">
        <v>0</v>
      </c>
      <c r="T315" s="45">
        <v>6170</v>
      </c>
      <c r="U315" s="45">
        <v>9690</v>
      </c>
    </row>
    <row r="316" spans="1:21" ht="16.05" customHeight="1">
      <c r="A316" s="58" t="s">
        <v>1779</v>
      </c>
      <c r="B316" s="58" t="s">
        <v>1951</v>
      </c>
      <c r="C316" s="45">
        <v>129</v>
      </c>
      <c r="D316" s="45">
        <v>52430</v>
      </c>
      <c r="E316" s="45">
        <v>0</v>
      </c>
      <c r="F316" s="45">
        <v>43589</v>
      </c>
      <c r="G316" s="45">
        <v>0</v>
      </c>
      <c r="H316" s="45">
        <v>35397</v>
      </c>
      <c r="I316" s="45">
        <v>0</v>
      </c>
      <c r="J316" s="45">
        <v>28479</v>
      </c>
      <c r="K316" s="45">
        <v>0</v>
      </c>
      <c r="L316" s="45">
        <v>22070</v>
      </c>
      <c r="M316" s="45">
        <v>0</v>
      </c>
      <c r="N316" s="45">
        <v>16497</v>
      </c>
      <c r="O316" s="45">
        <v>0</v>
      </c>
      <c r="P316" s="45">
        <v>11888</v>
      </c>
      <c r="Q316" s="45">
        <v>0</v>
      </c>
      <c r="R316" s="45">
        <v>8297</v>
      </c>
      <c r="S316" s="45">
        <v>0</v>
      </c>
      <c r="T316" s="45">
        <v>11505</v>
      </c>
      <c r="U316" s="45">
        <v>8653</v>
      </c>
    </row>
    <row r="317" spans="1:21" ht="16.05" customHeight="1">
      <c r="A317" s="58" t="s">
        <v>1779</v>
      </c>
      <c r="B317" s="58" t="s">
        <v>1952</v>
      </c>
      <c r="C317" s="45">
        <v>88</v>
      </c>
      <c r="D317" s="45">
        <v>44752</v>
      </c>
      <c r="E317" s="45">
        <v>0</v>
      </c>
      <c r="F317" s="45">
        <v>36429</v>
      </c>
      <c r="G317" s="45">
        <v>0</v>
      </c>
      <c r="H317" s="45">
        <v>28804</v>
      </c>
      <c r="I317" s="45">
        <v>0</v>
      </c>
      <c r="J317" s="45">
        <v>21761</v>
      </c>
      <c r="K317" s="45">
        <v>0</v>
      </c>
      <c r="L317" s="45">
        <v>15354</v>
      </c>
      <c r="M317" s="45">
        <v>0</v>
      </c>
      <c r="N317" s="45">
        <v>10206</v>
      </c>
      <c r="O317" s="45">
        <v>0</v>
      </c>
      <c r="P317" s="45">
        <v>6228</v>
      </c>
      <c r="Q317" s="45">
        <v>0</v>
      </c>
      <c r="R317" s="45">
        <v>3556</v>
      </c>
      <c r="S317" s="45">
        <v>0</v>
      </c>
      <c r="T317" s="45">
        <v>4253</v>
      </c>
      <c r="U317" s="45">
        <v>8120</v>
      </c>
    </row>
    <row r="318" spans="1:21" ht="16.05" customHeight="1">
      <c r="A318" s="58" t="s">
        <v>1779</v>
      </c>
      <c r="B318" s="58" t="s">
        <v>1953</v>
      </c>
      <c r="C318" s="45">
        <v>102</v>
      </c>
      <c r="D318" s="45">
        <v>40833</v>
      </c>
      <c r="E318" s="45">
        <v>0</v>
      </c>
      <c r="F318" s="45">
        <v>33264</v>
      </c>
      <c r="G318" s="45">
        <v>0</v>
      </c>
      <c r="H318" s="45">
        <v>26147</v>
      </c>
      <c r="I318" s="45">
        <v>0</v>
      </c>
      <c r="J318" s="45">
        <v>19706</v>
      </c>
      <c r="K318" s="45">
        <v>0</v>
      </c>
      <c r="L318" s="45">
        <v>14582</v>
      </c>
      <c r="M318" s="45">
        <v>0</v>
      </c>
      <c r="N318" s="45">
        <v>10109</v>
      </c>
      <c r="O318" s="45">
        <v>0</v>
      </c>
      <c r="P318" s="45">
        <v>6529</v>
      </c>
      <c r="Q318" s="45">
        <v>0</v>
      </c>
      <c r="R318" s="45">
        <v>3832</v>
      </c>
      <c r="S318" s="45">
        <v>0</v>
      </c>
      <c r="T318" s="45">
        <v>4448</v>
      </c>
      <c r="U318" s="45">
        <v>7430</v>
      </c>
    </row>
    <row r="319" spans="1:21" ht="16.05" customHeight="1">
      <c r="A319" s="58" t="s">
        <v>1779</v>
      </c>
      <c r="B319" s="58" t="s">
        <v>1954</v>
      </c>
      <c r="C319" s="45">
        <v>115</v>
      </c>
      <c r="D319" s="45">
        <v>50189</v>
      </c>
      <c r="E319" s="45">
        <v>1</v>
      </c>
      <c r="F319" s="45">
        <v>42040</v>
      </c>
      <c r="G319" s="45">
        <v>0</v>
      </c>
      <c r="H319" s="45">
        <v>34542</v>
      </c>
      <c r="I319" s="45">
        <v>0</v>
      </c>
      <c r="J319" s="45">
        <v>28222</v>
      </c>
      <c r="K319" s="45">
        <v>0</v>
      </c>
      <c r="L319" s="45">
        <v>22631</v>
      </c>
      <c r="M319" s="45">
        <v>0</v>
      </c>
      <c r="N319" s="45">
        <v>17589</v>
      </c>
      <c r="O319" s="45">
        <v>0</v>
      </c>
      <c r="P319" s="45">
        <v>13466</v>
      </c>
      <c r="Q319" s="45">
        <v>0</v>
      </c>
      <c r="R319" s="45">
        <v>9723</v>
      </c>
      <c r="S319" s="45">
        <v>0</v>
      </c>
      <c r="T319" s="45">
        <v>17052</v>
      </c>
      <c r="U319" s="45">
        <v>7918</v>
      </c>
    </row>
    <row r="320" spans="1:21" ht="16.05" customHeight="1">
      <c r="A320" s="58" t="s">
        <v>1779</v>
      </c>
      <c r="B320" s="58" t="s">
        <v>1955</v>
      </c>
      <c r="C320" s="45">
        <v>47</v>
      </c>
      <c r="D320" s="45">
        <v>21816</v>
      </c>
      <c r="E320" s="45">
        <v>0</v>
      </c>
      <c r="F320" s="45">
        <v>15673</v>
      </c>
      <c r="G320" s="45">
        <v>0</v>
      </c>
      <c r="H320" s="45">
        <v>10748</v>
      </c>
      <c r="I320" s="45">
        <v>0</v>
      </c>
      <c r="J320" s="45">
        <v>6972</v>
      </c>
      <c r="K320" s="45">
        <v>0</v>
      </c>
      <c r="L320" s="45">
        <v>4011</v>
      </c>
      <c r="M320" s="45">
        <v>0</v>
      </c>
      <c r="N320" s="45">
        <v>1883</v>
      </c>
      <c r="O320" s="45">
        <v>0</v>
      </c>
      <c r="P320" s="45">
        <v>689</v>
      </c>
      <c r="Q320" s="45">
        <v>0</v>
      </c>
      <c r="R320" s="45">
        <v>165</v>
      </c>
      <c r="S320" s="45">
        <v>0</v>
      </c>
      <c r="T320" s="45">
        <v>0</v>
      </c>
      <c r="U320" s="45">
        <v>6072</v>
      </c>
    </row>
    <row r="321" spans="1:21" ht="16.05" customHeight="1">
      <c r="A321" s="58" t="s">
        <v>1779</v>
      </c>
      <c r="B321" s="58" t="s">
        <v>1956</v>
      </c>
      <c r="C321" s="45">
        <v>113</v>
      </c>
      <c r="D321" s="45">
        <v>51931</v>
      </c>
      <c r="E321" s="45">
        <v>1</v>
      </c>
      <c r="F321" s="45">
        <v>43849</v>
      </c>
      <c r="G321" s="45">
        <v>0</v>
      </c>
      <c r="H321" s="45">
        <v>36451</v>
      </c>
      <c r="I321" s="45">
        <v>0</v>
      </c>
      <c r="J321" s="45">
        <v>29449</v>
      </c>
      <c r="K321" s="45">
        <v>0</v>
      </c>
      <c r="L321" s="45">
        <v>22843</v>
      </c>
      <c r="M321" s="45">
        <v>0</v>
      </c>
      <c r="N321" s="45">
        <v>17131</v>
      </c>
      <c r="O321" s="45">
        <v>0</v>
      </c>
      <c r="P321" s="45">
        <v>11759</v>
      </c>
      <c r="Q321" s="45">
        <v>0</v>
      </c>
      <c r="R321" s="45">
        <v>7760</v>
      </c>
      <c r="S321" s="45">
        <v>0</v>
      </c>
      <c r="T321" s="45">
        <v>12414</v>
      </c>
      <c r="U321" s="45">
        <v>7883</v>
      </c>
    </row>
    <row r="322" spans="1:21" ht="16.05" customHeight="1">
      <c r="A322" s="58" t="s">
        <v>1779</v>
      </c>
      <c r="B322" s="58" t="s">
        <v>1957</v>
      </c>
      <c r="C322" s="45">
        <v>74</v>
      </c>
      <c r="D322" s="45">
        <v>27862</v>
      </c>
      <c r="E322" s="45">
        <v>0</v>
      </c>
      <c r="F322" s="45">
        <v>22273</v>
      </c>
      <c r="G322" s="45">
        <v>0</v>
      </c>
      <c r="H322" s="45">
        <v>17813</v>
      </c>
      <c r="I322" s="45">
        <v>0</v>
      </c>
      <c r="J322" s="45">
        <v>13830</v>
      </c>
      <c r="K322" s="45">
        <v>0</v>
      </c>
      <c r="L322" s="45">
        <v>10098</v>
      </c>
      <c r="M322" s="45">
        <v>0</v>
      </c>
      <c r="N322" s="45">
        <v>6955</v>
      </c>
      <c r="O322" s="45">
        <v>0</v>
      </c>
      <c r="P322" s="45">
        <v>4326</v>
      </c>
      <c r="Q322" s="45">
        <v>0</v>
      </c>
      <c r="R322" s="45">
        <v>2128</v>
      </c>
      <c r="S322" s="45">
        <v>0</v>
      </c>
      <c r="T322" s="45">
        <v>447</v>
      </c>
      <c r="U322" s="45">
        <v>5508</v>
      </c>
    </row>
    <row r="323" spans="1:21" ht="16.05" customHeight="1">
      <c r="A323" s="58" t="s">
        <v>1779</v>
      </c>
      <c r="B323" s="58" t="s">
        <v>1958</v>
      </c>
      <c r="C323" s="45">
        <v>111</v>
      </c>
      <c r="D323" s="45">
        <v>50087</v>
      </c>
      <c r="E323" s="45">
        <v>0</v>
      </c>
      <c r="F323" s="45">
        <v>41072</v>
      </c>
      <c r="G323" s="45">
        <v>0</v>
      </c>
      <c r="H323" s="45">
        <v>32962</v>
      </c>
      <c r="I323" s="45">
        <v>0</v>
      </c>
      <c r="J323" s="45">
        <v>25327</v>
      </c>
      <c r="K323" s="45">
        <v>0</v>
      </c>
      <c r="L323" s="45">
        <v>18979</v>
      </c>
      <c r="M323" s="45">
        <v>0</v>
      </c>
      <c r="N323" s="45">
        <v>13082</v>
      </c>
      <c r="O323" s="45">
        <v>0</v>
      </c>
      <c r="P323" s="45">
        <v>8264</v>
      </c>
      <c r="Q323" s="45">
        <v>0</v>
      </c>
      <c r="R323" s="45">
        <v>4922</v>
      </c>
      <c r="S323" s="45">
        <v>0</v>
      </c>
      <c r="T323" s="45">
        <v>6411</v>
      </c>
      <c r="U323" s="45">
        <v>8831</v>
      </c>
    </row>
    <row r="324" spans="1:21" ht="16.05" customHeight="1">
      <c r="A324" s="58" t="s">
        <v>1779</v>
      </c>
      <c r="B324" s="58" t="s">
        <v>1959</v>
      </c>
      <c r="C324" s="45">
        <v>43</v>
      </c>
      <c r="D324" s="45">
        <v>20398</v>
      </c>
      <c r="E324" s="45">
        <v>2</v>
      </c>
      <c r="F324" s="45">
        <v>14570</v>
      </c>
      <c r="G324" s="45">
        <v>1</v>
      </c>
      <c r="H324" s="45">
        <v>9898</v>
      </c>
      <c r="I324" s="45">
        <v>0</v>
      </c>
      <c r="J324" s="45">
        <v>6032</v>
      </c>
      <c r="K324" s="45">
        <v>0</v>
      </c>
      <c r="L324" s="45">
        <v>3466</v>
      </c>
      <c r="M324" s="45">
        <v>0</v>
      </c>
      <c r="N324" s="45">
        <v>1509</v>
      </c>
      <c r="O324" s="45">
        <v>0</v>
      </c>
      <c r="P324" s="45">
        <v>575</v>
      </c>
      <c r="Q324" s="45">
        <v>0</v>
      </c>
      <c r="R324" s="45">
        <v>136</v>
      </c>
      <c r="S324" s="45">
        <v>0</v>
      </c>
      <c r="T324" s="45">
        <v>0</v>
      </c>
      <c r="U324" s="45">
        <v>5712</v>
      </c>
    </row>
    <row r="325" spans="1:21" ht="16.05" customHeight="1">
      <c r="A325" s="58" t="s">
        <v>1779</v>
      </c>
      <c r="B325" s="58" t="s">
        <v>1960</v>
      </c>
      <c r="C325" s="45">
        <v>47</v>
      </c>
      <c r="D325" s="45">
        <v>18608</v>
      </c>
      <c r="E325" s="45">
        <v>1</v>
      </c>
      <c r="F325" s="45">
        <v>13024</v>
      </c>
      <c r="G325" s="45">
        <v>0</v>
      </c>
      <c r="H325" s="45">
        <v>9226</v>
      </c>
      <c r="I325" s="45">
        <v>0</v>
      </c>
      <c r="J325" s="45">
        <v>6526</v>
      </c>
      <c r="K325" s="45">
        <v>0</v>
      </c>
      <c r="L325" s="45">
        <v>4151</v>
      </c>
      <c r="M325" s="45">
        <v>0</v>
      </c>
      <c r="N325" s="45">
        <v>1912</v>
      </c>
      <c r="O325" s="45">
        <v>0</v>
      </c>
      <c r="P325" s="45">
        <v>688</v>
      </c>
      <c r="Q325" s="45">
        <v>0</v>
      </c>
      <c r="R325" s="45">
        <v>51</v>
      </c>
      <c r="S325" s="45">
        <v>0</v>
      </c>
      <c r="T325" s="45">
        <v>0</v>
      </c>
      <c r="U325" s="45">
        <v>5524</v>
      </c>
    </row>
    <row r="326" spans="1:21" ht="16.05" customHeight="1">
      <c r="A326" s="58" t="s">
        <v>1779</v>
      </c>
      <c r="B326" s="58" t="s">
        <v>1961</v>
      </c>
      <c r="C326" s="45">
        <v>65</v>
      </c>
      <c r="D326" s="45">
        <v>20636</v>
      </c>
      <c r="E326" s="45">
        <v>0</v>
      </c>
      <c r="F326" s="45">
        <v>15827</v>
      </c>
      <c r="G326" s="45">
        <v>0</v>
      </c>
      <c r="H326" s="45">
        <v>11552</v>
      </c>
      <c r="I326" s="45">
        <v>0</v>
      </c>
      <c r="J326" s="45">
        <v>8367</v>
      </c>
      <c r="K326" s="45">
        <v>0</v>
      </c>
      <c r="L326" s="45">
        <v>5692</v>
      </c>
      <c r="M326" s="45">
        <v>0</v>
      </c>
      <c r="N326" s="45">
        <v>3473</v>
      </c>
      <c r="O326" s="45">
        <v>0</v>
      </c>
      <c r="P326" s="45">
        <v>1786</v>
      </c>
      <c r="Q326" s="45">
        <v>0</v>
      </c>
      <c r="R326" s="45">
        <v>786</v>
      </c>
      <c r="S326" s="45">
        <v>0</v>
      </c>
      <c r="T326" s="45">
        <v>418</v>
      </c>
      <c r="U326" s="45">
        <v>4760</v>
      </c>
    </row>
    <row r="327" spans="1:21" ht="16.05" customHeight="1">
      <c r="A327" s="58" t="s">
        <v>1779</v>
      </c>
      <c r="B327" s="58" t="s">
        <v>1962</v>
      </c>
      <c r="C327" s="45">
        <v>184</v>
      </c>
      <c r="D327" s="45">
        <v>76551</v>
      </c>
      <c r="E327" s="45">
        <v>1</v>
      </c>
      <c r="F327" s="45">
        <v>66683</v>
      </c>
      <c r="G327" s="45">
        <v>0</v>
      </c>
      <c r="H327" s="45">
        <v>57545</v>
      </c>
      <c r="I327" s="45">
        <v>0</v>
      </c>
      <c r="J327" s="45">
        <v>49601</v>
      </c>
      <c r="K327" s="45">
        <v>0</v>
      </c>
      <c r="L327" s="45">
        <v>41912</v>
      </c>
      <c r="M327" s="45">
        <v>0</v>
      </c>
      <c r="N327" s="45">
        <v>35082</v>
      </c>
      <c r="O327" s="45">
        <v>0</v>
      </c>
      <c r="P327" s="45">
        <v>28670</v>
      </c>
      <c r="Q327" s="45">
        <v>0</v>
      </c>
      <c r="R327" s="45">
        <v>22556</v>
      </c>
      <c r="S327" s="45">
        <v>0</v>
      </c>
      <c r="T327" s="45">
        <v>56097</v>
      </c>
      <c r="U327" s="45">
        <v>9581</v>
      </c>
    </row>
    <row r="328" spans="1:21" ht="16.05" customHeight="1">
      <c r="A328" s="58" t="s">
        <v>1779</v>
      </c>
      <c r="B328" s="58" t="s">
        <v>1963</v>
      </c>
      <c r="C328" s="45">
        <v>95</v>
      </c>
      <c r="D328" s="45">
        <v>43262</v>
      </c>
      <c r="E328" s="45">
        <v>0</v>
      </c>
      <c r="F328" s="45">
        <v>33753</v>
      </c>
      <c r="G328" s="45">
        <v>0</v>
      </c>
      <c r="H328" s="45">
        <v>25331</v>
      </c>
      <c r="I328" s="45">
        <v>0</v>
      </c>
      <c r="J328" s="45">
        <v>18161</v>
      </c>
      <c r="K328" s="45">
        <v>0</v>
      </c>
      <c r="L328" s="45">
        <v>11843</v>
      </c>
      <c r="M328" s="45">
        <v>0</v>
      </c>
      <c r="N328" s="45">
        <v>7728</v>
      </c>
      <c r="O328" s="45">
        <v>0</v>
      </c>
      <c r="P328" s="45">
        <v>4240</v>
      </c>
      <c r="Q328" s="45">
        <v>0</v>
      </c>
      <c r="R328" s="45">
        <v>2235</v>
      </c>
      <c r="S328" s="45">
        <v>0</v>
      </c>
      <c r="T328" s="45">
        <v>1668</v>
      </c>
      <c r="U328" s="45">
        <v>9310</v>
      </c>
    </row>
    <row r="329" spans="1:21" ht="16.05" customHeight="1">
      <c r="A329" s="58" t="s">
        <v>1779</v>
      </c>
      <c r="B329" s="58" t="s">
        <v>1964</v>
      </c>
      <c r="C329" s="45">
        <v>116</v>
      </c>
      <c r="D329" s="45">
        <v>55257</v>
      </c>
      <c r="E329" s="45">
        <v>0</v>
      </c>
      <c r="F329" s="45">
        <v>46373</v>
      </c>
      <c r="G329" s="45">
        <v>0</v>
      </c>
      <c r="H329" s="45">
        <v>38020</v>
      </c>
      <c r="I329" s="45">
        <v>0</v>
      </c>
      <c r="J329" s="45">
        <v>30407</v>
      </c>
      <c r="K329" s="45">
        <v>0</v>
      </c>
      <c r="L329" s="45">
        <v>23680</v>
      </c>
      <c r="M329" s="45">
        <v>0</v>
      </c>
      <c r="N329" s="45">
        <v>17433</v>
      </c>
      <c r="O329" s="45">
        <v>0</v>
      </c>
      <c r="P329" s="45">
        <v>12690</v>
      </c>
      <c r="Q329" s="45">
        <v>0</v>
      </c>
      <c r="R329" s="45">
        <v>8492</v>
      </c>
      <c r="S329" s="45">
        <v>0</v>
      </c>
      <c r="T329" s="45">
        <v>12891</v>
      </c>
      <c r="U329" s="45">
        <v>8699</v>
      </c>
    </row>
    <row r="330" spans="1:21" ht="16.05" customHeight="1">
      <c r="A330" s="58" t="s">
        <v>1779</v>
      </c>
      <c r="B330" s="58" t="s">
        <v>1965</v>
      </c>
      <c r="C330" s="45">
        <v>159</v>
      </c>
      <c r="D330" s="45">
        <v>61722</v>
      </c>
      <c r="E330" s="45">
        <v>1</v>
      </c>
      <c r="F330" s="45">
        <v>52074</v>
      </c>
      <c r="G330" s="45">
        <v>0</v>
      </c>
      <c r="H330" s="45">
        <v>43964</v>
      </c>
      <c r="I330" s="45">
        <v>0</v>
      </c>
      <c r="J330" s="45">
        <v>37012</v>
      </c>
      <c r="K330" s="45">
        <v>0</v>
      </c>
      <c r="L330" s="45">
        <v>30987</v>
      </c>
      <c r="M330" s="45">
        <v>0</v>
      </c>
      <c r="N330" s="45">
        <v>25688</v>
      </c>
      <c r="O330" s="45">
        <v>0</v>
      </c>
      <c r="P330" s="45">
        <v>20988</v>
      </c>
      <c r="Q330" s="45">
        <v>0</v>
      </c>
      <c r="R330" s="45">
        <v>16613</v>
      </c>
      <c r="S330" s="45">
        <v>0</v>
      </c>
      <c r="T330" s="45">
        <v>35343</v>
      </c>
      <c r="U330" s="45">
        <v>9433</v>
      </c>
    </row>
    <row r="331" spans="1:21" ht="16.05" customHeight="1">
      <c r="A331" s="58" t="s">
        <v>1779</v>
      </c>
      <c r="B331" s="58" t="s">
        <v>1966</v>
      </c>
      <c r="C331" s="45">
        <v>196</v>
      </c>
      <c r="D331" s="45">
        <v>74348</v>
      </c>
      <c r="E331" s="45">
        <v>1</v>
      </c>
      <c r="F331" s="45">
        <v>63941</v>
      </c>
      <c r="G331" s="45">
        <v>0</v>
      </c>
      <c r="H331" s="45">
        <v>54037</v>
      </c>
      <c r="I331" s="45">
        <v>0</v>
      </c>
      <c r="J331" s="45">
        <v>44754</v>
      </c>
      <c r="K331" s="45">
        <v>0</v>
      </c>
      <c r="L331" s="45">
        <v>36113</v>
      </c>
      <c r="M331" s="45">
        <v>0</v>
      </c>
      <c r="N331" s="45">
        <v>28219</v>
      </c>
      <c r="O331" s="45">
        <v>0</v>
      </c>
      <c r="P331" s="45">
        <v>20968</v>
      </c>
      <c r="Q331" s="45">
        <v>0</v>
      </c>
      <c r="R331" s="45">
        <v>15428</v>
      </c>
      <c r="S331" s="45">
        <v>0</v>
      </c>
      <c r="T331" s="45">
        <v>30969</v>
      </c>
      <c r="U331" s="45">
        <v>10118</v>
      </c>
    </row>
    <row r="332" spans="1:21" ht="16.05" customHeight="1">
      <c r="A332" s="58" t="s">
        <v>1779</v>
      </c>
      <c r="B332" s="58" t="s">
        <v>1967</v>
      </c>
      <c r="C332" s="45">
        <v>149</v>
      </c>
      <c r="D332" s="45">
        <v>60618</v>
      </c>
      <c r="E332" s="45">
        <v>0</v>
      </c>
      <c r="F332" s="45">
        <v>50624</v>
      </c>
      <c r="G332" s="45">
        <v>0</v>
      </c>
      <c r="H332" s="45">
        <v>41321</v>
      </c>
      <c r="I332" s="45">
        <v>0</v>
      </c>
      <c r="J332" s="45">
        <v>33184</v>
      </c>
      <c r="K332" s="45">
        <v>0</v>
      </c>
      <c r="L332" s="45">
        <v>26409</v>
      </c>
      <c r="M332" s="45">
        <v>0</v>
      </c>
      <c r="N332" s="45">
        <v>20112</v>
      </c>
      <c r="O332" s="45">
        <v>0</v>
      </c>
      <c r="P332" s="45">
        <v>14363</v>
      </c>
      <c r="Q332" s="45">
        <v>0</v>
      </c>
      <c r="R332" s="45">
        <v>9413</v>
      </c>
      <c r="S332" s="45">
        <v>0</v>
      </c>
      <c r="T332" s="45">
        <v>15071</v>
      </c>
      <c r="U332" s="45">
        <v>9733</v>
      </c>
    </row>
    <row r="333" spans="1:21" ht="16.05" customHeight="1">
      <c r="A333" s="58" t="s">
        <v>1779</v>
      </c>
      <c r="B333" s="58" t="s">
        <v>1968</v>
      </c>
      <c r="C333" s="45">
        <v>123</v>
      </c>
      <c r="D333" s="45">
        <v>49166</v>
      </c>
      <c r="E333" s="45">
        <v>0</v>
      </c>
      <c r="F333" s="45">
        <v>38963</v>
      </c>
      <c r="G333" s="45">
        <v>0</v>
      </c>
      <c r="H333" s="45">
        <v>29900</v>
      </c>
      <c r="I333" s="45">
        <v>0</v>
      </c>
      <c r="J333" s="45">
        <v>23077</v>
      </c>
      <c r="K333" s="45">
        <v>0</v>
      </c>
      <c r="L333" s="45">
        <v>17617</v>
      </c>
      <c r="M333" s="45">
        <v>0</v>
      </c>
      <c r="N333" s="45">
        <v>12606</v>
      </c>
      <c r="O333" s="45">
        <v>0</v>
      </c>
      <c r="P333" s="45">
        <v>8458</v>
      </c>
      <c r="Q333" s="45">
        <v>0</v>
      </c>
      <c r="R333" s="45">
        <v>4893</v>
      </c>
      <c r="S333" s="45">
        <v>0</v>
      </c>
      <c r="T333" s="45">
        <v>3925</v>
      </c>
      <c r="U333" s="45">
        <v>10076</v>
      </c>
    </row>
    <row r="334" spans="1:21" ht="16.05" customHeight="1">
      <c r="A334" s="58" t="s">
        <v>1779</v>
      </c>
      <c r="B334" s="58" t="s">
        <v>1969</v>
      </c>
      <c r="C334" s="45">
        <v>161</v>
      </c>
      <c r="D334" s="45">
        <v>58152</v>
      </c>
      <c r="E334" s="45">
        <v>0</v>
      </c>
      <c r="F334" s="45">
        <v>49488</v>
      </c>
      <c r="G334" s="45">
        <v>0</v>
      </c>
      <c r="H334" s="45">
        <v>42282</v>
      </c>
      <c r="I334" s="45">
        <v>0</v>
      </c>
      <c r="J334" s="45">
        <v>35609</v>
      </c>
      <c r="K334" s="45">
        <v>0</v>
      </c>
      <c r="L334" s="45">
        <v>29497</v>
      </c>
      <c r="M334" s="45">
        <v>0</v>
      </c>
      <c r="N334" s="45">
        <v>24001</v>
      </c>
      <c r="O334" s="45">
        <v>0</v>
      </c>
      <c r="P334" s="45">
        <v>19046</v>
      </c>
      <c r="Q334" s="45">
        <v>0</v>
      </c>
      <c r="R334" s="45">
        <v>14594</v>
      </c>
      <c r="S334" s="45">
        <v>0</v>
      </c>
      <c r="T334" s="45">
        <v>31643</v>
      </c>
      <c r="U334" s="45">
        <v>8384</v>
      </c>
    </row>
    <row r="335" spans="1:21" ht="16.05" customHeight="1">
      <c r="A335" s="58" t="s">
        <v>1779</v>
      </c>
      <c r="B335" s="58" t="s">
        <v>1970</v>
      </c>
      <c r="C335" s="45">
        <v>143</v>
      </c>
      <c r="D335" s="45">
        <v>63431</v>
      </c>
      <c r="E335" s="45">
        <v>0</v>
      </c>
      <c r="F335" s="45">
        <v>53346</v>
      </c>
      <c r="G335" s="45">
        <v>0</v>
      </c>
      <c r="H335" s="45">
        <v>44303</v>
      </c>
      <c r="I335" s="45">
        <v>0</v>
      </c>
      <c r="J335" s="45">
        <v>35859</v>
      </c>
      <c r="K335" s="45">
        <v>0</v>
      </c>
      <c r="L335" s="45">
        <v>28940</v>
      </c>
      <c r="M335" s="45">
        <v>0</v>
      </c>
      <c r="N335" s="45">
        <v>23063</v>
      </c>
      <c r="O335" s="45">
        <v>0</v>
      </c>
      <c r="P335" s="45">
        <v>18204</v>
      </c>
      <c r="Q335" s="45">
        <v>0</v>
      </c>
      <c r="R335" s="45">
        <v>13655</v>
      </c>
      <c r="S335" s="45">
        <v>0</v>
      </c>
      <c r="T335" s="45">
        <v>24850</v>
      </c>
      <c r="U335" s="45">
        <v>9855</v>
      </c>
    </row>
    <row r="336" spans="1:21" ht="16.05" customHeight="1">
      <c r="A336" s="58" t="s">
        <v>1779</v>
      </c>
      <c r="B336" s="58" t="s">
        <v>1971</v>
      </c>
      <c r="C336" s="45">
        <v>191</v>
      </c>
      <c r="D336" s="45">
        <v>80136</v>
      </c>
      <c r="E336" s="45">
        <v>4</v>
      </c>
      <c r="F336" s="45">
        <v>69166</v>
      </c>
      <c r="G336" s="45">
        <v>0</v>
      </c>
      <c r="H336" s="45">
        <v>59107</v>
      </c>
      <c r="I336" s="45">
        <v>0</v>
      </c>
      <c r="J336" s="45">
        <v>49687</v>
      </c>
      <c r="K336" s="45">
        <v>0</v>
      </c>
      <c r="L336" s="45">
        <v>40943</v>
      </c>
      <c r="M336" s="45">
        <v>0</v>
      </c>
      <c r="N336" s="45">
        <v>33198</v>
      </c>
      <c r="O336" s="45">
        <v>0</v>
      </c>
      <c r="P336" s="45">
        <v>26816</v>
      </c>
      <c r="Q336" s="45">
        <v>0</v>
      </c>
      <c r="R336" s="45">
        <v>20890</v>
      </c>
      <c r="S336" s="45">
        <v>0</v>
      </c>
      <c r="T336" s="45">
        <v>48471</v>
      </c>
      <c r="U336" s="45">
        <v>10646</v>
      </c>
    </row>
    <row r="337" spans="1:21" ht="16.05" customHeight="1">
      <c r="A337" s="58" t="s">
        <v>1779</v>
      </c>
      <c r="B337" s="58" t="s">
        <v>1972</v>
      </c>
      <c r="C337" s="45">
        <v>107</v>
      </c>
      <c r="D337" s="45">
        <v>55153</v>
      </c>
      <c r="E337" s="45">
        <v>0</v>
      </c>
      <c r="F337" s="45">
        <v>46276</v>
      </c>
      <c r="G337" s="45">
        <v>0</v>
      </c>
      <c r="H337" s="45">
        <v>38531</v>
      </c>
      <c r="I337" s="45">
        <v>0</v>
      </c>
      <c r="J337" s="45">
        <v>31612</v>
      </c>
      <c r="K337" s="45">
        <v>0</v>
      </c>
      <c r="L337" s="45">
        <v>25856</v>
      </c>
      <c r="M337" s="45">
        <v>0</v>
      </c>
      <c r="N337" s="45">
        <v>20925</v>
      </c>
      <c r="O337" s="45">
        <v>0</v>
      </c>
      <c r="P337" s="45">
        <v>16277</v>
      </c>
      <c r="Q337" s="45">
        <v>0</v>
      </c>
      <c r="R337" s="45">
        <v>12507</v>
      </c>
      <c r="S337" s="45">
        <v>0</v>
      </c>
      <c r="T337" s="45">
        <v>22444</v>
      </c>
      <c r="U337" s="45">
        <v>8710</v>
      </c>
    </row>
    <row r="338" spans="1:21" ht="16.05" customHeight="1">
      <c r="A338" s="58" t="s">
        <v>1779</v>
      </c>
      <c r="B338" s="58" t="s">
        <v>1973</v>
      </c>
      <c r="C338" s="45">
        <v>185</v>
      </c>
      <c r="D338" s="45">
        <v>87507</v>
      </c>
      <c r="E338" s="45">
        <v>2</v>
      </c>
      <c r="F338" s="45">
        <v>76580</v>
      </c>
      <c r="G338" s="45">
        <v>0</v>
      </c>
      <c r="H338" s="45">
        <v>66260</v>
      </c>
      <c r="I338" s="45">
        <v>0</v>
      </c>
      <c r="J338" s="45">
        <v>57116</v>
      </c>
      <c r="K338" s="45">
        <v>0</v>
      </c>
      <c r="L338" s="45">
        <v>48697</v>
      </c>
      <c r="M338" s="45">
        <v>0</v>
      </c>
      <c r="N338" s="45">
        <v>41095</v>
      </c>
      <c r="O338" s="45">
        <v>0</v>
      </c>
      <c r="P338" s="45">
        <v>34148</v>
      </c>
      <c r="Q338" s="45">
        <v>0</v>
      </c>
      <c r="R338" s="45">
        <v>27709</v>
      </c>
      <c r="S338" s="45">
        <v>0</v>
      </c>
      <c r="T338" s="45">
        <v>81050</v>
      </c>
      <c r="U338" s="45">
        <v>10633</v>
      </c>
    </row>
    <row r="339" spans="1:21" ht="16.05" customHeight="1">
      <c r="A339" s="58" t="s">
        <v>1779</v>
      </c>
      <c r="B339" s="58" t="s">
        <v>1974</v>
      </c>
      <c r="C339" s="45">
        <v>103</v>
      </c>
      <c r="D339" s="45">
        <v>52783</v>
      </c>
      <c r="E339" s="45">
        <v>0</v>
      </c>
      <c r="F339" s="45">
        <v>43568</v>
      </c>
      <c r="G339" s="45">
        <v>0</v>
      </c>
      <c r="H339" s="45">
        <v>35287</v>
      </c>
      <c r="I339" s="45">
        <v>0</v>
      </c>
      <c r="J339" s="45">
        <v>28991</v>
      </c>
      <c r="K339" s="45">
        <v>0</v>
      </c>
      <c r="L339" s="45">
        <v>22982</v>
      </c>
      <c r="M339" s="45">
        <v>0</v>
      </c>
      <c r="N339" s="45">
        <v>17583</v>
      </c>
      <c r="O339" s="45">
        <v>0</v>
      </c>
      <c r="P339" s="45">
        <v>12781</v>
      </c>
      <c r="Q339" s="45">
        <v>0</v>
      </c>
      <c r="R339" s="45">
        <v>9293</v>
      </c>
      <c r="S339" s="45">
        <v>0</v>
      </c>
      <c r="T339" s="45">
        <v>14496</v>
      </c>
      <c r="U339" s="45">
        <v>8968</v>
      </c>
    </row>
    <row r="340" spans="1:21" ht="16.05" customHeight="1">
      <c r="A340" s="58" t="s">
        <v>1779</v>
      </c>
      <c r="B340" s="58" t="s">
        <v>1975</v>
      </c>
      <c r="C340" s="45">
        <v>131</v>
      </c>
      <c r="D340" s="45">
        <v>54002</v>
      </c>
      <c r="E340" s="45">
        <v>1</v>
      </c>
      <c r="F340" s="45">
        <v>44007</v>
      </c>
      <c r="G340" s="45">
        <v>0</v>
      </c>
      <c r="H340" s="45">
        <v>36112</v>
      </c>
      <c r="I340" s="45">
        <v>0</v>
      </c>
      <c r="J340" s="45">
        <v>29442</v>
      </c>
      <c r="K340" s="45">
        <v>0</v>
      </c>
      <c r="L340" s="45">
        <v>23874</v>
      </c>
      <c r="M340" s="45">
        <v>0</v>
      </c>
      <c r="N340" s="45">
        <v>18752</v>
      </c>
      <c r="O340" s="45">
        <v>0</v>
      </c>
      <c r="P340" s="45">
        <v>14240</v>
      </c>
      <c r="Q340" s="45">
        <v>0</v>
      </c>
      <c r="R340" s="45">
        <v>10444</v>
      </c>
      <c r="S340" s="45">
        <v>0</v>
      </c>
      <c r="T340" s="45">
        <v>16142</v>
      </c>
      <c r="U340" s="45">
        <v>9745</v>
      </c>
    </row>
    <row r="341" spans="1:21" ht="16.05" customHeight="1">
      <c r="A341" s="58" t="s">
        <v>1779</v>
      </c>
      <c r="B341" s="58" t="s">
        <v>1976</v>
      </c>
      <c r="C341" s="45">
        <v>178</v>
      </c>
      <c r="D341" s="45">
        <v>78073</v>
      </c>
      <c r="E341" s="45">
        <v>4</v>
      </c>
      <c r="F341" s="45">
        <v>68493</v>
      </c>
      <c r="G341" s="45">
        <v>0</v>
      </c>
      <c r="H341" s="45">
        <v>59402</v>
      </c>
      <c r="I341" s="45">
        <v>0</v>
      </c>
      <c r="J341" s="45">
        <v>50890</v>
      </c>
      <c r="K341" s="45">
        <v>0</v>
      </c>
      <c r="L341" s="45">
        <v>42873</v>
      </c>
      <c r="M341" s="45">
        <v>0</v>
      </c>
      <c r="N341" s="45">
        <v>35484</v>
      </c>
      <c r="O341" s="45">
        <v>0</v>
      </c>
      <c r="P341" s="45">
        <v>28539</v>
      </c>
      <c r="Q341" s="45">
        <v>0</v>
      </c>
      <c r="R341" s="45">
        <v>22395</v>
      </c>
      <c r="S341" s="45">
        <v>0</v>
      </c>
      <c r="T341" s="45">
        <v>57410</v>
      </c>
      <c r="U341" s="45">
        <v>9274</v>
      </c>
    </row>
    <row r="342" spans="1:21" ht="16.05" customHeight="1">
      <c r="A342" s="58" t="s">
        <v>1779</v>
      </c>
      <c r="B342" s="58" t="s">
        <v>1977</v>
      </c>
      <c r="C342" s="45">
        <v>115</v>
      </c>
      <c r="D342" s="45">
        <v>54833</v>
      </c>
      <c r="E342" s="45">
        <v>1</v>
      </c>
      <c r="F342" s="45">
        <v>44997</v>
      </c>
      <c r="G342" s="45">
        <v>0</v>
      </c>
      <c r="H342" s="45">
        <v>36011</v>
      </c>
      <c r="I342" s="45">
        <v>0</v>
      </c>
      <c r="J342" s="45">
        <v>27498</v>
      </c>
      <c r="K342" s="45">
        <v>0</v>
      </c>
      <c r="L342" s="45">
        <v>20368</v>
      </c>
      <c r="M342" s="45">
        <v>0</v>
      </c>
      <c r="N342" s="45">
        <v>14405</v>
      </c>
      <c r="O342" s="45">
        <v>0</v>
      </c>
      <c r="P342" s="45">
        <v>9053</v>
      </c>
      <c r="Q342" s="45">
        <v>0</v>
      </c>
      <c r="R342" s="45">
        <v>5295</v>
      </c>
      <c r="S342" s="45">
        <v>0</v>
      </c>
      <c r="T342" s="45">
        <v>7080</v>
      </c>
      <c r="U342" s="45">
        <v>9586</v>
      </c>
    </row>
    <row r="343" spans="1:21" ht="16.05" customHeight="1">
      <c r="A343" s="58" t="s">
        <v>1779</v>
      </c>
      <c r="B343" s="58" t="s">
        <v>1978</v>
      </c>
      <c r="C343" s="45">
        <v>151</v>
      </c>
      <c r="D343" s="45">
        <v>64260</v>
      </c>
      <c r="E343" s="45">
        <v>1</v>
      </c>
      <c r="F343" s="45">
        <v>54262</v>
      </c>
      <c r="G343" s="45">
        <v>0</v>
      </c>
      <c r="H343" s="45">
        <v>45672</v>
      </c>
      <c r="I343" s="45">
        <v>0</v>
      </c>
      <c r="J343" s="45">
        <v>37843</v>
      </c>
      <c r="K343" s="45">
        <v>0</v>
      </c>
      <c r="L343" s="45">
        <v>30301</v>
      </c>
      <c r="M343" s="45">
        <v>0</v>
      </c>
      <c r="N343" s="45">
        <v>23351</v>
      </c>
      <c r="O343" s="45">
        <v>0</v>
      </c>
      <c r="P343" s="45">
        <v>17212</v>
      </c>
      <c r="Q343" s="45">
        <v>0</v>
      </c>
      <c r="R343" s="45">
        <v>12301</v>
      </c>
      <c r="S343" s="45">
        <v>0</v>
      </c>
      <c r="T343" s="45">
        <v>23065</v>
      </c>
      <c r="U343" s="45">
        <v>9666</v>
      </c>
    </row>
    <row r="344" spans="1:21" ht="16.05" customHeight="1">
      <c r="A344" s="58" t="s">
        <v>1779</v>
      </c>
      <c r="B344" s="58" t="s">
        <v>1979</v>
      </c>
      <c r="C344" s="45">
        <v>150</v>
      </c>
      <c r="D344" s="45">
        <v>71371</v>
      </c>
      <c r="E344" s="45">
        <v>0</v>
      </c>
      <c r="F344" s="45">
        <v>61843</v>
      </c>
      <c r="G344" s="45">
        <v>0</v>
      </c>
      <c r="H344" s="45">
        <v>52985</v>
      </c>
      <c r="I344" s="45">
        <v>0</v>
      </c>
      <c r="J344" s="45">
        <v>44624</v>
      </c>
      <c r="K344" s="45">
        <v>0</v>
      </c>
      <c r="L344" s="45">
        <v>37234</v>
      </c>
      <c r="M344" s="45">
        <v>0</v>
      </c>
      <c r="N344" s="45">
        <v>30460</v>
      </c>
      <c r="O344" s="45">
        <v>0</v>
      </c>
      <c r="P344" s="45">
        <v>24253</v>
      </c>
      <c r="Q344" s="45">
        <v>0</v>
      </c>
      <c r="R344" s="45">
        <v>18531</v>
      </c>
      <c r="S344" s="45">
        <v>0</v>
      </c>
      <c r="T344" s="45">
        <v>41474</v>
      </c>
      <c r="U344" s="45">
        <v>9147</v>
      </c>
    </row>
    <row r="345" spans="1:21" ht="16.05" customHeight="1">
      <c r="A345" s="58" t="s">
        <v>1779</v>
      </c>
      <c r="B345" s="58" t="s">
        <v>1980</v>
      </c>
      <c r="C345" s="45">
        <v>257</v>
      </c>
      <c r="D345" s="45">
        <v>104959</v>
      </c>
      <c r="E345" s="45">
        <v>2</v>
      </c>
      <c r="F345" s="45">
        <v>93903</v>
      </c>
      <c r="G345" s="45">
        <v>0</v>
      </c>
      <c r="H345" s="45">
        <v>83451</v>
      </c>
      <c r="I345" s="45">
        <v>0</v>
      </c>
      <c r="J345" s="45">
        <v>73599</v>
      </c>
      <c r="K345" s="45">
        <v>0</v>
      </c>
      <c r="L345" s="45">
        <v>63999</v>
      </c>
      <c r="M345" s="45">
        <v>0</v>
      </c>
      <c r="N345" s="45">
        <v>55222</v>
      </c>
      <c r="O345" s="45">
        <v>0</v>
      </c>
      <c r="P345" s="45">
        <v>47030</v>
      </c>
      <c r="Q345" s="45">
        <v>0</v>
      </c>
      <c r="R345" s="45">
        <v>39369</v>
      </c>
      <c r="S345" s="45">
        <v>0</v>
      </c>
      <c r="T345" s="45">
        <v>133356</v>
      </c>
      <c r="U345" s="45">
        <v>10735</v>
      </c>
    </row>
    <row r="346" spans="1:21" ht="16.05" customHeight="1">
      <c r="A346" s="58" t="s">
        <v>1779</v>
      </c>
      <c r="B346" s="58" t="s">
        <v>1981</v>
      </c>
      <c r="C346" s="45">
        <v>173</v>
      </c>
      <c r="D346" s="45">
        <v>62187</v>
      </c>
      <c r="E346" s="45">
        <v>0</v>
      </c>
      <c r="F346" s="45">
        <v>52268</v>
      </c>
      <c r="G346" s="45">
        <v>0</v>
      </c>
      <c r="H346" s="45">
        <v>43004</v>
      </c>
      <c r="I346" s="45">
        <v>0</v>
      </c>
      <c r="J346" s="45">
        <v>34847</v>
      </c>
      <c r="K346" s="45">
        <v>0</v>
      </c>
      <c r="L346" s="45">
        <v>27678</v>
      </c>
      <c r="M346" s="45">
        <v>0</v>
      </c>
      <c r="N346" s="45">
        <v>20941</v>
      </c>
      <c r="O346" s="45">
        <v>0</v>
      </c>
      <c r="P346" s="45">
        <v>15472</v>
      </c>
      <c r="Q346" s="45">
        <v>0</v>
      </c>
      <c r="R346" s="45">
        <v>10905</v>
      </c>
      <c r="S346" s="45">
        <v>0</v>
      </c>
      <c r="T346" s="45">
        <v>17963</v>
      </c>
      <c r="U346" s="45">
        <v>9712</v>
      </c>
    </row>
    <row r="347" spans="1:21" ht="16.05" customHeight="1">
      <c r="A347" s="58" t="s">
        <v>1779</v>
      </c>
      <c r="B347" s="58" t="s">
        <v>1982</v>
      </c>
      <c r="C347" s="45">
        <v>226</v>
      </c>
      <c r="D347" s="45">
        <v>107266</v>
      </c>
      <c r="E347" s="45">
        <v>0</v>
      </c>
      <c r="F347" s="45">
        <v>95843</v>
      </c>
      <c r="G347" s="45">
        <v>0</v>
      </c>
      <c r="H347" s="45">
        <v>85195</v>
      </c>
      <c r="I347" s="45">
        <v>0</v>
      </c>
      <c r="J347" s="45">
        <v>75144</v>
      </c>
      <c r="K347" s="45">
        <v>0</v>
      </c>
      <c r="L347" s="45">
        <v>65937</v>
      </c>
      <c r="M347" s="45">
        <v>0</v>
      </c>
      <c r="N347" s="45">
        <v>56990</v>
      </c>
      <c r="O347" s="45">
        <v>0</v>
      </c>
      <c r="P347" s="45">
        <v>48558</v>
      </c>
      <c r="Q347" s="45">
        <v>0</v>
      </c>
      <c r="R347" s="45">
        <v>40672</v>
      </c>
      <c r="S347" s="45">
        <v>0</v>
      </c>
      <c r="T347" s="45">
        <v>138763</v>
      </c>
      <c r="U347" s="45">
        <v>11139</v>
      </c>
    </row>
    <row r="348" spans="1:21" ht="16.05" customHeight="1">
      <c r="A348" s="58" t="s">
        <v>1779</v>
      </c>
      <c r="B348" s="58" t="s">
        <v>1983</v>
      </c>
      <c r="C348" s="45">
        <v>282</v>
      </c>
      <c r="D348" s="45">
        <v>108141</v>
      </c>
      <c r="E348" s="45">
        <v>4</v>
      </c>
      <c r="F348" s="45">
        <v>96179</v>
      </c>
      <c r="G348" s="45">
        <v>0</v>
      </c>
      <c r="H348" s="45">
        <v>85462</v>
      </c>
      <c r="I348" s="45">
        <v>0</v>
      </c>
      <c r="J348" s="45">
        <v>75575</v>
      </c>
      <c r="K348" s="45">
        <v>0</v>
      </c>
      <c r="L348" s="45">
        <v>66208</v>
      </c>
      <c r="M348" s="45">
        <v>0</v>
      </c>
      <c r="N348" s="45">
        <v>57160</v>
      </c>
      <c r="O348" s="45">
        <v>0</v>
      </c>
      <c r="P348" s="45">
        <v>48915</v>
      </c>
      <c r="Q348" s="45">
        <v>0</v>
      </c>
      <c r="R348" s="45">
        <v>41508</v>
      </c>
      <c r="S348" s="45">
        <v>0</v>
      </c>
      <c r="T348" s="45">
        <v>147551</v>
      </c>
      <c r="U348" s="45">
        <v>11566</v>
      </c>
    </row>
    <row r="349" spans="1:21" ht="16.05" customHeight="1">
      <c r="A349" s="58" t="s">
        <v>1779</v>
      </c>
      <c r="B349" s="58" t="s">
        <v>1984</v>
      </c>
      <c r="C349" s="45">
        <v>74</v>
      </c>
      <c r="D349" s="45">
        <v>29844</v>
      </c>
      <c r="E349" s="45">
        <v>0</v>
      </c>
      <c r="F349" s="45">
        <v>21475</v>
      </c>
      <c r="G349" s="45">
        <v>0</v>
      </c>
      <c r="H349" s="45">
        <v>14467</v>
      </c>
      <c r="I349" s="45">
        <v>0</v>
      </c>
      <c r="J349" s="45">
        <v>8604</v>
      </c>
      <c r="K349" s="45">
        <v>0</v>
      </c>
      <c r="L349" s="45">
        <v>3736</v>
      </c>
      <c r="M349" s="45">
        <v>0</v>
      </c>
      <c r="N349" s="45">
        <v>1499</v>
      </c>
      <c r="O349" s="45">
        <v>0</v>
      </c>
      <c r="P349" s="45">
        <v>782</v>
      </c>
      <c r="Q349" s="45">
        <v>0</v>
      </c>
      <c r="R349" s="45">
        <v>295</v>
      </c>
      <c r="S349" s="45">
        <v>0</v>
      </c>
      <c r="T349" s="45">
        <v>76</v>
      </c>
      <c r="U349" s="45">
        <v>8216</v>
      </c>
    </row>
    <row r="350" spans="1:21" ht="16.05" customHeight="1">
      <c r="A350" s="58" t="s">
        <v>1779</v>
      </c>
      <c r="B350" s="58" t="s">
        <v>1985</v>
      </c>
      <c r="C350" s="45">
        <v>131</v>
      </c>
      <c r="D350" s="45">
        <v>62401</v>
      </c>
      <c r="E350" s="45">
        <v>0</v>
      </c>
      <c r="F350" s="45">
        <v>52843</v>
      </c>
      <c r="G350" s="45">
        <v>0</v>
      </c>
      <c r="H350" s="45">
        <v>44119</v>
      </c>
      <c r="I350" s="45">
        <v>0</v>
      </c>
      <c r="J350" s="45">
        <v>36151</v>
      </c>
      <c r="K350" s="45">
        <v>0</v>
      </c>
      <c r="L350" s="45">
        <v>28762</v>
      </c>
      <c r="M350" s="45">
        <v>0</v>
      </c>
      <c r="N350" s="45">
        <v>22358</v>
      </c>
      <c r="O350" s="45">
        <v>0</v>
      </c>
      <c r="P350" s="45">
        <v>16392</v>
      </c>
      <c r="Q350" s="45">
        <v>0</v>
      </c>
      <c r="R350" s="45">
        <v>11205</v>
      </c>
      <c r="S350" s="45">
        <v>0</v>
      </c>
      <c r="T350" s="45">
        <v>19379</v>
      </c>
      <c r="U350" s="45">
        <v>9361</v>
      </c>
    </row>
    <row r="351" spans="1:21" ht="16.05" customHeight="1">
      <c r="A351" s="58" t="s">
        <v>1779</v>
      </c>
      <c r="B351" s="58" t="s">
        <v>1986</v>
      </c>
      <c r="C351" s="45">
        <v>103</v>
      </c>
      <c r="D351" s="45">
        <v>40132</v>
      </c>
      <c r="E351" s="45">
        <v>0</v>
      </c>
      <c r="F351" s="45">
        <v>31428</v>
      </c>
      <c r="G351" s="45">
        <v>0</v>
      </c>
      <c r="H351" s="45">
        <v>23132</v>
      </c>
      <c r="I351" s="45">
        <v>0</v>
      </c>
      <c r="J351" s="45">
        <v>15500</v>
      </c>
      <c r="K351" s="45">
        <v>0</v>
      </c>
      <c r="L351" s="45">
        <v>10018</v>
      </c>
      <c r="M351" s="45">
        <v>0</v>
      </c>
      <c r="N351" s="45">
        <v>5659</v>
      </c>
      <c r="O351" s="45">
        <v>0</v>
      </c>
      <c r="P351" s="45">
        <v>2827</v>
      </c>
      <c r="Q351" s="45">
        <v>0</v>
      </c>
      <c r="R351" s="45">
        <v>1394</v>
      </c>
      <c r="S351" s="45">
        <v>0</v>
      </c>
      <c r="T351" s="45">
        <v>826</v>
      </c>
      <c r="U351" s="45">
        <v>8579</v>
      </c>
    </row>
    <row r="352" spans="1:21" ht="16.05" customHeight="1">
      <c r="A352" s="58" t="s">
        <v>1779</v>
      </c>
      <c r="B352" s="58" t="s">
        <v>1987</v>
      </c>
      <c r="C352" s="45">
        <v>264</v>
      </c>
      <c r="D352" s="45">
        <v>102284</v>
      </c>
      <c r="E352" s="45">
        <v>1</v>
      </c>
      <c r="F352" s="45">
        <v>91505</v>
      </c>
      <c r="G352" s="45">
        <v>0</v>
      </c>
      <c r="H352" s="45">
        <v>81578</v>
      </c>
      <c r="I352" s="45">
        <v>0</v>
      </c>
      <c r="J352" s="45">
        <v>72350</v>
      </c>
      <c r="K352" s="45">
        <v>0</v>
      </c>
      <c r="L352" s="45">
        <v>63538</v>
      </c>
      <c r="M352" s="45">
        <v>0</v>
      </c>
      <c r="N352" s="45">
        <v>55352</v>
      </c>
      <c r="O352" s="45">
        <v>0</v>
      </c>
      <c r="P352" s="45">
        <v>47682</v>
      </c>
      <c r="Q352" s="45">
        <v>0</v>
      </c>
      <c r="R352" s="45">
        <v>40262</v>
      </c>
      <c r="S352" s="45">
        <v>0</v>
      </c>
      <c r="T352" s="45">
        <v>150062</v>
      </c>
      <c r="U352" s="45">
        <v>10388</v>
      </c>
    </row>
    <row r="353" spans="1:21" ht="16.05" customHeight="1">
      <c r="A353" s="58" t="s">
        <v>1779</v>
      </c>
      <c r="B353" s="58" t="s">
        <v>1988</v>
      </c>
      <c r="C353" s="45">
        <v>115</v>
      </c>
      <c r="D353" s="45">
        <v>58498</v>
      </c>
      <c r="E353" s="45">
        <v>0</v>
      </c>
      <c r="F353" s="45">
        <v>49273</v>
      </c>
      <c r="G353" s="45">
        <v>0</v>
      </c>
      <c r="H353" s="45">
        <v>41193</v>
      </c>
      <c r="I353" s="45">
        <v>0</v>
      </c>
      <c r="J353" s="45">
        <v>33919</v>
      </c>
      <c r="K353" s="45">
        <v>0</v>
      </c>
      <c r="L353" s="45">
        <v>27214</v>
      </c>
      <c r="M353" s="45">
        <v>0</v>
      </c>
      <c r="N353" s="45">
        <v>20859</v>
      </c>
      <c r="O353" s="45">
        <v>0</v>
      </c>
      <c r="P353" s="45">
        <v>15680</v>
      </c>
      <c r="Q353" s="45">
        <v>0</v>
      </c>
      <c r="R353" s="45">
        <v>11521</v>
      </c>
      <c r="S353" s="45">
        <v>0</v>
      </c>
      <c r="T353" s="45">
        <v>19382</v>
      </c>
      <c r="U353" s="45">
        <v>9053</v>
      </c>
    </row>
    <row r="354" spans="1:21" ht="16.05" customHeight="1">
      <c r="A354" s="58" t="s">
        <v>1779</v>
      </c>
      <c r="B354" s="58" t="s">
        <v>1989</v>
      </c>
      <c r="C354" s="45">
        <v>98</v>
      </c>
      <c r="D354" s="45">
        <v>36380</v>
      </c>
      <c r="E354" s="45">
        <v>0</v>
      </c>
      <c r="F354" s="45">
        <v>28762</v>
      </c>
      <c r="G354" s="45">
        <v>0</v>
      </c>
      <c r="H354" s="45">
        <v>22164</v>
      </c>
      <c r="I354" s="45">
        <v>0</v>
      </c>
      <c r="J354" s="45">
        <v>16522</v>
      </c>
      <c r="K354" s="45">
        <v>0</v>
      </c>
      <c r="L354" s="45">
        <v>11406</v>
      </c>
      <c r="M354" s="45">
        <v>0</v>
      </c>
      <c r="N354" s="45">
        <v>7621</v>
      </c>
      <c r="O354" s="45">
        <v>0</v>
      </c>
      <c r="P354" s="45">
        <v>4590</v>
      </c>
      <c r="Q354" s="45">
        <v>0</v>
      </c>
      <c r="R354" s="45">
        <v>2378</v>
      </c>
      <c r="S354" s="45">
        <v>0</v>
      </c>
      <c r="T354" s="45">
        <v>2116</v>
      </c>
      <c r="U354" s="45">
        <v>7496</v>
      </c>
    </row>
    <row r="355" spans="1:21" ht="16.05" customHeight="1">
      <c r="A355" s="58" t="s">
        <v>1779</v>
      </c>
      <c r="B355" s="58" t="s">
        <v>1990</v>
      </c>
      <c r="C355" s="45">
        <v>10</v>
      </c>
      <c r="D355" s="45">
        <v>4056</v>
      </c>
      <c r="E355" s="45">
        <v>0</v>
      </c>
      <c r="F355" s="45">
        <v>23</v>
      </c>
      <c r="G355" s="45">
        <v>0</v>
      </c>
      <c r="H355" s="45">
        <v>0</v>
      </c>
      <c r="I355" s="45">
        <v>0</v>
      </c>
      <c r="J355" s="45">
        <v>0</v>
      </c>
      <c r="K355" s="45">
        <v>0</v>
      </c>
      <c r="L355" s="45">
        <v>0</v>
      </c>
      <c r="M355" s="45">
        <v>0</v>
      </c>
      <c r="N355" s="45">
        <v>0</v>
      </c>
      <c r="O355" s="45">
        <v>0</v>
      </c>
      <c r="P355" s="45">
        <v>0</v>
      </c>
      <c r="Q355" s="45">
        <v>0</v>
      </c>
      <c r="R355" s="45">
        <v>0</v>
      </c>
      <c r="S355" s="45">
        <v>0</v>
      </c>
      <c r="T355" s="45">
        <v>0</v>
      </c>
      <c r="U355" s="45">
        <v>4033</v>
      </c>
    </row>
    <row r="356" spans="1:21" ht="16.05" customHeight="1">
      <c r="A356" s="58" t="s">
        <v>1779</v>
      </c>
      <c r="B356" s="58" t="s">
        <v>1991</v>
      </c>
      <c r="C356" s="45">
        <v>23</v>
      </c>
      <c r="D356" s="45">
        <v>9403</v>
      </c>
      <c r="E356" s="45">
        <v>0</v>
      </c>
      <c r="F356" s="45">
        <v>5203</v>
      </c>
      <c r="G356" s="45">
        <v>0</v>
      </c>
      <c r="H356" s="45">
        <v>3041</v>
      </c>
      <c r="I356" s="45">
        <v>0</v>
      </c>
      <c r="J356" s="45">
        <v>1338</v>
      </c>
      <c r="K356" s="45">
        <v>0</v>
      </c>
      <c r="L356" s="45">
        <v>58</v>
      </c>
      <c r="M356" s="45">
        <v>0</v>
      </c>
      <c r="N356" s="45">
        <v>0</v>
      </c>
      <c r="O356" s="45">
        <v>0</v>
      </c>
      <c r="P356" s="45">
        <v>0</v>
      </c>
      <c r="Q356" s="45">
        <v>0</v>
      </c>
      <c r="R356" s="45">
        <v>0</v>
      </c>
      <c r="S356" s="45">
        <v>0</v>
      </c>
      <c r="T356" s="45">
        <v>0</v>
      </c>
      <c r="U356" s="45">
        <v>4174</v>
      </c>
    </row>
    <row r="357" spans="1:21" ht="16.05" customHeight="1">
      <c r="A357" s="58" t="s">
        <v>1779</v>
      </c>
      <c r="B357" s="58" t="s">
        <v>1992</v>
      </c>
      <c r="C357" s="45">
        <v>43</v>
      </c>
      <c r="D357" s="45">
        <v>12808</v>
      </c>
      <c r="E357" s="45">
        <v>0</v>
      </c>
      <c r="F357" s="45">
        <v>8715</v>
      </c>
      <c r="G357" s="45">
        <v>0</v>
      </c>
      <c r="H357" s="45">
        <v>6171</v>
      </c>
      <c r="I357" s="45">
        <v>0</v>
      </c>
      <c r="J357" s="45">
        <v>3949</v>
      </c>
      <c r="K357" s="45">
        <v>0</v>
      </c>
      <c r="L357" s="45">
        <v>2035</v>
      </c>
      <c r="M357" s="45">
        <v>0</v>
      </c>
      <c r="N357" s="45">
        <v>423</v>
      </c>
      <c r="O357" s="45">
        <v>0</v>
      </c>
      <c r="P357" s="45">
        <v>0</v>
      </c>
      <c r="Q357" s="45">
        <v>0</v>
      </c>
      <c r="R357" s="45">
        <v>0</v>
      </c>
      <c r="S357" s="45">
        <v>0</v>
      </c>
      <c r="T357" s="45">
        <v>0</v>
      </c>
      <c r="U357" s="45">
        <v>3978</v>
      </c>
    </row>
    <row r="358" spans="1:21" ht="16.05" customHeight="1">
      <c r="A358" s="58" t="s">
        <v>1779</v>
      </c>
      <c r="B358" s="58" t="s">
        <v>1993</v>
      </c>
      <c r="C358" s="45">
        <v>33</v>
      </c>
      <c r="D358" s="45">
        <v>10196</v>
      </c>
      <c r="E358" s="45">
        <v>0</v>
      </c>
      <c r="F358" s="45">
        <v>5845</v>
      </c>
      <c r="G358" s="45">
        <v>0</v>
      </c>
      <c r="H358" s="45">
        <v>2164</v>
      </c>
      <c r="I358" s="45">
        <v>0</v>
      </c>
      <c r="J358" s="45">
        <v>471</v>
      </c>
      <c r="K358" s="45">
        <v>0</v>
      </c>
      <c r="L358" s="45">
        <v>148</v>
      </c>
      <c r="M358" s="45">
        <v>0</v>
      </c>
      <c r="N358" s="45">
        <v>0</v>
      </c>
      <c r="O358" s="45">
        <v>0</v>
      </c>
      <c r="P358" s="45">
        <v>0</v>
      </c>
      <c r="Q358" s="45">
        <v>0</v>
      </c>
      <c r="R358" s="45">
        <v>0</v>
      </c>
      <c r="S358" s="45">
        <v>0</v>
      </c>
      <c r="T358" s="45">
        <v>0</v>
      </c>
      <c r="U358" s="45">
        <v>4331</v>
      </c>
    </row>
    <row r="359" spans="1:21" ht="16.05" customHeight="1">
      <c r="A359" s="58" t="s">
        <v>1779</v>
      </c>
      <c r="B359" s="58" t="s">
        <v>1994</v>
      </c>
      <c r="C359" s="45">
        <v>10</v>
      </c>
      <c r="D359" s="45">
        <v>4288</v>
      </c>
      <c r="E359" s="45">
        <v>0</v>
      </c>
      <c r="F359" s="45">
        <v>2023</v>
      </c>
      <c r="G359" s="45">
        <v>0</v>
      </c>
      <c r="H359" s="45">
        <v>0</v>
      </c>
      <c r="I359" s="45">
        <v>0</v>
      </c>
      <c r="J359" s="45">
        <v>0</v>
      </c>
      <c r="K359" s="45">
        <v>0</v>
      </c>
      <c r="L359" s="45">
        <v>0</v>
      </c>
      <c r="M359" s="45">
        <v>0</v>
      </c>
      <c r="N359" s="45">
        <v>0</v>
      </c>
      <c r="O359" s="45">
        <v>0</v>
      </c>
      <c r="P359" s="45">
        <v>0</v>
      </c>
      <c r="Q359" s="45">
        <v>0</v>
      </c>
      <c r="R359" s="45">
        <v>0</v>
      </c>
      <c r="S359" s="45">
        <v>0</v>
      </c>
      <c r="T359" s="45">
        <v>0</v>
      </c>
      <c r="U359" s="45">
        <v>2267</v>
      </c>
    </row>
    <row r="360" spans="1:21" ht="16.05" customHeight="1">
      <c r="A360" s="58" t="s">
        <v>1779</v>
      </c>
      <c r="B360" s="58" t="s">
        <v>1995</v>
      </c>
      <c r="C360" s="45">
        <v>17</v>
      </c>
      <c r="D360" s="45">
        <v>7899</v>
      </c>
      <c r="E360" s="45">
        <v>0</v>
      </c>
      <c r="F360" s="45">
        <v>4128</v>
      </c>
      <c r="G360" s="45">
        <v>0</v>
      </c>
      <c r="H360" s="45">
        <v>1156</v>
      </c>
      <c r="I360" s="45">
        <v>0</v>
      </c>
      <c r="J360" s="45">
        <v>313</v>
      </c>
      <c r="K360" s="45">
        <v>0</v>
      </c>
      <c r="L360" s="45">
        <v>0</v>
      </c>
      <c r="M360" s="45">
        <v>0</v>
      </c>
      <c r="N360" s="45">
        <v>0</v>
      </c>
      <c r="O360" s="45">
        <v>0</v>
      </c>
      <c r="P360" s="45">
        <v>0</v>
      </c>
      <c r="Q360" s="45">
        <v>0</v>
      </c>
      <c r="R360" s="45">
        <v>0</v>
      </c>
      <c r="S360" s="45">
        <v>0</v>
      </c>
      <c r="T360" s="45">
        <v>0</v>
      </c>
      <c r="U360" s="45">
        <v>3770</v>
      </c>
    </row>
    <row r="361" spans="1:21" ht="16.05" customHeight="1">
      <c r="A361" s="58" t="s">
        <v>1779</v>
      </c>
      <c r="B361" s="58" t="s">
        <v>1996</v>
      </c>
      <c r="C361" s="45">
        <v>19</v>
      </c>
      <c r="D361" s="45">
        <v>5842</v>
      </c>
      <c r="E361" s="45">
        <v>0</v>
      </c>
      <c r="F361" s="45">
        <v>2852</v>
      </c>
      <c r="G361" s="45">
        <v>0</v>
      </c>
      <c r="H361" s="45">
        <v>962</v>
      </c>
      <c r="I361" s="45">
        <v>0</v>
      </c>
      <c r="J361" s="45">
        <v>0</v>
      </c>
      <c r="K361" s="45">
        <v>0</v>
      </c>
      <c r="L361" s="45">
        <v>0</v>
      </c>
      <c r="M361" s="45">
        <v>0</v>
      </c>
      <c r="N361" s="45">
        <v>0</v>
      </c>
      <c r="O361" s="45">
        <v>0</v>
      </c>
      <c r="P361" s="45">
        <v>0</v>
      </c>
      <c r="Q361" s="45">
        <v>0</v>
      </c>
      <c r="R361" s="45">
        <v>0</v>
      </c>
      <c r="S361" s="45">
        <v>0</v>
      </c>
      <c r="T361" s="45">
        <v>0</v>
      </c>
      <c r="U361" s="45">
        <v>2982</v>
      </c>
    </row>
    <row r="362" spans="1:21" ht="16.05" customHeight="1">
      <c r="A362" s="58" t="s">
        <v>1779</v>
      </c>
      <c r="B362" s="58" t="s">
        <v>1997</v>
      </c>
      <c r="C362" s="45">
        <v>49</v>
      </c>
      <c r="D362" s="45">
        <v>17626</v>
      </c>
      <c r="E362" s="45">
        <v>0</v>
      </c>
      <c r="F362" s="45">
        <v>12752</v>
      </c>
      <c r="G362" s="45">
        <v>0</v>
      </c>
      <c r="H362" s="45">
        <v>8802</v>
      </c>
      <c r="I362" s="45">
        <v>0</v>
      </c>
      <c r="J362" s="45">
        <v>5814</v>
      </c>
      <c r="K362" s="45">
        <v>0</v>
      </c>
      <c r="L362" s="45">
        <v>2996</v>
      </c>
      <c r="M362" s="45">
        <v>0</v>
      </c>
      <c r="N362" s="45">
        <v>1096</v>
      </c>
      <c r="O362" s="45">
        <v>0</v>
      </c>
      <c r="P362" s="45">
        <v>0</v>
      </c>
      <c r="Q362" s="45">
        <v>0</v>
      </c>
      <c r="R362" s="45">
        <v>0</v>
      </c>
      <c r="S362" s="45">
        <v>0</v>
      </c>
      <c r="T362" s="45">
        <v>0</v>
      </c>
      <c r="U362" s="45">
        <v>4786</v>
      </c>
    </row>
    <row r="363" spans="1:21" ht="16.05" customHeight="1">
      <c r="A363" s="58" t="s">
        <v>1779</v>
      </c>
      <c r="B363" s="58" t="s">
        <v>1998</v>
      </c>
      <c r="C363" s="45">
        <v>87</v>
      </c>
      <c r="D363" s="45">
        <v>29696</v>
      </c>
      <c r="E363" s="45">
        <v>0</v>
      </c>
      <c r="F363" s="45">
        <v>23821</v>
      </c>
      <c r="G363" s="45">
        <v>0</v>
      </c>
      <c r="H363" s="45">
        <v>18347</v>
      </c>
      <c r="I363" s="45">
        <v>0</v>
      </c>
      <c r="J363" s="45">
        <v>13310</v>
      </c>
      <c r="K363" s="45">
        <v>0</v>
      </c>
      <c r="L363" s="45">
        <v>8865</v>
      </c>
      <c r="M363" s="45">
        <v>0</v>
      </c>
      <c r="N363" s="45">
        <v>5652</v>
      </c>
      <c r="O363" s="45">
        <v>0</v>
      </c>
      <c r="P363" s="45">
        <v>3273</v>
      </c>
      <c r="Q363" s="45">
        <v>0</v>
      </c>
      <c r="R363" s="45">
        <v>1708</v>
      </c>
      <c r="S363" s="45">
        <v>0</v>
      </c>
      <c r="T363" s="45">
        <v>1779</v>
      </c>
      <c r="U363" s="45">
        <v>5780</v>
      </c>
    </row>
    <row r="364" spans="1:21" ht="16.05" customHeight="1">
      <c r="A364" s="58" t="s">
        <v>1779</v>
      </c>
      <c r="B364" s="58" t="s">
        <v>1999</v>
      </c>
      <c r="C364" s="45">
        <v>69</v>
      </c>
      <c r="D364" s="45">
        <v>30999</v>
      </c>
      <c r="E364" s="45">
        <v>1</v>
      </c>
      <c r="F364" s="45">
        <v>24394</v>
      </c>
      <c r="G364" s="45">
        <v>0</v>
      </c>
      <c r="H364" s="45">
        <v>19189</v>
      </c>
      <c r="I364" s="45">
        <v>0</v>
      </c>
      <c r="J364" s="45">
        <v>14424</v>
      </c>
      <c r="K364" s="45">
        <v>0</v>
      </c>
      <c r="L364" s="45">
        <v>10158</v>
      </c>
      <c r="M364" s="45">
        <v>0</v>
      </c>
      <c r="N364" s="45">
        <v>6837</v>
      </c>
      <c r="O364" s="45">
        <v>0</v>
      </c>
      <c r="P364" s="45">
        <v>4242</v>
      </c>
      <c r="Q364" s="45">
        <v>0</v>
      </c>
      <c r="R364" s="45">
        <v>2454</v>
      </c>
      <c r="S364" s="45">
        <v>0</v>
      </c>
      <c r="T364" s="45">
        <v>1377</v>
      </c>
      <c r="U364" s="45">
        <v>6489</v>
      </c>
    </row>
    <row r="365" spans="1:21" ht="16.05" customHeight="1">
      <c r="A365" s="58" t="s">
        <v>1779</v>
      </c>
      <c r="B365" s="58" t="s">
        <v>2000</v>
      </c>
      <c r="C365" s="45">
        <v>62</v>
      </c>
      <c r="D365" s="45">
        <v>33010</v>
      </c>
      <c r="E365" s="45">
        <v>0</v>
      </c>
      <c r="F365" s="45">
        <v>25579</v>
      </c>
      <c r="G365" s="45">
        <v>0</v>
      </c>
      <c r="H365" s="45">
        <v>18888</v>
      </c>
      <c r="I365" s="45">
        <v>0</v>
      </c>
      <c r="J365" s="45">
        <v>13333</v>
      </c>
      <c r="K365" s="45">
        <v>0</v>
      </c>
      <c r="L365" s="45">
        <v>8793</v>
      </c>
      <c r="M365" s="45">
        <v>0</v>
      </c>
      <c r="N365" s="45">
        <v>4990</v>
      </c>
      <c r="O365" s="45">
        <v>0</v>
      </c>
      <c r="P365" s="45">
        <v>2849</v>
      </c>
      <c r="Q365" s="45">
        <v>0</v>
      </c>
      <c r="R365" s="45">
        <v>1583</v>
      </c>
      <c r="S365" s="45">
        <v>0</v>
      </c>
      <c r="T365" s="45">
        <v>864</v>
      </c>
      <c r="U365" s="45">
        <v>7306</v>
      </c>
    </row>
    <row r="366" spans="1:21" ht="16.05" customHeight="1">
      <c r="A366" s="58" t="s">
        <v>1779</v>
      </c>
      <c r="B366" s="58" t="s">
        <v>2001</v>
      </c>
      <c r="C366" s="45">
        <v>142</v>
      </c>
      <c r="D366" s="45">
        <v>60929</v>
      </c>
      <c r="E366" s="45">
        <v>1</v>
      </c>
      <c r="F366" s="45">
        <v>52260</v>
      </c>
      <c r="G366" s="45">
        <v>0</v>
      </c>
      <c r="H366" s="45">
        <v>44463</v>
      </c>
      <c r="I366" s="45">
        <v>0</v>
      </c>
      <c r="J366" s="45">
        <v>37111</v>
      </c>
      <c r="K366" s="45">
        <v>0</v>
      </c>
      <c r="L366" s="45">
        <v>31028</v>
      </c>
      <c r="M366" s="45">
        <v>0</v>
      </c>
      <c r="N366" s="45">
        <v>25254</v>
      </c>
      <c r="O366" s="45">
        <v>0</v>
      </c>
      <c r="P366" s="45">
        <v>20521</v>
      </c>
      <c r="Q366" s="45">
        <v>0</v>
      </c>
      <c r="R366" s="45">
        <v>16415</v>
      </c>
      <c r="S366" s="45">
        <v>0</v>
      </c>
      <c r="T366" s="45">
        <v>36774</v>
      </c>
      <c r="U366" s="45">
        <v>8431</v>
      </c>
    </row>
    <row r="367" spans="1:21" ht="16.05" customHeight="1">
      <c r="A367" s="58" t="s">
        <v>1779</v>
      </c>
      <c r="B367" s="58" t="s">
        <v>2002</v>
      </c>
      <c r="C367" s="45">
        <v>142</v>
      </c>
      <c r="D367" s="45">
        <v>52147</v>
      </c>
      <c r="E367" s="45">
        <v>0</v>
      </c>
      <c r="F367" s="45">
        <v>43574</v>
      </c>
      <c r="G367" s="45">
        <v>0</v>
      </c>
      <c r="H367" s="45">
        <v>35416</v>
      </c>
      <c r="I367" s="45">
        <v>0</v>
      </c>
      <c r="J367" s="45">
        <v>28079</v>
      </c>
      <c r="K367" s="45">
        <v>0</v>
      </c>
      <c r="L367" s="45">
        <v>21368</v>
      </c>
      <c r="M367" s="45">
        <v>0</v>
      </c>
      <c r="N367" s="45">
        <v>16552</v>
      </c>
      <c r="O367" s="45">
        <v>0</v>
      </c>
      <c r="P367" s="45">
        <v>12552</v>
      </c>
      <c r="Q367" s="45">
        <v>0</v>
      </c>
      <c r="R367" s="45">
        <v>9189</v>
      </c>
      <c r="S367" s="45">
        <v>0</v>
      </c>
      <c r="T367" s="45">
        <v>13986</v>
      </c>
      <c r="U367" s="45">
        <v>8417</v>
      </c>
    </row>
    <row r="368" spans="1:21" ht="16.05" customHeight="1">
      <c r="A368" s="58" t="s">
        <v>1779</v>
      </c>
      <c r="B368" s="58" t="s">
        <v>2003</v>
      </c>
      <c r="C368" s="45">
        <v>80</v>
      </c>
      <c r="D368" s="45">
        <v>30771</v>
      </c>
      <c r="E368" s="45">
        <v>1</v>
      </c>
      <c r="F368" s="45">
        <v>24907</v>
      </c>
      <c r="G368" s="45">
        <v>0</v>
      </c>
      <c r="H368" s="45">
        <v>19463</v>
      </c>
      <c r="I368" s="45">
        <v>0</v>
      </c>
      <c r="J368" s="45">
        <v>14390</v>
      </c>
      <c r="K368" s="45">
        <v>0</v>
      </c>
      <c r="L368" s="45">
        <v>9707</v>
      </c>
      <c r="M368" s="45">
        <v>0</v>
      </c>
      <c r="N368" s="45">
        <v>5698</v>
      </c>
      <c r="O368" s="45">
        <v>0</v>
      </c>
      <c r="P368" s="45">
        <v>2332</v>
      </c>
      <c r="Q368" s="45">
        <v>0</v>
      </c>
      <c r="R368" s="45">
        <v>1519</v>
      </c>
      <c r="S368" s="45">
        <v>0</v>
      </c>
      <c r="T368" s="45">
        <v>2044</v>
      </c>
      <c r="U368" s="45">
        <v>5751</v>
      </c>
    </row>
    <row r="369" spans="1:21" ht="16.05" customHeight="1">
      <c r="A369" s="58" t="s">
        <v>1779</v>
      </c>
      <c r="B369" s="58" t="s">
        <v>2004</v>
      </c>
      <c r="C369" s="45">
        <v>42</v>
      </c>
      <c r="D369" s="45">
        <v>17456</v>
      </c>
      <c r="E369" s="45">
        <v>0</v>
      </c>
      <c r="F369" s="45">
        <v>11975</v>
      </c>
      <c r="G369" s="45">
        <v>0</v>
      </c>
      <c r="H369" s="45">
        <v>7139</v>
      </c>
      <c r="I369" s="45">
        <v>0</v>
      </c>
      <c r="J369" s="45">
        <v>2848</v>
      </c>
      <c r="K369" s="45">
        <v>0</v>
      </c>
      <c r="L369" s="45">
        <v>710</v>
      </c>
      <c r="M369" s="45">
        <v>0</v>
      </c>
      <c r="N369" s="45">
        <v>369</v>
      </c>
      <c r="O369" s="45">
        <v>0</v>
      </c>
      <c r="P369" s="45">
        <v>125</v>
      </c>
      <c r="Q369" s="45">
        <v>0</v>
      </c>
      <c r="R369" s="45">
        <v>0</v>
      </c>
      <c r="S369" s="45">
        <v>0</v>
      </c>
      <c r="T369" s="45">
        <v>0</v>
      </c>
      <c r="U369" s="45">
        <v>5395</v>
      </c>
    </row>
    <row r="370" spans="1:21" ht="16.05" customHeight="1">
      <c r="A370" s="58" t="s">
        <v>1779</v>
      </c>
      <c r="B370" s="58" t="s">
        <v>2005</v>
      </c>
      <c r="C370" s="45">
        <v>8</v>
      </c>
      <c r="D370" s="45">
        <v>4221</v>
      </c>
      <c r="E370" s="45">
        <v>0</v>
      </c>
      <c r="F370" s="45">
        <v>613</v>
      </c>
      <c r="G370" s="45">
        <v>0</v>
      </c>
      <c r="H370" s="45">
        <v>0</v>
      </c>
      <c r="I370" s="45">
        <v>0</v>
      </c>
      <c r="J370" s="45">
        <v>0</v>
      </c>
      <c r="K370" s="45">
        <v>0</v>
      </c>
      <c r="L370" s="45">
        <v>0</v>
      </c>
      <c r="M370" s="45">
        <v>0</v>
      </c>
      <c r="N370" s="45">
        <v>0</v>
      </c>
      <c r="O370" s="45">
        <v>0</v>
      </c>
      <c r="P370" s="45">
        <v>0</v>
      </c>
      <c r="Q370" s="45">
        <v>0</v>
      </c>
      <c r="R370" s="45">
        <v>0</v>
      </c>
      <c r="S370" s="45">
        <v>0</v>
      </c>
      <c r="T370" s="45">
        <v>0</v>
      </c>
      <c r="U370" s="45">
        <v>3608</v>
      </c>
    </row>
    <row r="371" spans="1:21" ht="16.05" customHeight="1">
      <c r="A371" s="58" t="s">
        <v>1779</v>
      </c>
      <c r="B371" s="58" t="s">
        <v>2006</v>
      </c>
      <c r="C371" s="45">
        <v>22</v>
      </c>
      <c r="D371" s="45">
        <v>8698</v>
      </c>
      <c r="E371" s="45">
        <v>0</v>
      </c>
      <c r="F371" s="45">
        <v>4022</v>
      </c>
      <c r="G371" s="45">
        <v>0</v>
      </c>
      <c r="H371" s="45">
        <v>202</v>
      </c>
      <c r="I371" s="45">
        <v>0</v>
      </c>
      <c r="J371" s="45">
        <v>64</v>
      </c>
      <c r="K371" s="45">
        <v>0</v>
      </c>
      <c r="L371" s="45">
        <v>0</v>
      </c>
      <c r="M371" s="45">
        <v>0</v>
      </c>
      <c r="N371" s="45">
        <v>0</v>
      </c>
      <c r="O371" s="45">
        <v>0</v>
      </c>
      <c r="P371" s="45">
        <v>0</v>
      </c>
      <c r="Q371" s="45">
        <v>0</v>
      </c>
      <c r="R371" s="45">
        <v>0</v>
      </c>
      <c r="S371" s="45">
        <v>0</v>
      </c>
      <c r="T371" s="45">
        <v>0</v>
      </c>
      <c r="U371" s="45">
        <v>4679</v>
      </c>
    </row>
    <row r="372" spans="1:21" ht="16.05" customHeight="1">
      <c r="A372" s="58" t="s">
        <v>1779</v>
      </c>
      <c r="B372" s="58" t="s">
        <v>2007</v>
      </c>
      <c r="C372" s="45">
        <v>9</v>
      </c>
      <c r="D372" s="45">
        <v>6013</v>
      </c>
      <c r="E372" s="45">
        <v>0</v>
      </c>
      <c r="F372" s="45">
        <v>3229</v>
      </c>
      <c r="G372" s="45">
        <v>0</v>
      </c>
      <c r="H372" s="45">
        <v>1205</v>
      </c>
      <c r="I372" s="45">
        <v>0</v>
      </c>
      <c r="J372" s="45">
        <v>0</v>
      </c>
      <c r="K372" s="45">
        <v>0</v>
      </c>
      <c r="L372" s="45">
        <v>0</v>
      </c>
      <c r="M372" s="45">
        <v>0</v>
      </c>
      <c r="N372" s="45">
        <v>0</v>
      </c>
      <c r="O372" s="45">
        <v>0</v>
      </c>
      <c r="P372" s="45">
        <v>0</v>
      </c>
      <c r="Q372" s="45">
        <v>0</v>
      </c>
      <c r="R372" s="45">
        <v>0</v>
      </c>
      <c r="S372" s="45">
        <v>0</v>
      </c>
      <c r="T372" s="45">
        <v>0</v>
      </c>
      <c r="U372" s="45">
        <v>2770</v>
      </c>
    </row>
    <row r="373" spans="1:21" ht="16.05" customHeight="1">
      <c r="A373" s="58" t="s">
        <v>1779</v>
      </c>
      <c r="B373" s="58" t="s">
        <v>2008</v>
      </c>
      <c r="C373" s="45">
        <v>57</v>
      </c>
      <c r="D373" s="45">
        <v>19482</v>
      </c>
      <c r="E373" s="45">
        <v>0</v>
      </c>
      <c r="F373" s="45">
        <v>13664</v>
      </c>
      <c r="G373" s="45">
        <v>0</v>
      </c>
      <c r="H373" s="45">
        <v>9499</v>
      </c>
      <c r="I373" s="45">
        <v>0</v>
      </c>
      <c r="J373" s="45">
        <v>6054</v>
      </c>
      <c r="K373" s="45">
        <v>0</v>
      </c>
      <c r="L373" s="45">
        <v>3342</v>
      </c>
      <c r="M373" s="45">
        <v>0</v>
      </c>
      <c r="N373" s="45">
        <v>1513</v>
      </c>
      <c r="O373" s="45">
        <v>0</v>
      </c>
      <c r="P373" s="45">
        <v>274</v>
      </c>
      <c r="Q373" s="45">
        <v>0</v>
      </c>
      <c r="R373" s="45">
        <v>0</v>
      </c>
      <c r="S373" s="45">
        <v>0</v>
      </c>
      <c r="T373" s="45">
        <v>0</v>
      </c>
      <c r="U373" s="45">
        <v>5754</v>
      </c>
    </row>
    <row r="374" spans="1:21" ht="16.05" customHeight="1">
      <c r="A374" s="58" t="s">
        <v>1779</v>
      </c>
      <c r="B374" s="58" t="s">
        <v>2009</v>
      </c>
      <c r="C374" s="45">
        <v>71</v>
      </c>
      <c r="D374" s="45">
        <v>27036</v>
      </c>
      <c r="E374" s="45">
        <v>0</v>
      </c>
      <c r="F374" s="45">
        <v>20969</v>
      </c>
      <c r="G374" s="45">
        <v>0</v>
      </c>
      <c r="H374" s="45">
        <v>15936</v>
      </c>
      <c r="I374" s="45">
        <v>0</v>
      </c>
      <c r="J374" s="45">
        <v>11749</v>
      </c>
      <c r="K374" s="45">
        <v>0</v>
      </c>
      <c r="L374" s="45">
        <v>8499</v>
      </c>
      <c r="M374" s="45">
        <v>0</v>
      </c>
      <c r="N374" s="45">
        <v>5794</v>
      </c>
      <c r="O374" s="45">
        <v>0</v>
      </c>
      <c r="P374" s="45">
        <v>3488</v>
      </c>
      <c r="Q374" s="45">
        <v>0</v>
      </c>
      <c r="R374" s="45">
        <v>1794</v>
      </c>
      <c r="S374" s="45">
        <v>0</v>
      </c>
      <c r="T374" s="45">
        <v>963</v>
      </c>
      <c r="U374" s="45">
        <v>5979</v>
      </c>
    </row>
    <row r="375" spans="1:21" ht="16.05" customHeight="1">
      <c r="A375" s="58" t="s">
        <v>1779</v>
      </c>
      <c r="B375" s="58" t="s">
        <v>2010</v>
      </c>
      <c r="C375" s="45">
        <v>62</v>
      </c>
      <c r="D375" s="45">
        <v>23649</v>
      </c>
      <c r="E375" s="45">
        <v>0</v>
      </c>
      <c r="F375" s="45">
        <v>17335</v>
      </c>
      <c r="G375" s="45">
        <v>0</v>
      </c>
      <c r="H375" s="45">
        <v>11632</v>
      </c>
      <c r="I375" s="45">
        <v>0</v>
      </c>
      <c r="J375" s="45">
        <v>6853</v>
      </c>
      <c r="K375" s="45">
        <v>0</v>
      </c>
      <c r="L375" s="45">
        <v>3446</v>
      </c>
      <c r="M375" s="45">
        <v>0</v>
      </c>
      <c r="N375" s="45">
        <v>1582</v>
      </c>
      <c r="O375" s="45">
        <v>0</v>
      </c>
      <c r="P375" s="45">
        <v>669</v>
      </c>
      <c r="Q375" s="45">
        <v>0</v>
      </c>
      <c r="R375" s="45">
        <v>257</v>
      </c>
      <c r="S375" s="45">
        <v>0</v>
      </c>
      <c r="T375" s="45">
        <v>67</v>
      </c>
      <c r="U375" s="45">
        <v>6229</v>
      </c>
    </row>
    <row r="376" spans="1:21" ht="16.05" customHeight="1">
      <c r="A376" s="58" t="s">
        <v>1779</v>
      </c>
      <c r="B376" s="58" t="s">
        <v>2011</v>
      </c>
      <c r="C376" s="45">
        <v>155</v>
      </c>
      <c r="D376" s="45">
        <v>69935</v>
      </c>
      <c r="E376" s="45">
        <v>0</v>
      </c>
      <c r="F376" s="45">
        <v>60313</v>
      </c>
      <c r="G376" s="45">
        <v>0</v>
      </c>
      <c r="H376" s="45">
        <v>51351</v>
      </c>
      <c r="I376" s="45">
        <v>0</v>
      </c>
      <c r="J376" s="45">
        <v>42793</v>
      </c>
      <c r="K376" s="45">
        <v>0</v>
      </c>
      <c r="L376" s="45">
        <v>34712</v>
      </c>
      <c r="M376" s="45">
        <v>0</v>
      </c>
      <c r="N376" s="45">
        <v>27547</v>
      </c>
      <c r="O376" s="45">
        <v>0</v>
      </c>
      <c r="P376" s="45">
        <v>21322</v>
      </c>
      <c r="Q376" s="45">
        <v>0</v>
      </c>
      <c r="R376" s="45">
        <v>15529</v>
      </c>
      <c r="S376" s="45">
        <v>0</v>
      </c>
      <c r="T376" s="45">
        <v>31169</v>
      </c>
      <c r="U376" s="45">
        <v>9368</v>
      </c>
    </row>
    <row r="377" spans="1:21" ht="16.05" customHeight="1">
      <c r="A377" s="58" t="s">
        <v>1779</v>
      </c>
      <c r="B377" s="58" t="s">
        <v>2012</v>
      </c>
      <c r="C377" s="45">
        <v>95</v>
      </c>
      <c r="D377" s="45">
        <v>37493</v>
      </c>
      <c r="E377" s="45">
        <v>0</v>
      </c>
      <c r="F377" s="45">
        <v>30614</v>
      </c>
      <c r="G377" s="45">
        <v>0</v>
      </c>
      <c r="H377" s="45">
        <v>24677</v>
      </c>
      <c r="I377" s="45">
        <v>0</v>
      </c>
      <c r="J377" s="45">
        <v>19307</v>
      </c>
      <c r="K377" s="45">
        <v>0</v>
      </c>
      <c r="L377" s="45">
        <v>14152</v>
      </c>
      <c r="M377" s="45">
        <v>0</v>
      </c>
      <c r="N377" s="45">
        <v>9660</v>
      </c>
      <c r="O377" s="45">
        <v>0</v>
      </c>
      <c r="P377" s="45">
        <v>6413</v>
      </c>
      <c r="Q377" s="45">
        <v>0</v>
      </c>
      <c r="R377" s="45">
        <v>4120</v>
      </c>
      <c r="S377" s="45">
        <v>0</v>
      </c>
      <c r="T377" s="45">
        <v>5257</v>
      </c>
      <c r="U377" s="45">
        <v>6695</v>
      </c>
    </row>
    <row r="378" spans="1:21" ht="16.05" customHeight="1">
      <c r="A378" s="58" t="s">
        <v>1779</v>
      </c>
      <c r="B378" s="58" t="s">
        <v>2013</v>
      </c>
      <c r="C378" s="45">
        <v>65</v>
      </c>
      <c r="D378" s="45">
        <v>32944</v>
      </c>
      <c r="E378" s="45">
        <v>1</v>
      </c>
      <c r="F378" s="45">
        <v>25524</v>
      </c>
      <c r="G378" s="45">
        <v>0</v>
      </c>
      <c r="H378" s="45">
        <v>19112</v>
      </c>
      <c r="I378" s="45">
        <v>0</v>
      </c>
      <c r="J378" s="45">
        <v>13024</v>
      </c>
      <c r="K378" s="45">
        <v>0</v>
      </c>
      <c r="L378" s="45">
        <v>8328</v>
      </c>
      <c r="M378" s="45">
        <v>0</v>
      </c>
      <c r="N378" s="45">
        <v>5094</v>
      </c>
      <c r="O378" s="45">
        <v>0</v>
      </c>
      <c r="P378" s="45">
        <v>2636</v>
      </c>
      <c r="Q378" s="45">
        <v>0</v>
      </c>
      <c r="R378" s="45">
        <v>1173</v>
      </c>
      <c r="S378" s="45">
        <v>0</v>
      </c>
      <c r="T378" s="45">
        <v>899</v>
      </c>
      <c r="U378" s="45">
        <v>7293</v>
      </c>
    </row>
    <row r="379" spans="1:21" ht="16.05" customHeight="1">
      <c r="A379" s="58" t="s">
        <v>1779</v>
      </c>
      <c r="B379" s="58" t="s">
        <v>2014</v>
      </c>
      <c r="C379" s="45">
        <v>80</v>
      </c>
      <c r="D379" s="45">
        <v>40460</v>
      </c>
      <c r="E379" s="45">
        <v>0</v>
      </c>
      <c r="F379" s="45">
        <v>32229</v>
      </c>
      <c r="G379" s="45">
        <v>0</v>
      </c>
      <c r="H379" s="45">
        <v>25868</v>
      </c>
      <c r="I379" s="45">
        <v>0</v>
      </c>
      <c r="J379" s="45">
        <v>19983</v>
      </c>
      <c r="K379" s="45">
        <v>0</v>
      </c>
      <c r="L379" s="45">
        <v>15582</v>
      </c>
      <c r="M379" s="45">
        <v>0</v>
      </c>
      <c r="N379" s="45">
        <v>11826</v>
      </c>
      <c r="O379" s="45">
        <v>0</v>
      </c>
      <c r="P379" s="45">
        <v>8495</v>
      </c>
      <c r="Q379" s="45">
        <v>0</v>
      </c>
      <c r="R379" s="45">
        <v>5542</v>
      </c>
      <c r="S379" s="45">
        <v>0</v>
      </c>
      <c r="T379" s="45">
        <v>5468</v>
      </c>
      <c r="U379" s="45">
        <v>8100</v>
      </c>
    </row>
    <row r="380" spans="1:21" ht="16.05" customHeight="1">
      <c r="A380" s="58" t="s">
        <v>1779</v>
      </c>
      <c r="B380" s="58" t="s">
        <v>2015</v>
      </c>
      <c r="C380" s="45">
        <v>129</v>
      </c>
      <c r="D380" s="45">
        <v>58643</v>
      </c>
      <c r="E380" s="45">
        <v>0</v>
      </c>
      <c r="F380" s="45">
        <v>50661</v>
      </c>
      <c r="G380" s="45">
        <v>0</v>
      </c>
      <c r="H380" s="45">
        <v>43416</v>
      </c>
      <c r="I380" s="45">
        <v>0</v>
      </c>
      <c r="J380" s="45">
        <v>37024</v>
      </c>
      <c r="K380" s="45">
        <v>0</v>
      </c>
      <c r="L380" s="45">
        <v>31454</v>
      </c>
      <c r="M380" s="45">
        <v>0</v>
      </c>
      <c r="N380" s="45">
        <v>26485</v>
      </c>
      <c r="O380" s="45">
        <v>0</v>
      </c>
      <c r="P380" s="45">
        <v>21819</v>
      </c>
      <c r="Q380" s="45">
        <v>0</v>
      </c>
      <c r="R380" s="45">
        <v>17723</v>
      </c>
      <c r="S380" s="45">
        <v>0</v>
      </c>
      <c r="T380" s="45">
        <v>44169</v>
      </c>
      <c r="U380" s="45">
        <v>7851</v>
      </c>
    </row>
    <row r="381" spans="1:21" ht="16.05" customHeight="1">
      <c r="A381" s="58" t="s">
        <v>1779</v>
      </c>
      <c r="B381" s="58" t="s">
        <v>2016</v>
      </c>
      <c r="C381" s="45">
        <v>99</v>
      </c>
      <c r="D381" s="45">
        <v>40455</v>
      </c>
      <c r="E381" s="45">
        <v>1</v>
      </c>
      <c r="F381" s="45">
        <v>33437</v>
      </c>
      <c r="G381" s="45">
        <v>0</v>
      </c>
      <c r="H381" s="45">
        <v>27797</v>
      </c>
      <c r="I381" s="45">
        <v>0</v>
      </c>
      <c r="J381" s="45">
        <v>22448</v>
      </c>
      <c r="K381" s="45">
        <v>0</v>
      </c>
      <c r="L381" s="45">
        <v>17500</v>
      </c>
      <c r="M381" s="45">
        <v>0</v>
      </c>
      <c r="N381" s="45">
        <v>13157</v>
      </c>
      <c r="O381" s="45">
        <v>0</v>
      </c>
      <c r="P381" s="45">
        <v>9705</v>
      </c>
      <c r="Q381" s="45">
        <v>0</v>
      </c>
      <c r="R381" s="45">
        <v>6857</v>
      </c>
      <c r="S381" s="45">
        <v>0</v>
      </c>
      <c r="T381" s="45">
        <v>9792</v>
      </c>
      <c r="U381" s="45">
        <v>6825</v>
      </c>
    </row>
    <row r="382" spans="1:21" ht="16.05" customHeight="1">
      <c r="A382" s="58" t="s">
        <v>1779</v>
      </c>
      <c r="B382" s="58" t="s">
        <v>2017</v>
      </c>
      <c r="C382" s="45">
        <v>72</v>
      </c>
      <c r="D382" s="45">
        <v>30577</v>
      </c>
      <c r="E382" s="45">
        <v>0</v>
      </c>
      <c r="F382" s="45">
        <v>22933</v>
      </c>
      <c r="G382" s="45">
        <v>0</v>
      </c>
      <c r="H382" s="45">
        <v>16113</v>
      </c>
      <c r="I382" s="45">
        <v>0</v>
      </c>
      <c r="J382" s="45">
        <v>10774</v>
      </c>
      <c r="K382" s="45">
        <v>0</v>
      </c>
      <c r="L382" s="45">
        <v>6765</v>
      </c>
      <c r="M382" s="45">
        <v>0</v>
      </c>
      <c r="N382" s="45">
        <v>3813</v>
      </c>
      <c r="O382" s="45">
        <v>0</v>
      </c>
      <c r="P382" s="45">
        <v>1765</v>
      </c>
      <c r="Q382" s="45">
        <v>0</v>
      </c>
      <c r="R382" s="45">
        <v>677</v>
      </c>
      <c r="S382" s="45">
        <v>0</v>
      </c>
      <c r="T382" s="45">
        <v>228</v>
      </c>
      <c r="U382" s="45">
        <v>7533</v>
      </c>
    </row>
    <row r="383" spans="1:21" ht="16.05" customHeight="1">
      <c r="A383" s="58" t="s">
        <v>1779</v>
      </c>
      <c r="B383" s="58" t="s">
        <v>2018</v>
      </c>
      <c r="C383" s="45">
        <v>129</v>
      </c>
      <c r="D383" s="45">
        <v>65848</v>
      </c>
      <c r="E383" s="45">
        <v>1</v>
      </c>
      <c r="F383" s="45">
        <v>58020</v>
      </c>
      <c r="G383" s="45">
        <v>0</v>
      </c>
      <c r="H383" s="45">
        <v>50991</v>
      </c>
      <c r="I383" s="45">
        <v>0</v>
      </c>
      <c r="J383" s="45">
        <v>44142</v>
      </c>
      <c r="K383" s="45">
        <v>0</v>
      </c>
      <c r="L383" s="45">
        <v>37810</v>
      </c>
      <c r="M383" s="45">
        <v>0</v>
      </c>
      <c r="N383" s="45">
        <v>31956</v>
      </c>
      <c r="O383" s="45">
        <v>0</v>
      </c>
      <c r="P383" s="45">
        <v>26671</v>
      </c>
      <c r="Q383" s="45">
        <v>0</v>
      </c>
      <c r="R383" s="45">
        <v>21877</v>
      </c>
      <c r="S383" s="45">
        <v>0</v>
      </c>
      <c r="T383" s="45">
        <v>63423</v>
      </c>
      <c r="U383" s="45">
        <v>7639</v>
      </c>
    </row>
    <row r="384" spans="1:21" ht="16.05" customHeight="1">
      <c r="A384" s="58" t="s">
        <v>1779</v>
      </c>
      <c r="B384" s="58" t="s">
        <v>2019</v>
      </c>
      <c r="C384" s="45">
        <v>96</v>
      </c>
      <c r="D384" s="45">
        <v>46866</v>
      </c>
      <c r="E384" s="45">
        <v>1</v>
      </c>
      <c r="F384" s="45">
        <v>38760</v>
      </c>
      <c r="G384" s="45">
        <v>0</v>
      </c>
      <c r="H384" s="45">
        <v>32070</v>
      </c>
      <c r="I384" s="45">
        <v>0</v>
      </c>
      <c r="J384" s="45">
        <v>25717</v>
      </c>
      <c r="K384" s="45">
        <v>0</v>
      </c>
      <c r="L384" s="45">
        <v>20296</v>
      </c>
      <c r="M384" s="45">
        <v>0</v>
      </c>
      <c r="N384" s="45">
        <v>15206</v>
      </c>
      <c r="O384" s="45">
        <v>0</v>
      </c>
      <c r="P384" s="45">
        <v>11443</v>
      </c>
      <c r="Q384" s="45">
        <v>0</v>
      </c>
      <c r="R384" s="45">
        <v>7894</v>
      </c>
      <c r="S384" s="45">
        <v>0</v>
      </c>
      <c r="T384" s="45">
        <v>10106</v>
      </c>
      <c r="U384" s="45">
        <v>7986</v>
      </c>
    </row>
    <row r="385" spans="1:21" ht="16.05" customHeight="1">
      <c r="A385" s="58" t="s">
        <v>1779</v>
      </c>
      <c r="B385" s="58" t="s">
        <v>2020</v>
      </c>
      <c r="C385" s="45">
        <v>59</v>
      </c>
      <c r="D385" s="45">
        <v>24563</v>
      </c>
      <c r="E385" s="45">
        <v>1</v>
      </c>
      <c r="F385" s="45">
        <v>19991</v>
      </c>
      <c r="G385" s="45">
        <v>0</v>
      </c>
      <c r="H385" s="45">
        <v>15761</v>
      </c>
      <c r="I385" s="45">
        <v>0</v>
      </c>
      <c r="J385" s="45">
        <v>11811</v>
      </c>
      <c r="K385" s="45">
        <v>0</v>
      </c>
      <c r="L385" s="45">
        <v>8663</v>
      </c>
      <c r="M385" s="45">
        <v>0</v>
      </c>
      <c r="N385" s="45">
        <v>6066</v>
      </c>
      <c r="O385" s="45">
        <v>0</v>
      </c>
      <c r="P385" s="45">
        <v>3805</v>
      </c>
      <c r="Q385" s="45">
        <v>0</v>
      </c>
      <c r="R385" s="45">
        <v>2102</v>
      </c>
      <c r="S385" s="45">
        <v>0</v>
      </c>
      <c r="T385" s="45">
        <v>1644</v>
      </c>
      <c r="U385" s="45">
        <v>4471</v>
      </c>
    </row>
    <row r="386" spans="1:21" ht="16.05" customHeight="1">
      <c r="A386" s="58" t="s">
        <v>1779</v>
      </c>
      <c r="B386" s="58" t="s">
        <v>2021</v>
      </c>
      <c r="C386" s="45">
        <v>48</v>
      </c>
      <c r="D386" s="45">
        <v>18411</v>
      </c>
      <c r="E386" s="45">
        <v>0</v>
      </c>
      <c r="F386" s="45">
        <v>12996</v>
      </c>
      <c r="G386" s="45">
        <v>0</v>
      </c>
      <c r="H386" s="45">
        <v>8431</v>
      </c>
      <c r="I386" s="45">
        <v>0</v>
      </c>
      <c r="J386" s="45">
        <v>4894</v>
      </c>
      <c r="K386" s="45">
        <v>0</v>
      </c>
      <c r="L386" s="45">
        <v>2481</v>
      </c>
      <c r="M386" s="45">
        <v>0</v>
      </c>
      <c r="N386" s="45">
        <v>908</v>
      </c>
      <c r="O386" s="45">
        <v>0</v>
      </c>
      <c r="P386" s="45">
        <v>337</v>
      </c>
      <c r="Q386" s="45">
        <v>0</v>
      </c>
      <c r="R386" s="45">
        <v>85</v>
      </c>
      <c r="S386" s="45">
        <v>0</v>
      </c>
      <c r="T386" s="45">
        <v>0</v>
      </c>
      <c r="U386" s="45">
        <v>5347</v>
      </c>
    </row>
    <row r="387" spans="1:21" ht="16.05" customHeight="1">
      <c r="A387" s="58" t="s">
        <v>1779</v>
      </c>
      <c r="B387" s="58" t="s">
        <v>2022</v>
      </c>
      <c r="C387" s="45">
        <v>13</v>
      </c>
      <c r="D387" s="45">
        <v>5384</v>
      </c>
      <c r="E387" s="45">
        <v>0</v>
      </c>
      <c r="F387" s="45">
        <v>4096</v>
      </c>
      <c r="G387" s="45">
        <v>0</v>
      </c>
      <c r="H387" s="45">
        <v>2999</v>
      </c>
      <c r="I387" s="45">
        <v>0</v>
      </c>
      <c r="J387" s="45">
        <v>1952</v>
      </c>
      <c r="K387" s="45">
        <v>0</v>
      </c>
      <c r="L387" s="45">
        <v>1187</v>
      </c>
      <c r="M387" s="45">
        <v>0</v>
      </c>
      <c r="N387" s="45">
        <v>522</v>
      </c>
      <c r="O387" s="45">
        <v>0</v>
      </c>
      <c r="P387" s="45">
        <v>0</v>
      </c>
      <c r="Q387" s="45">
        <v>0</v>
      </c>
      <c r="R387" s="45">
        <v>0</v>
      </c>
      <c r="S387" s="45">
        <v>0</v>
      </c>
      <c r="T387" s="45">
        <v>0</v>
      </c>
      <c r="U387" s="45">
        <v>1264</v>
      </c>
    </row>
    <row r="388" spans="1:21" ht="16.05" customHeight="1">
      <c r="A388" s="58" t="s">
        <v>2023</v>
      </c>
      <c r="B388" s="58" t="s">
        <v>1780</v>
      </c>
      <c r="C388" s="45">
        <v>135</v>
      </c>
      <c r="D388" s="45">
        <v>59473</v>
      </c>
      <c r="E388" s="45">
        <v>1</v>
      </c>
      <c r="F388" s="45">
        <v>50336</v>
      </c>
      <c r="G388" s="45">
        <v>0</v>
      </c>
      <c r="H388" s="45">
        <v>41605</v>
      </c>
      <c r="I388" s="45">
        <v>0</v>
      </c>
      <c r="J388" s="45">
        <v>33538</v>
      </c>
      <c r="K388" s="45">
        <v>0</v>
      </c>
      <c r="L388" s="45">
        <v>26337</v>
      </c>
      <c r="M388" s="45">
        <v>0</v>
      </c>
      <c r="N388" s="45">
        <v>20093</v>
      </c>
      <c r="O388" s="45">
        <v>0</v>
      </c>
      <c r="P388" s="45">
        <v>14936</v>
      </c>
      <c r="Q388" s="45">
        <v>0</v>
      </c>
      <c r="R388" s="45">
        <v>10268</v>
      </c>
      <c r="S388" s="45">
        <v>0</v>
      </c>
      <c r="T388" s="45">
        <v>16034</v>
      </c>
      <c r="U388" s="45">
        <v>8896</v>
      </c>
    </row>
    <row r="389" spans="1:21" ht="16.05" customHeight="1">
      <c r="A389" s="58" t="s">
        <v>2023</v>
      </c>
      <c r="B389" s="58" t="s">
        <v>1781</v>
      </c>
      <c r="C389" s="45">
        <v>125</v>
      </c>
      <c r="D389" s="45">
        <v>52301</v>
      </c>
      <c r="E389" s="45">
        <v>0</v>
      </c>
      <c r="F389" s="45">
        <v>43203</v>
      </c>
      <c r="G389" s="45">
        <v>0</v>
      </c>
      <c r="H389" s="45">
        <v>35012</v>
      </c>
      <c r="I389" s="45">
        <v>0</v>
      </c>
      <c r="J389" s="45">
        <v>28380</v>
      </c>
      <c r="K389" s="45">
        <v>0</v>
      </c>
      <c r="L389" s="45">
        <v>22204</v>
      </c>
      <c r="M389" s="45">
        <v>0</v>
      </c>
      <c r="N389" s="45">
        <v>17132</v>
      </c>
      <c r="O389" s="45">
        <v>0</v>
      </c>
      <c r="P389" s="45">
        <v>12753</v>
      </c>
      <c r="Q389" s="45">
        <v>0</v>
      </c>
      <c r="R389" s="45">
        <v>9026</v>
      </c>
      <c r="S389" s="45">
        <v>0</v>
      </c>
      <c r="T389" s="45">
        <v>13060</v>
      </c>
      <c r="U389" s="45">
        <v>8829</v>
      </c>
    </row>
    <row r="390" spans="1:21" ht="16.05" customHeight="1">
      <c r="A390" s="58" t="s">
        <v>2023</v>
      </c>
      <c r="B390" s="58" t="s">
        <v>1782</v>
      </c>
      <c r="C390" s="45">
        <v>150</v>
      </c>
      <c r="D390" s="45">
        <v>63527</v>
      </c>
      <c r="E390" s="45">
        <v>1</v>
      </c>
      <c r="F390" s="45">
        <v>55248</v>
      </c>
      <c r="G390" s="45">
        <v>0</v>
      </c>
      <c r="H390" s="45">
        <v>47810</v>
      </c>
      <c r="I390" s="45">
        <v>0</v>
      </c>
      <c r="J390" s="45">
        <v>41189</v>
      </c>
      <c r="K390" s="45">
        <v>0</v>
      </c>
      <c r="L390" s="45">
        <v>35113</v>
      </c>
      <c r="M390" s="45">
        <v>0</v>
      </c>
      <c r="N390" s="45">
        <v>29684</v>
      </c>
      <c r="O390" s="45">
        <v>0</v>
      </c>
      <c r="P390" s="45">
        <v>24573</v>
      </c>
      <c r="Q390" s="45">
        <v>0</v>
      </c>
      <c r="R390" s="45">
        <v>19810</v>
      </c>
      <c r="S390" s="45">
        <v>0</v>
      </c>
      <c r="T390" s="45">
        <v>54638</v>
      </c>
      <c r="U390" s="45">
        <v>8033</v>
      </c>
    </row>
    <row r="391" spans="1:21" ht="16.05" customHeight="1">
      <c r="A391" s="58" t="s">
        <v>2023</v>
      </c>
      <c r="B391" s="58" t="s">
        <v>1783</v>
      </c>
      <c r="C391" s="45">
        <v>182</v>
      </c>
      <c r="D391" s="45">
        <v>74473</v>
      </c>
      <c r="E391" s="45">
        <v>3</v>
      </c>
      <c r="F391" s="45">
        <v>64065</v>
      </c>
      <c r="G391" s="45">
        <v>0</v>
      </c>
      <c r="H391" s="45">
        <v>54993</v>
      </c>
      <c r="I391" s="45">
        <v>0</v>
      </c>
      <c r="J391" s="45">
        <v>46474</v>
      </c>
      <c r="K391" s="45">
        <v>0</v>
      </c>
      <c r="L391" s="45">
        <v>38348</v>
      </c>
      <c r="M391" s="45">
        <v>0</v>
      </c>
      <c r="N391" s="45">
        <v>30881</v>
      </c>
      <c r="O391" s="45">
        <v>0</v>
      </c>
      <c r="P391" s="45">
        <v>24285</v>
      </c>
      <c r="Q391" s="45">
        <v>0</v>
      </c>
      <c r="R391" s="45">
        <v>18480</v>
      </c>
      <c r="S391" s="45">
        <v>0</v>
      </c>
      <c r="T391" s="45">
        <v>41682</v>
      </c>
      <c r="U391" s="45">
        <v>9950</v>
      </c>
    </row>
    <row r="392" spans="1:21" ht="16.05" customHeight="1">
      <c r="A392" s="58" t="s">
        <v>2023</v>
      </c>
      <c r="B392" s="58" t="s">
        <v>1784</v>
      </c>
      <c r="C392" s="45">
        <v>184</v>
      </c>
      <c r="D392" s="45">
        <v>74288</v>
      </c>
      <c r="E392" s="45">
        <v>1</v>
      </c>
      <c r="F392" s="45">
        <v>63631</v>
      </c>
      <c r="G392" s="45">
        <v>0</v>
      </c>
      <c r="H392" s="45">
        <v>53711</v>
      </c>
      <c r="I392" s="45">
        <v>0</v>
      </c>
      <c r="J392" s="45">
        <v>44266</v>
      </c>
      <c r="K392" s="45">
        <v>0</v>
      </c>
      <c r="L392" s="45">
        <v>35793</v>
      </c>
      <c r="M392" s="45">
        <v>0</v>
      </c>
      <c r="N392" s="45">
        <v>28031</v>
      </c>
      <c r="O392" s="45">
        <v>0</v>
      </c>
      <c r="P392" s="45">
        <v>21579</v>
      </c>
      <c r="Q392" s="45">
        <v>0</v>
      </c>
      <c r="R392" s="45">
        <v>16070</v>
      </c>
      <c r="S392" s="45">
        <v>0</v>
      </c>
      <c r="T392" s="45">
        <v>30107</v>
      </c>
      <c r="U392" s="45">
        <v>10387</v>
      </c>
    </row>
    <row r="393" spans="1:21" ht="16.05" customHeight="1">
      <c r="A393" s="58" t="s">
        <v>2023</v>
      </c>
      <c r="B393" s="58" t="s">
        <v>1785</v>
      </c>
      <c r="C393" s="45">
        <v>267</v>
      </c>
      <c r="D393" s="45">
        <v>101453</v>
      </c>
      <c r="E393" s="45">
        <v>1</v>
      </c>
      <c r="F393" s="45">
        <v>90726</v>
      </c>
      <c r="G393" s="45">
        <v>0</v>
      </c>
      <c r="H393" s="45">
        <v>81004</v>
      </c>
      <c r="I393" s="45">
        <v>0</v>
      </c>
      <c r="J393" s="45">
        <v>71970</v>
      </c>
      <c r="K393" s="45">
        <v>0</v>
      </c>
      <c r="L393" s="45">
        <v>63352</v>
      </c>
      <c r="M393" s="45">
        <v>0</v>
      </c>
      <c r="N393" s="45">
        <v>56005</v>
      </c>
      <c r="O393" s="45">
        <v>0</v>
      </c>
      <c r="P393" s="45">
        <v>49034</v>
      </c>
      <c r="Q393" s="45">
        <v>0</v>
      </c>
      <c r="R393" s="45">
        <v>42480</v>
      </c>
      <c r="S393" s="45">
        <v>0</v>
      </c>
      <c r="T393" s="45">
        <v>179458</v>
      </c>
      <c r="U393" s="45">
        <v>10376</v>
      </c>
    </row>
    <row r="394" spans="1:21" ht="16.05" customHeight="1">
      <c r="A394" s="58" t="s">
        <v>2023</v>
      </c>
      <c r="B394" s="58" t="s">
        <v>1786</v>
      </c>
      <c r="C394" s="45">
        <v>253</v>
      </c>
      <c r="D394" s="45">
        <v>107478</v>
      </c>
      <c r="E394" s="45">
        <v>3</v>
      </c>
      <c r="F394" s="45">
        <v>96968</v>
      </c>
      <c r="G394" s="45">
        <v>0</v>
      </c>
      <c r="H394" s="45">
        <v>87225</v>
      </c>
      <c r="I394" s="45">
        <v>0</v>
      </c>
      <c r="J394" s="45">
        <v>77791</v>
      </c>
      <c r="K394" s="45">
        <v>0</v>
      </c>
      <c r="L394" s="45">
        <v>68846</v>
      </c>
      <c r="M394" s="45">
        <v>0</v>
      </c>
      <c r="N394" s="45">
        <v>60384</v>
      </c>
      <c r="O394" s="45">
        <v>0</v>
      </c>
      <c r="P394" s="45">
        <v>52628</v>
      </c>
      <c r="Q394" s="45">
        <v>0</v>
      </c>
      <c r="R394" s="45">
        <v>45129</v>
      </c>
      <c r="S394" s="45">
        <v>0</v>
      </c>
      <c r="T394" s="45">
        <v>180875</v>
      </c>
      <c r="U394" s="45">
        <v>10098</v>
      </c>
    </row>
    <row r="395" spans="1:21" ht="16.05" customHeight="1">
      <c r="A395" s="58" t="s">
        <v>2023</v>
      </c>
      <c r="B395" s="58" t="s">
        <v>1787</v>
      </c>
      <c r="C395" s="45">
        <v>147</v>
      </c>
      <c r="D395" s="45">
        <v>56373</v>
      </c>
      <c r="E395" s="45">
        <v>0</v>
      </c>
      <c r="F395" s="45">
        <v>47739</v>
      </c>
      <c r="G395" s="45">
        <v>0</v>
      </c>
      <c r="H395" s="45">
        <v>40067</v>
      </c>
      <c r="I395" s="45">
        <v>0</v>
      </c>
      <c r="J395" s="45">
        <v>33506</v>
      </c>
      <c r="K395" s="45">
        <v>0</v>
      </c>
      <c r="L395" s="45">
        <v>27622</v>
      </c>
      <c r="M395" s="45">
        <v>0</v>
      </c>
      <c r="N395" s="45">
        <v>22773</v>
      </c>
      <c r="O395" s="45">
        <v>0</v>
      </c>
      <c r="P395" s="45">
        <v>18297</v>
      </c>
      <c r="Q395" s="45">
        <v>0</v>
      </c>
      <c r="R395" s="45">
        <v>14197</v>
      </c>
      <c r="S395" s="45">
        <v>0</v>
      </c>
      <c r="T395" s="45">
        <v>28583</v>
      </c>
      <c r="U395" s="45">
        <v>8459</v>
      </c>
    </row>
    <row r="396" spans="1:21" ht="16.05" customHeight="1">
      <c r="A396" s="58" t="s">
        <v>2023</v>
      </c>
      <c r="B396" s="58" t="s">
        <v>1788</v>
      </c>
      <c r="C396" s="45">
        <v>176</v>
      </c>
      <c r="D396" s="45">
        <v>68709</v>
      </c>
      <c r="E396" s="45">
        <v>1</v>
      </c>
      <c r="F396" s="45">
        <v>59406</v>
      </c>
      <c r="G396" s="45">
        <v>0</v>
      </c>
      <c r="H396" s="45">
        <v>50869</v>
      </c>
      <c r="I396" s="45">
        <v>0</v>
      </c>
      <c r="J396" s="45">
        <v>42953</v>
      </c>
      <c r="K396" s="45">
        <v>0</v>
      </c>
      <c r="L396" s="45">
        <v>35374</v>
      </c>
      <c r="M396" s="45">
        <v>0</v>
      </c>
      <c r="N396" s="45">
        <v>29034</v>
      </c>
      <c r="O396" s="45">
        <v>0</v>
      </c>
      <c r="P396" s="45">
        <v>23805</v>
      </c>
      <c r="Q396" s="45">
        <v>0</v>
      </c>
      <c r="R396" s="45">
        <v>18956</v>
      </c>
      <c r="S396" s="45">
        <v>0</v>
      </c>
      <c r="T396" s="45">
        <v>44897</v>
      </c>
      <c r="U396" s="45">
        <v>9032</v>
      </c>
    </row>
    <row r="397" spans="1:21" ht="16.05" customHeight="1">
      <c r="A397" s="58" t="s">
        <v>2023</v>
      </c>
      <c r="B397" s="58" t="s">
        <v>1789</v>
      </c>
      <c r="C397" s="45">
        <v>160</v>
      </c>
      <c r="D397" s="45">
        <v>69451</v>
      </c>
      <c r="E397" s="45">
        <v>0</v>
      </c>
      <c r="F397" s="45">
        <v>60313</v>
      </c>
      <c r="G397" s="45">
        <v>0</v>
      </c>
      <c r="H397" s="45">
        <v>51971</v>
      </c>
      <c r="I397" s="45">
        <v>0</v>
      </c>
      <c r="J397" s="45">
        <v>44278</v>
      </c>
      <c r="K397" s="45">
        <v>0</v>
      </c>
      <c r="L397" s="45">
        <v>37075</v>
      </c>
      <c r="M397" s="45">
        <v>0</v>
      </c>
      <c r="N397" s="45">
        <v>30204</v>
      </c>
      <c r="O397" s="45">
        <v>0</v>
      </c>
      <c r="P397" s="45">
        <v>23911</v>
      </c>
      <c r="Q397" s="45">
        <v>0</v>
      </c>
      <c r="R397" s="45">
        <v>18237</v>
      </c>
      <c r="S397" s="45">
        <v>0</v>
      </c>
      <c r="T397" s="45">
        <v>45382</v>
      </c>
      <c r="U397" s="45">
        <v>8841</v>
      </c>
    </row>
    <row r="398" spans="1:21" ht="16.05" customHeight="1">
      <c r="A398" s="58" t="s">
        <v>2023</v>
      </c>
      <c r="B398" s="58" t="s">
        <v>1790</v>
      </c>
      <c r="C398" s="45">
        <v>184</v>
      </c>
      <c r="D398" s="45">
        <v>67031</v>
      </c>
      <c r="E398" s="45">
        <v>1</v>
      </c>
      <c r="F398" s="45">
        <v>57543</v>
      </c>
      <c r="G398" s="45">
        <v>0</v>
      </c>
      <c r="H398" s="45">
        <v>48758</v>
      </c>
      <c r="I398" s="45">
        <v>0</v>
      </c>
      <c r="J398" s="45">
        <v>40649</v>
      </c>
      <c r="K398" s="45">
        <v>0</v>
      </c>
      <c r="L398" s="45">
        <v>33614</v>
      </c>
      <c r="M398" s="45">
        <v>0</v>
      </c>
      <c r="N398" s="45">
        <v>27195</v>
      </c>
      <c r="O398" s="45">
        <v>0</v>
      </c>
      <c r="P398" s="45">
        <v>21751</v>
      </c>
      <c r="Q398" s="45">
        <v>0</v>
      </c>
      <c r="R398" s="45">
        <v>17007</v>
      </c>
      <c r="S398" s="45">
        <v>0</v>
      </c>
      <c r="T398" s="45">
        <v>39274</v>
      </c>
      <c r="U398" s="45">
        <v>9289</v>
      </c>
    </row>
    <row r="399" spans="1:21" ht="16.05" customHeight="1">
      <c r="A399" s="58" t="s">
        <v>2023</v>
      </c>
      <c r="B399" s="58" t="s">
        <v>1791</v>
      </c>
      <c r="C399" s="45">
        <v>197</v>
      </c>
      <c r="D399" s="45">
        <v>81161</v>
      </c>
      <c r="E399" s="45">
        <v>0</v>
      </c>
      <c r="F399" s="45">
        <v>70571</v>
      </c>
      <c r="G399" s="45">
        <v>0</v>
      </c>
      <c r="H399" s="45">
        <v>61004</v>
      </c>
      <c r="I399" s="45">
        <v>0</v>
      </c>
      <c r="J399" s="45">
        <v>52113</v>
      </c>
      <c r="K399" s="45">
        <v>0</v>
      </c>
      <c r="L399" s="45">
        <v>44094</v>
      </c>
      <c r="M399" s="45">
        <v>0</v>
      </c>
      <c r="N399" s="45">
        <v>36695</v>
      </c>
      <c r="O399" s="45">
        <v>0</v>
      </c>
      <c r="P399" s="45">
        <v>29750</v>
      </c>
      <c r="Q399" s="45">
        <v>0</v>
      </c>
      <c r="R399" s="45">
        <v>23513</v>
      </c>
      <c r="S399" s="45">
        <v>0</v>
      </c>
      <c r="T399" s="45">
        <v>59435</v>
      </c>
      <c r="U399" s="45">
        <v>10289</v>
      </c>
    </row>
    <row r="400" spans="1:21" ht="16.05" customHeight="1">
      <c r="A400" s="58" t="s">
        <v>2023</v>
      </c>
      <c r="B400" s="58" t="s">
        <v>1792</v>
      </c>
      <c r="C400" s="45">
        <v>128</v>
      </c>
      <c r="D400" s="45">
        <v>49555</v>
      </c>
      <c r="E400" s="45">
        <v>1</v>
      </c>
      <c r="F400" s="45">
        <v>40730</v>
      </c>
      <c r="G400" s="45">
        <v>0</v>
      </c>
      <c r="H400" s="45">
        <v>32643</v>
      </c>
      <c r="I400" s="45">
        <v>0</v>
      </c>
      <c r="J400" s="45">
        <v>25031</v>
      </c>
      <c r="K400" s="45">
        <v>0</v>
      </c>
      <c r="L400" s="45">
        <v>19064</v>
      </c>
      <c r="M400" s="45">
        <v>0</v>
      </c>
      <c r="N400" s="45">
        <v>14069</v>
      </c>
      <c r="O400" s="45">
        <v>0</v>
      </c>
      <c r="P400" s="45">
        <v>9763</v>
      </c>
      <c r="Q400" s="45">
        <v>0</v>
      </c>
      <c r="R400" s="45">
        <v>6359</v>
      </c>
      <c r="S400" s="45">
        <v>0</v>
      </c>
      <c r="T400" s="45">
        <v>7155</v>
      </c>
      <c r="U400" s="45">
        <v>8642</v>
      </c>
    </row>
    <row r="401" spans="1:21" ht="16.05" customHeight="1">
      <c r="A401" s="58" t="s">
        <v>2023</v>
      </c>
      <c r="B401" s="58" t="s">
        <v>1793</v>
      </c>
      <c r="C401" s="45">
        <v>150</v>
      </c>
      <c r="D401" s="45">
        <v>66588</v>
      </c>
      <c r="E401" s="45">
        <v>1</v>
      </c>
      <c r="F401" s="45">
        <v>56399</v>
      </c>
      <c r="G401" s="45">
        <v>0</v>
      </c>
      <c r="H401" s="45">
        <v>46940</v>
      </c>
      <c r="I401" s="45">
        <v>0</v>
      </c>
      <c r="J401" s="45">
        <v>38281</v>
      </c>
      <c r="K401" s="45">
        <v>0</v>
      </c>
      <c r="L401" s="45">
        <v>29946</v>
      </c>
      <c r="M401" s="45">
        <v>0</v>
      </c>
      <c r="N401" s="45">
        <v>23149</v>
      </c>
      <c r="O401" s="45">
        <v>0</v>
      </c>
      <c r="P401" s="45">
        <v>17208</v>
      </c>
      <c r="Q401" s="45">
        <v>0</v>
      </c>
      <c r="R401" s="45">
        <v>12077</v>
      </c>
      <c r="S401" s="45">
        <v>0</v>
      </c>
      <c r="T401" s="45">
        <v>20385</v>
      </c>
      <c r="U401" s="45">
        <v>9907</v>
      </c>
    </row>
    <row r="402" spans="1:21" ht="16.05" customHeight="1">
      <c r="A402" s="58" t="s">
        <v>2023</v>
      </c>
      <c r="B402" s="58" t="s">
        <v>1794</v>
      </c>
      <c r="C402" s="45">
        <v>134</v>
      </c>
      <c r="D402" s="45">
        <v>59293</v>
      </c>
      <c r="E402" s="45">
        <v>1</v>
      </c>
      <c r="F402" s="45">
        <v>50504</v>
      </c>
      <c r="G402" s="45">
        <v>0</v>
      </c>
      <c r="H402" s="45">
        <v>42497</v>
      </c>
      <c r="I402" s="45">
        <v>0</v>
      </c>
      <c r="J402" s="45">
        <v>35397</v>
      </c>
      <c r="K402" s="45">
        <v>0</v>
      </c>
      <c r="L402" s="45">
        <v>29489</v>
      </c>
      <c r="M402" s="45">
        <v>0</v>
      </c>
      <c r="N402" s="45">
        <v>23857</v>
      </c>
      <c r="O402" s="45">
        <v>0</v>
      </c>
      <c r="P402" s="45">
        <v>18548</v>
      </c>
      <c r="Q402" s="45">
        <v>0</v>
      </c>
      <c r="R402" s="45">
        <v>14132</v>
      </c>
      <c r="S402" s="45">
        <v>0</v>
      </c>
      <c r="T402" s="45">
        <v>28963</v>
      </c>
      <c r="U402" s="45">
        <v>8539</v>
      </c>
    </row>
    <row r="403" spans="1:21" ht="16.05" customHeight="1">
      <c r="A403" s="58" t="s">
        <v>2023</v>
      </c>
      <c r="B403" s="58" t="s">
        <v>1795</v>
      </c>
      <c r="C403" s="45">
        <v>181</v>
      </c>
      <c r="D403" s="45">
        <v>68120</v>
      </c>
      <c r="E403" s="45">
        <v>1</v>
      </c>
      <c r="F403" s="45">
        <v>59514</v>
      </c>
      <c r="G403" s="45">
        <v>0</v>
      </c>
      <c r="H403" s="45">
        <v>51726</v>
      </c>
      <c r="I403" s="45">
        <v>0</v>
      </c>
      <c r="J403" s="45">
        <v>44721</v>
      </c>
      <c r="K403" s="45">
        <v>0</v>
      </c>
      <c r="L403" s="45">
        <v>38148</v>
      </c>
      <c r="M403" s="45">
        <v>0</v>
      </c>
      <c r="N403" s="45">
        <v>32113</v>
      </c>
      <c r="O403" s="45">
        <v>0</v>
      </c>
      <c r="P403" s="45">
        <v>26580</v>
      </c>
      <c r="Q403" s="45">
        <v>0</v>
      </c>
      <c r="R403" s="45">
        <v>21807</v>
      </c>
      <c r="S403" s="45">
        <v>0</v>
      </c>
      <c r="T403" s="45">
        <v>59700</v>
      </c>
      <c r="U403" s="45">
        <v>8340</v>
      </c>
    </row>
    <row r="404" spans="1:21" ht="16.05" customHeight="1">
      <c r="A404" s="58" t="s">
        <v>2023</v>
      </c>
      <c r="B404" s="58" t="s">
        <v>1796</v>
      </c>
      <c r="C404" s="45">
        <v>109</v>
      </c>
      <c r="D404" s="45">
        <v>46512</v>
      </c>
      <c r="E404" s="45">
        <v>0</v>
      </c>
      <c r="F404" s="45">
        <v>37002</v>
      </c>
      <c r="G404" s="45">
        <v>0</v>
      </c>
      <c r="H404" s="45">
        <v>29220</v>
      </c>
      <c r="I404" s="45">
        <v>0</v>
      </c>
      <c r="J404" s="45">
        <v>22777</v>
      </c>
      <c r="K404" s="45">
        <v>0</v>
      </c>
      <c r="L404" s="45">
        <v>16940</v>
      </c>
      <c r="M404" s="45">
        <v>0</v>
      </c>
      <c r="N404" s="45">
        <v>12205</v>
      </c>
      <c r="O404" s="45">
        <v>0</v>
      </c>
      <c r="P404" s="45">
        <v>8128</v>
      </c>
      <c r="Q404" s="45">
        <v>0</v>
      </c>
      <c r="R404" s="45">
        <v>4986</v>
      </c>
      <c r="S404" s="45">
        <v>0</v>
      </c>
      <c r="T404" s="45">
        <v>5275</v>
      </c>
      <c r="U404" s="45">
        <v>9266</v>
      </c>
    </row>
    <row r="405" spans="1:21" ht="16.05" customHeight="1">
      <c r="A405" s="58" t="s">
        <v>2023</v>
      </c>
      <c r="B405" s="58" t="s">
        <v>1797</v>
      </c>
      <c r="C405" s="45">
        <v>127</v>
      </c>
      <c r="D405" s="45">
        <v>51165</v>
      </c>
      <c r="E405" s="45">
        <v>0</v>
      </c>
      <c r="F405" s="45">
        <v>41821</v>
      </c>
      <c r="G405" s="45">
        <v>0</v>
      </c>
      <c r="H405" s="45">
        <v>33344</v>
      </c>
      <c r="I405" s="45">
        <v>0</v>
      </c>
      <c r="J405" s="45">
        <v>25488</v>
      </c>
      <c r="K405" s="45">
        <v>0</v>
      </c>
      <c r="L405" s="45">
        <v>18998</v>
      </c>
      <c r="M405" s="45">
        <v>0</v>
      </c>
      <c r="N405" s="45">
        <v>13432</v>
      </c>
      <c r="O405" s="45">
        <v>0</v>
      </c>
      <c r="P405" s="45">
        <v>9412</v>
      </c>
      <c r="Q405" s="45">
        <v>0</v>
      </c>
      <c r="R405" s="45">
        <v>6076</v>
      </c>
      <c r="S405" s="45">
        <v>0</v>
      </c>
      <c r="T405" s="45">
        <v>6950</v>
      </c>
      <c r="U405" s="45">
        <v>8963</v>
      </c>
    </row>
    <row r="406" spans="1:21" ht="16.05" customHeight="1">
      <c r="A406" s="58" t="s">
        <v>2023</v>
      </c>
      <c r="B406" s="58" t="s">
        <v>1798</v>
      </c>
      <c r="C406" s="45">
        <v>119</v>
      </c>
      <c r="D406" s="45">
        <v>43027</v>
      </c>
      <c r="E406" s="45">
        <v>1</v>
      </c>
      <c r="F406" s="45">
        <v>33636</v>
      </c>
      <c r="G406" s="45">
        <v>0</v>
      </c>
      <c r="H406" s="45">
        <v>25745</v>
      </c>
      <c r="I406" s="45">
        <v>0</v>
      </c>
      <c r="J406" s="45">
        <v>19130</v>
      </c>
      <c r="K406" s="45">
        <v>0</v>
      </c>
      <c r="L406" s="45">
        <v>13729</v>
      </c>
      <c r="M406" s="45">
        <v>0</v>
      </c>
      <c r="N406" s="45">
        <v>9043</v>
      </c>
      <c r="O406" s="45">
        <v>0</v>
      </c>
      <c r="P406" s="45">
        <v>5599</v>
      </c>
      <c r="Q406" s="45">
        <v>0</v>
      </c>
      <c r="R406" s="45">
        <v>2896</v>
      </c>
      <c r="S406" s="45">
        <v>0</v>
      </c>
      <c r="T406" s="45">
        <v>2391</v>
      </c>
      <c r="U406" s="45">
        <v>9188</v>
      </c>
    </row>
    <row r="407" spans="1:21" ht="16.05" customHeight="1">
      <c r="A407" s="58" t="s">
        <v>2023</v>
      </c>
      <c r="B407" s="58" t="s">
        <v>1799</v>
      </c>
      <c r="C407" s="45">
        <v>141</v>
      </c>
      <c r="D407" s="45">
        <v>57426</v>
      </c>
      <c r="E407" s="45">
        <v>1</v>
      </c>
      <c r="F407" s="45">
        <v>47408</v>
      </c>
      <c r="G407" s="45">
        <v>0</v>
      </c>
      <c r="H407" s="45">
        <v>38271</v>
      </c>
      <c r="I407" s="45">
        <v>0</v>
      </c>
      <c r="J407" s="45">
        <v>30542</v>
      </c>
      <c r="K407" s="45">
        <v>0</v>
      </c>
      <c r="L407" s="45">
        <v>23733</v>
      </c>
      <c r="M407" s="45">
        <v>0</v>
      </c>
      <c r="N407" s="45">
        <v>17342</v>
      </c>
      <c r="O407" s="45">
        <v>0</v>
      </c>
      <c r="P407" s="45">
        <v>11924</v>
      </c>
      <c r="Q407" s="45">
        <v>0</v>
      </c>
      <c r="R407" s="45">
        <v>7521</v>
      </c>
      <c r="S407" s="45">
        <v>0</v>
      </c>
      <c r="T407" s="45">
        <v>11024</v>
      </c>
      <c r="U407" s="45">
        <v>9838</v>
      </c>
    </row>
    <row r="408" spans="1:21" ht="16.05" customHeight="1">
      <c r="A408" s="58" t="s">
        <v>2023</v>
      </c>
      <c r="B408" s="58" t="s">
        <v>1800</v>
      </c>
      <c r="C408" s="45">
        <v>217</v>
      </c>
      <c r="D408" s="45">
        <v>80424</v>
      </c>
      <c r="E408" s="45">
        <v>0</v>
      </c>
      <c r="F408" s="45">
        <v>69915</v>
      </c>
      <c r="G408" s="45">
        <v>0</v>
      </c>
      <c r="H408" s="45">
        <v>60248</v>
      </c>
      <c r="I408" s="45">
        <v>0</v>
      </c>
      <c r="J408" s="45">
        <v>51259</v>
      </c>
      <c r="K408" s="45">
        <v>0</v>
      </c>
      <c r="L408" s="45">
        <v>43103</v>
      </c>
      <c r="M408" s="45">
        <v>0</v>
      </c>
      <c r="N408" s="45">
        <v>35664</v>
      </c>
      <c r="O408" s="45">
        <v>0</v>
      </c>
      <c r="P408" s="45">
        <v>29002</v>
      </c>
      <c r="Q408" s="45">
        <v>0</v>
      </c>
      <c r="R408" s="45">
        <v>22674</v>
      </c>
      <c r="S408" s="45">
        <v>0</v>
      </c>
      <c r="T408" s="45">
        <v>54173</v>
      </c>
      <c r="U408" s="45">
        <v>10212</v>
      </c>
    </row>
    <row r="409" spans="1:21" ht="16.05" customHeight="1">
      <c r="A409" s="58" t="s">
        <v>2023</v>
      </c>
      <c r="B409" s="58" t="s">
        <v>1801</v>
      </c>
      <c r="C409" s="45">
        <v>192</v>
      </c>
      <c r="D409" s="45">
        <v>85911</v>
      </c>
      <c r="E409" s="45">
        <v>1</v>
      </c>
      <c r="F409" s="45">
        <v>75419</v>
      </c>
      <c r="G409" s="45">
        <v>0</v>
      </c>
      <c r="H409" s="45">
        <v>66043</v>
      </c>
      <c r="I409" s="45">
        <v>0</v>
      </c>
      <c r="J409" s="45">
        <v>56982</v>
      </c>
      <c r="K409" s="45">
        <v>0</v>
      </c>
      <c r="L409" s="45">
        <v>49182</v>
      </c>
      <c r="M409" s="45">
        <v>0</v>
      </c>
      <c r="N409" s="45">
        <v>42062</v>
      </c>
      <c r="O409" s="45">
        <v>0</v>
      </c>
      <c r="P409" s="45">
        <v>35654</v>
      </c>
      <c r="Q409" s="45">
        <v>0</v>
      </c>
      <c r="R409" s="45">
        <v>30001</v>
      </c>
      <c r="S409" s="45">
        <v>0</v>
      </c>
      <c r="T409" s="45">
        <v>95836</v>
      </c>
      <c r="U409" s="45">
        <v>10238</v>
      </c>
    </row>
    <row r="410" spans="1:21" ht="16.05" customHeight="1">
      <c r="A410" s="58" t="s">
        <v>2023</v>
      </c>
      <c r="B410" s="58" t="s">
        <v>1802</v>
      </c>
      <c r="C410" s="45">
        <v>172</v>
      </c>
      <c r="D410" s="45">
        <v>67347</v>
      </c>
      <c r="E410" s="45">
        <v>1</v>
      </c>
      <c r="F410" s="45">
        <v>58514</v>
      </c>
      <c r="G410" s="45">
        <v>0</v>
      </c>
      <c r="H410" s="45">
        <v>50396</v>
      </c>
      <c r="I410" s="45">
        <v>0</v>
      </c>
      <c r="J410" s="45">
        <v>42847</v>
      </c>
      <c r="K410" s="45">
        <v>0</v>
      </c>
      <c r="L410" s="45">
        <v>35907</v>
      </c>
      <c r="M410" s="45">
        <v>0</v>
      </c>
      <c r="N410" s="45">
        <v>29657</v>
      </c>
      <c r="O410" s="45">
        <v>0</v>
      </c>
      <c r="P410" s="45">
        <v>23974</v>
      </c>
      <c r="Q410" s="45">
        <v>0</v>
      </c>
      <c r="R410" s="45">
        <v>18604</v>
      </c>
      <c r="S410" s="45">
        <v>0</v>
      </c>
      <c r="T410" s="45">
        <v>45837</v>
      </c>
      <c r="U410" s="45">
        <v>8588</v>
      </c>
    </row>
    <row r="411" spans="1:21" ht="16.05" customHeight="1">
      <c r="A411" s="58" t="s">
        <v>2023</v>
      </c>
      <c r="B411" s="58" t="s">
        <v>1803</v>
      </c>
      <c r="C411" s="45">
        <v>161</v>
      </c>
      <c r="D411" s="45">
        <v>60735</v>
      </c>
      <c r="E411" s="45">
        <v>0</v>
      </c>
      <c r="F411" s="45">
        <v>51845</v>
      </c>
      <c r="G411" s="45">
        <v>0</v>
      </c>
      <c r="H411" s="45">
        <v>43454</v>
      </c>
      <c r="I411" s="45">
        <v>0</v>
      </c>
      <c r="J411" s="45">
        <v>36398</v>
      </c>
      <c r="K411" s="45">
        <v>0</v>
      </c>
      <c r="L411" s="45">
        <v>29909</v>
      </c>
      <c r="M411" s="45">
        <v>0</v>
      </c>
      <c r="N411" s="45">
        <v>23849</v>
      </c>
      <c r="O411" s="45">
        <v>0</v>
      </c>
      <c r="P411" s="45">
        <v>18917</v>
      </c>
      <c r="Q411" s="45">
        <v>0</v>
      </c>
      <c r="R411" s="45">
        <v>14460</v>
      </c>
      <c r="S411" s="45">
        <v>0</v>
      </c>
      <c r="T411" s="45">
        <v>31781</v>
      </c>
      <c r="U411" s="45">
        <v>8668</v>
      </c>
    </row>
    <row r="412" spans="1:21" ht="16.05" customHeight="1">
      <c r="A412" s="58" t="s">
        <v>2023</v>
      </c>
      <c r="B412" s="58" t="s">
        <v>1804</v>
      </c>
      <c r="C412" s="45">
        <v>161</v>
      </c>
      <c r="D412" s="45">
        <v>66545</v>
      </c>
      <c r="E412" s="45">
        <v>1</v>
      </c>
      <c r="F412" s="45">
        <v>56719</v>
      </c>
      <c r="G412" s="45">
        <v>0</v>
      </c>
      <c r="H412" s="45">
        <v>48089</v>
      </c>
      <c r="I412" s="45">
        <v>0</v>
      </c>
      <c r="J412" s="45">
        <v>40091</v>
      </c>
      <c r="K412" s="45">
        <v>0</v>
      </c>
      <c r="L412" s="45">
        <v>32346</v>
      </c>
      <c r="M412" s="45">
        <v>0</v>
      </c>
      <c r="N412" s="45">
        <v>25673</v>
      </c>
      <c r="O412" s="45">
        <v>0</v>
      </c>
      <c r="P412" s="45">
        <v>19505</v>
      </c>
      <c r="Q412" s="45">
        <v>0</v>
      </c>
      <c r="R412" s="45">
        <v>14368</v>
      </c>
      <c r="S412" s="45">
        <v>0</v>
      </c>
      <c r="T412" s="45">
        <v>27625</v>
      </c>
      <c r="U412" s="45">
        <v>9548</v>
      </c>
    </row>
    <row r="413" spans="1:21" ht="16.05" customHeight="1">
      <c r="A413" s="58" t="s">
        <v>2023</v>
      </c>
      <c r="B413" s="58" t="s">
        <v>1805</v>
      </c>
      <c r="C413" s="45">
        <v>144</v>
      </c>
      <c r="D413" s="45">
        <v>60815</v>
      </c>
      <c r="E413" s="45">
        <v>1</v>
      </c>
      <c r="F413" s="45">
        <v>51264</v>
      </c>
      <c r="G413" s="45">
        <v>0</v>
      </c>
      <c r="H413" s="45">
        <v>42423</v>
      </c>
      <c r="I413" s="45">
        <v>0</v>
      </c>
      <c r="J413" s="45">
        <v>34358</v>
      </c>
      <c r="K413" s="45">
        <v>0</v>
      </c>
      <c r="L413" s="45">
        <v>27090</v>
      </c>
      <c r="M413" s="45">
        <v>0</v>
      </c>
      <c r="N413" s="45">
        <v>21265</v>
      </c>
      <c r="O413" s="45">
        <v>0</v>
      </c>
      <c r="P413" s="45">
        <v>15927</v>
      </c>
      <c r="Q413" s="45">
        <v>0</v>
      </c>
      <c r="R413" s="45">
        <v>11405</v>
      </c>
      <c r="S413" s="45">
        <v>0</v>
      </c>
      <c r="T413" s="45">
        <v>19706</v>
      </c>
      <c r="U413" s="45">
        <v>9292</v>
      </c>
    </row>
    <row r="414" spans="1:21" ht="16.05" customHeight="1">
      <c r="A414" s="58" t="s">
        <v>2023</v>
      </c>
      <c r="B414" s="58" t="s">
        <v>1806</v>
      </c>
      <c r="C414" s="45">
        <v>137</v>
      </c>
      <c r="D414" s="45">
        <v>59717</v>
      </c>
      <c r="E414" s="45">
        <v>1</v>
      </c>
      <c r="F414" s="45">
        <v>50725</v>
      </c>
      <c r="G414" s="45">
        <v>0</v>
      </c>
      <c r="H414" s="45">
        <v>42714</v>
      </c>
      <c r="I414" s="45">
        <v>0</v>
      </c>
      <c r="J414" s="45">
        <v>35145</v>
      </c>
      <c r="K414" s="45">
        <v>0</v>
      </c>
      <c r="L414" s="45">
        <v>28746</v>
      </c>
      <c r="M414" s="45">
        <v>0</v>
      </c>
      <c r="N414" s="45">
        <v>23404</v>
      </c>
      <c r="O414" s="45">
        <v>0</v>
      </c>
      <c r="P414" s="45">
        <v>18443</v>
      </c>
      <c r="Q414" s="45">
        <v>0</v>
      </c>
      <c r="R414" s="45">
        <v>14317</v>
      </c>
      <c r="S414" s="45">
        <v>0</v>
      </c>
      <c r="T414" s="45">
        <v>30038</v>
      </c>
      <c r="U414" s="45">
        <v>8824</v>
      </c>
    </row>
    <row r="415" spans="1:21" ht="16.05" customHeight="1">
      <c r="A415" s="58" t="s">
        <v>2023</v>
      </c>
      <c r="B415" s="58" t="s">
        <v>1807</v>
      </c>
      <c r="C415" s="45">
        <v>126</v>
      </c>
      <c r="D415" s="45">
        <v>46677</v>
      </c>
      <c r="E415" s="45">
        <v>1</v>
      </c>
      <c r="F415" s="45">
        <v>39636</v>
      </c>
      <c r="G415" s="45">
        <v>0</v>
      </c>
      <c r="H415" s="45">
        <v>33179</v>
      </c>
      <c r="I415" s="45">
        <v>0</v>
      </c>
      <c r="J415" s="45">
        <v>26996</v>
      </c>
      <c r="K415" s="45">
        <v>0</v>
      </c>
      <c r="L415" s="45">
        <v>21371</v>
      </c>
      <c r="M415" s="45">
        <v>0</v>
      </c>
      <c r="N415" s="45">
        <v>16460</v>
      </c>
      <c r="O415" s="45">
        <v>0</v>
      </c>
      <c r="P415" s="45">
        <v>12640</v>
      </c>
      <c r="Q415" s="45">
        <v>0</v>
      </c>
      <c r="R415" s="45">
        <v>9123</v>
      </c>
      <c r="S415" s="45">
        <v>0</v>
      </c>
      <c r="T415" s="45">
        <v>15909</v>
      </c>
      <c r="U415" s="45">
        <v>6859</v>
      </c>
    </row>
    <row r="416" spans="1:21" ht="16.05" customHeight="1">
      <c r="A416" s="58" t="s">
        <v>2023</v>
      </c>
      <c r="B416" s="58" t="s">
        <v>1808</v>
      </c>
      <c r="C416" s="45">
        <v>13</v>
      </c>
      <c r="D416" s="45">
        <v>8491</v>
      </c>
      <c r="E416" s="45">
        <v>0</v>
      </c>
      <c r="F416" s="45">
        <v>4246</v>
      </c>
      <c r="G416" s="45">
        <v>0</v>
      </c>
      <c r="H416" s="45">
        <v>1904</v>
      </c>
      <c r="I416" s="45">
        <v>0</v>
      </c>
      <c r="J416" s="45">
        <v>613</v>
      </c>
      <c r="K416" s="45">
        <v>0</v>
      </c>
      <c r="L416" s="45">
        <v>25</v>
      </c>
      <c r="M416" s="45">
        <v>0</v>
      </c>
      <c r="N416" s="45">
        <v>0</v>
      </c>
      <c r="O416" s="45">
        <v>0</v>
      </c>
      <c r="P416" s="45">
        <v>0</v>
      </c>
      <c r="Q416" s="45">
        <v>0</v>
      </c>
      <c r="R416" s="45">
        <v>0</v>
      </c>
      <c r="S416" s="45">
        <v>0</v>
      </c>
      <c r="T416" s="45">
        <v>0</v>
      </c>
      <c r="U416" s="45">
        <v>4229</v>
      </c>
    </row>
    <row r="417" spans="1:21" ht="16.05" customHeight="1">
      <c r="A417" s="58" t="s">
        <v>2023</v>
      </c>
      <c r="B417" s="58" t="s">
        <v>1809</v>
      </c>
      <c r="C417" s="45">
        <v>16</v>
      </c>
      <c r="D417" s="45">
        <v>5019</v>
      </c>
      <c r="E417" s="45">
        <v>0</v>
      </c>
      <c r="F417" s="45">
        <v>2333</v>
      </c>
      <c r="G417" s="45">
        <v>0</v>
      </c>
      <c r="H417" s="45">
        <v>694</v>
      </c>
      <c r="I417" s="45">
        <v>0</v>
      </c>
      <c r="J417" s="45">
        <v>0</v>
      </c>
      <c r="K417" s="45">
        <v>0</v>
      </c>
      <c r="L417" s="45">
        <v>0</v>
      </c>
      <c r="M417" s="45">
        <v>0</v>
      </c>
      <c r="N417" s="45">
        <v>0</v>
      </c>
      <c r="O417" s="45">
        <v>0</v>
      </c>
      <c r="P417" s="45">
        <v>0</v>
      </c>
      <c r="Q417" s="45">
        <v>0</v>
      </c>
      <c r="R417" s="45">
        <v>0</v>
      </c>
      <c r="S417" s="45">
        <v>0</v>
      </c>
      <c r="T417" s="45">
        <v>0</v>
      </c>
      <c r="U417" s="45">
        <v>2676</v>
      </c>
    </row>
    <row r="418" spans="1:21" ht="16.05" customHeight="1">
      <c r="A418" s="58" t="s">
        <v>2023</v>
      </c>
      <c r="B418" s="58" t="s">
        <v>1810</v>
      </c>
      <c r="C418" s="45">
        <v>17</v>
      </c>
      <c r="D418" s="45">
        <v>7837</v>
      </c>
      <c r="E418" s="45">
        <v>0</v>
      </c>
      <c r="F418" s="45">
        <v>4493</v>
      </c>
      <c r="G418" s="45">
        <v>0</v>
      </c>
      <c r="H418" s="45">
        <v>2159</v>
      </c>
      <c r="I418" s="45">
        <v>0</v>
      </c>
      <c r="J418" s="45">
        <v>694</v>
      </c>
      <c r="K418" s="45">
        <v>0</v>
      </c>
      <c r="L418" s="45">
        <v>0</v>
      </c>
      <c r="M418" s="45">
        <v>0</v>
      </c>
      <c r="N418" s="45">
        <v>0</v>
      </c>
      <c r="O418" s="45">
        <v>0</v>
      </c>
      <c r="P418" s="45">
        <v>0</v>
      </c>
      <c r="Q418" s="45">
        <v>0</v>
      </c>
      <c r="R418" s="45">
        <v>0</v>
      </c>
      <c r="S418" s="45">
        <v>0</v>
      </c>
      <c r="T418" s="45">
        <v>0</v>
      </c>
      <c r="U418" s="45">
        <v>3328</v>
      </c>
    </row>
    <row r="419" spans="1:21" ht="16.05" customHeight="1">
      <c r="A419" s="58" t="s">
        <v>2023</v>
      </c>
      <c r="B419" s="58" t="s">
        <v>1811</v>
      </c>
      <c r="C419" s="45">
        <v>36</v>
      </c>
      <c r="D419" s="45">
        <v>13895</v>
      </c>
      <c r="E419" s="45">
        <v>1</v>
      </c>
      <c r="F419" s="45">
        <v>9306</v>
      </c>
      <c r="G419" s="45">
        <v>0</v>
      </c>
      <c r="H419" s="45">
        <v>5335</v>
      </c>
      <c r="I419" s="45">
        <v>0</v>
      </c>
      <c r="J419" s="45">
        <v>2481</v>
      </c>
      <c r="K419" s="45">
        <v>0</v>
      </c>
      <c r="L419" s="45">
        <v>967</v>
      </c>
      <c r="M419" s="45">
        <v>0</v>
      </c>
      <c r="N419" s="45">
        <v>324</v>
      </c>
      <c r="O419" s="45">
        <v>0</v>
      </c>
      <c r="P419" s="45">
        <v>99</v>
      </c>
      <c r="Q419" s="45">
        <v>0</v>
      </c>
      <c r="R419" s="45">
        <v>0</v>
      </c>
      <c r="S419" s="45">
        <v>0</v>
      </c>
      <c r="T419" s="45">
        <v>0</v>
      </c>
      <c r="U419" s="45">
        <v>4557</v>
      </c>
    </row>
    <row r="420" spans="1:21" ht="16.05" customHeight="1">
      <c r="A420" s="58" t="s">
        <v>2023</v>
      </c>
      <c r="B420" s="58" t="s">
        <v>1812</v>
      </c>
      <c r="C420" s="45">
        <v>27</v>
      </c>
      <c r="D420" s="45">
        <v>11414</v>
      </c>
      <c r="E420" s="45">
        <v>0</v>
      </c>
      <c r="F420" s="45">
        <v>7312</v>
      </c>
      <c r="G420" s="45">
        <v>0</v>
      </c>
      <c r="H420" s="45">
        <v>3649</v>
      </c>
      <c r="I420" s="45">
        <v>0</v>
      </c>
      <c r="J420" s="45">
        <v>1618</v>
      </c>
      <c r="K420" s="45">
        <v>0</v>
      </c>
      <c r="L420" s="45">
        <v>320</v>
      </c>
      <c r="M420" s="45">
        <v>0</v>
      </c>
      <c r="N420" s="45">
        <v>117</v>
      </c>
      <c r="O420" s="45">
        <v>0</v>
      </c>
      <c r="P420" s="45">
        <v>0</v>
      </c>
      <c r="Q420" s="45">
        <v>0</v>
      </c>
      <c r="R420" s="45">
        <v>0</v>
      </c>
      <c r="S420" s="45">
        <v>0</v>
      </c>
      <c r="T420" s="45">
        <v>0</v>
      </c>
      <c r="U420" s="45">
        <v>4048</v>
      </c>
    </row>
    <row r="421" spans="1:21" ht="16.05" customHeight="1">
      <c r="A421" s="58" t="s">
        <v>2023</v>
      </c>
      <c r="B421" s="58" t="s">
        <v>1813</v>
      </c>
      <c r="C421" s="45">
        <v>24</v>
      </c>
      <c r="D421" s="45">
        <v>10021</v>
      </c>
      <c r="E421" s="45">
        <v>0</v>
      </c>
      <c r="F421" s="45">
        <v>5809</v>
      </c>
      <c r="G421" s="45">
        <v>0</v>
      </c>
      <c r="H421" s="45">
        <v>3120</v>
      </c>
      <c r="I421" s="45">
        <v>0</v>
      </c>
      <c r="J421" s="45">
        <v>1247</v>
      </c>
      <c r="K421" s="45">
        <v>0</v>
      </c>
      <c r="L421" s="45">
        <v>468</v>
      </c>
      <c r="M421" s="45">
        <v>0</v>
      </c>
      <c r="N421" s="45">
        <v>48</v>
      </c>
      <c r="O421" s="45">
        <v>0</v>
      </c>
      <c r="P421" s="45">
        <v>0</v>
      </c>
      <c r="Q421" s="45">
        <v>0</v>
      </c>
      <c r="R421" s="45">
        <v>0</v>
      </c>
      <c r="S421" s="45">
        <v>0</v>
      </c>
      <c r="T421" s="45">
        <v>0</v>
      </c>
      <c r="U421" s="45">
        <v>4169</v>
      </c>
    </row>
    <row r="422" spans="1:21" ht="16.05" customHeight="1">
      <c r="A422" s="58" t="s">
        <v>2023</v>
      </c>
      <c r="B422" s="58" t="s">
        <v>1814</v>
      </c>
      <c r="C422" s="45">
        <v>46</v>
      </c>
      <c r="D422" s="45">
        <v>20426</v>
      </c>
      <c r="E422" s="45">
        <v>0</v>
      </c>
      <c r="F422" s="45">
        <v>15550</v>
      </c>
      <c r="G422" s="45">
        <v>0</v>
      </c>
      <c r="H422" s="45">
        <v>11217</v>
      </c>
      <c r="I422" s="45">
        <v>0</v>
      </c>
      <c r="J422" s="45">
        <v>7361</v>
      </c>
      <c r="K422" s="45">
        <v>0</v>
      </c>
      <c r="L422" s="45">
        <v>4081</v>
      </c>
      <c r="M422" s="45">
        <v>0</v>
      </c>
      <c r="N422" s="45">
        <v>2231</v>
      </c>
      <c r="O422" s="45">
        <v>0</v>
      </c>
      <c r="P422" s="45">
        <v>1055</v>
      </c>
      <c r="Q422" s="45">
        <v>0</v>
      </c>
      <c r="R422" s="45">
        <v>323</v>
      </c>
      <c r="S422" s="45">
        <v>0</v>
      </c>
      <c r="T422" s="45">
        <v>0</v>
      </c>
      <c r="U422" s="45">
        <v>4803</v>
      </c>
    </row>
    <row r="423" spans="1:21" ht="16.05" customHeight="1">
      <c r="A423" s="58" t="s">
        <v>2023</v>
      </c>
      <c r="B423" s="58" t="s">
        <v>1815</v>
      </c>
      <c r="C423" s="45">
        <v>48</v>
      </c>
      <c r="D423" s="45">
        <v>18691</v>
      </c>
      <c r="E423" s="45">
        <v>0</v>
      </c>
      <c r="F423" s="45">
        <v>13513</v>
      </c>
      <c r="G423" s="45">
        <v>0</v>
      </c>
      <c r="H423" s="45">
        <v>9107</v>
      </c>
      <c r="I423" s="45">
        <v>0</v>
      </c>
      <c r="J423" s="45">
        <v>5216</v>
      </c>
      <c r="K423" s="45">
        <v>0</v>
      </c>
      <c r="L423" s="45">
        <v>2797</v>
      </c>
      <c r="M423" s="45">
        <v>0</v>
      </c>
      <c r="N423" s="45">
        <v>1065</v>
      </c>
      <c r="O423" s="45">
        <v>0</v>
      </c>
      <c r="P423" s="45">
        <v>531</v>
      </c>
      <c r="Q423" s="45">
        <v>0</v>
      </c>
      <c r="R423" s="45">
        <v>164</v>
      </c>
      <c r="S423" s="45">
        <v>0</v>
      </c>
      <c r="T423" s="45">
        <v>0</v>
      </c>
      <c r="U423" s="45">
        <v>5115</v>
      </c>
    </row>
    <row r="424" spans="1:21" ht="16.05" customHeight="1">
      <c r="A424" s="58" t="s">
        <v>2023</v>
      </c>
      <c r="B424" s="58" t="s">
        <v>1816</v>
      </c>
      <c r="C424" s="45">
        <v>39</v>
      </c>
      <c r="D424" s="45">
        <v>15896</v>
      </c>
      <c r="E424" s="45">
        <v>0</v>
      </c>
      <c r="F424" s="45">
        <v>10943</v>
      </c>
      <c r="G424" s="45">
        <v>0</v>
      </c>
      <c r="H424" s="45">
        <v>6828</v>
      </c>
      <c r="I424" s="45">
        <v>0</v>
      </c>
      <c r="J424" s="45">
        <v>3744</v>
      </c>
      <c r="K424" s="45">
        <v>0</v>
      </c>
      <c r="L424" s="45">
        <v>1920</v>
      </c>
      <c r="M424" s="45">
        <v>0</v>
      </c>
      <c r="N424" s="45">
        <v>564</v>
      </c>
      <c r="O424" s="45">
        <v>0</v>
      </c>
      <c r="P424" s="45">
        <v>201</v>
      </c>
      <c r="Q424" s="45">
        <v>0</v>
      </c>
      <c r="R424" s="45">
        <v>62</v>
      </c>
      <c r="S424" s="45">
        <v>0</v>
      </c>
      <c r="T424" s="45">
        <v>0</v>
      </c>
      <c r="U424" s="45">
        <v>4908</v>
      </c>
    </row>
    <row r="425" spans="1:21" ht="16.05" customHeight="1">
      <c r="A425" s="58" t="s">
        <v>2023</v>
      </c>
      <c r="B425" s="58" t="s">
        <v>1817</v>
      </c>
      <c r="C425" s="45">
        <v>84</v>
      </c>
      <c r="D425" s="45">
        <v>39674</v>
      </c>
      <c r="E425" s="45">
        <v>1</v>
      </c>
      <c r="F425" s="45">
        <v>31968</v>
      </c>
      <c r="G425" s="45">
        <v>0</v>
      </c>
      <c r="H425" s="45">
        <v>24956</v>
      </c>
      <c r="I425" s="45">
        <v>0</v>
      </c>
      <c r="J425" s="45">
        <v>18845</v>
      </c>
      <c r="K425" s="45">
        <v>0</v>
      </c>
      <c r="L425" s="45">
        <v>13112</v>
      </c>
      <c r="M425" s="45">
        <v>0</v>
      </c>
      <c r="N425" s="45">
        <v>8218</v>
      </c>
      <c r="O425" s="45">
        <v>0</v>
      </c>
      <c r="P425" s="45">
        <v>4597</v>
      </c>
      <c r="Q425" s="45">
        <v>0</v>
      </c>
      <c r="R425" s="45">
        <v>2501</v>
      </c>
      <c r="S425" s="45">
        <v>0</v>
      </c>
      <c r="T425" s="45">
        <v>3252</v>
      </c>
      <c r="U425" s="45">
        <v>7529</v>
      </c>
    </row>
    <row r="426" spans="1:21" ht="16.05" customHeight="1">
      <c r="A426" s="58" t="s">
        <v>2023</v>
      </c>
      <c r="B426" s="58" t="s">
        <v>1818</v>
      </c>
      <c r="C426" s="45">
        <v>31</v>
      </c>
      <c r="D426" s="45">
        <v>16251</v>
      </c>
      <c r="E426" s="45">
        <v>0</v>
      </c>
      <c r="F426" s="45">
        <v>10675</v>
      </c>
      <c r="G426" s="45">
        <v>0</v>
      </c>
      <c r="H426" s="45">
        <v>6186</v>
      </c>
      <c r="I426" s="45">
        <v>0</v>
      </c>
      <c r="J426" s="45">
        <v>3340</v>
      </c>
      <c r="K426" s="45">
        <v>0</v>
      </c>
      <c r="L426" s="45">
        <v>1169</v>
      </c>
      <c r="M426" s="45">
        <v>0</v>
      </c>
      <c r="N426" s="45">
        <v>294</v>
      </c>
      <c r="O426" s="45">
        <v>0</v>
      </c>
      <c r="P426" s="45">
        <v>0</v>
      </c>
      <c r="Q426" s="45">
        <v>0</v>
      </c>
      <c r="R426" s="45">
        <v>0</v>
      </c>
      <c r="S426" s="45">
        <v>0</v>
      </c>
      <c r="T426" s="45">
        <v>0</v>
      </c>
      <c r="U426" s="45">
        <v>5502</v>
      </c>
    </row>
    <row r="427" spans="1:21" ht="16.05" customHeight="1">
      <c r="A427" s="58" t="s">
        <v>2023</v>
      </c>
      <c r="B427" s="58" t="s">
        <v>1819</v>
      </c>
      <c r="C427" s="45">
        <v>123</v>
      </c>
      <c r="D427" s="45">
        <v>49514</v>
      </c>
      <c r="E427" s="45">
        <v>0</v>
      </c>
      <c r="F427" s="45">
        <v>40672</v>
      </c>
      <c r="G427" s="45">
        <v>0</v>
      </c>
      <c r="H427" s="45">
        <v>32461</v>
      </c>
      <c r="I427" s="45">
        <v>0</v>
      </c>
      <c r="J427" s="45">
        <v>25083</v>
      </c>
      <c r="K427" s="45">
        <v>0</v>
      </c>
      <c r="L427" s="45">
        <v>19794</v>
      </c>
      <c r="M427" s="45">
        <v>0</v>
      </c>
      <c r="N427" s="45">
        <v>15066</v>
      </c>
      <c r="O427" s="45">
        <v>0</v>
      </c>
      <c r="P427" s="45">
        <v>10982</v>
      </c>
      <c r="Q427" s="45">
        <v>0</v>
      </c>
      <c r="R427" s="45">
        <v>7530</v>
      </c>
      <c r="S427" s="45">
        <v>0</v>
      </c>
      <c r="T427" s="45">
        <v>9481</v>
      </c>
      <c r="U427" s="45">
        <v>8693</v>
      </c>
    </row>
    <row r="428" spans="1:21" ht="16.05" customHeight="1">
      <c r="A428" s="58" t="s">
        <v>2023</v>
      </c>
      <c r="B428" s="58" t="s">
        <v>1820</v>
      </c>
      <c r="C428" s="45">
        <v>115</v>
      </c>
      <c r="D428" s="45">
        <v>52304</v>
      </c>
      <c r="E428" s="45">
        <v>2</v>
      </c>
      <c r="F428" s="45">
        <v>43976</v>
      </c>
      <c r="G428" s="45">
        <v>0</v>
      </c>
      <c r="H428" s="45">
        <v>36319</v>
      </c>
      <c r="I428" s="45">
        <v>0</v>
      </c>
      <c r="J428" s="45">
        <v>29386</v>
      </c>
      <c r="K428" s="45">
        <v>0</v>
      </c>
      <c r="L428" s="45">
        <v>22930</v>
      </c>
      <c r="M428" s="45">
        <v>0</v>
      </c>
      <c r="N428" s="45">
        <v>17328</v>
      </c>
      <c r="O428" s="45">
        <v>0</v>
      </c>
      <c r="P428" s="45">
        <v>12762</v>
      </c>
      <c r="Q428" s="45">
        <v>0</v>
      </c>
      <c r="R428" s="45">
        <v>8844</v>
      </c>
      <c r="S428" s="45">
        <v>0</v>
      </c>
      <c r="T428" s="45">
        <v>13974</v>
      </c>
      <c r="U428" s="45">
        <v>8142</v>
      </c>
    </row>
    <row r="429" spans="1:21" ht="16.05" customHeight="1">
      <c r="A429" s="58" t="s">
        <v>2023</v>
      </c>
      <c r="B429" s="58" t="s">
        <v>1821</v>
      </c>
      <c r="C429" s="45">
        <v>52</v>
      </c>
      <c r="D429" s="45">
        <v>26364</v>
      </c>
      <c r="E429" s="45">
        <v>0</v>
      </c>
      <c r="F429" s="45">
        <v>20389</v>
      </c>
      <c r="G429" s="45">
        <v>0</v>
      </c>
      <c r="H429" s="45">
        <v>14992</v>
      </c>
      <c r="I429" s="45">
        <v>0</v>
      </c>
      <c r="J429" s="45">
        <v>11702</v>
      </c>
      <c r="K429" s="45">
        <v>0</v>
      </c>
      <c r="L429" s="45">
        <v>8713</v>
      </c>
      <c r="M429" s="45">
        <v>0</v>
      </c>
      <c r="N429" s="45">
        <v>6015</v>
      </c>
      <c r="O429" s="45">
        <v>0</v>
      </c>
      <c r="P429" s="45">
        <v>3722</v>
      </c>
      <c r="Q429" s="45">
        <v>0</v>
      </c>
      <c r="R429" s="45">
        <v>1905</v>
      </c>
      <c r="S429" s="45">
        <v>0</v>
      </c>
      <c r="T429" s="45">
        <v>1029</v>
      </c>
      <c r="U429" s="45">
        <v>5879</v>
      </c>
    </row>
    <row r="430" spans="1:21" ht="16.05" customHeight="1">
      <c r="A430" s="58" t="s">
        <v>2023</v>
      </c>
      <c r="B430" s="58" t="s">
        <v>1822</v>
      </c>
      <c r="C430" s="45">
        <v>34</v>
      </c>
      <c r="D430" s="45">
        <v>13162</v>
      </c>
      <c r="E430" s="45">
        <v>0</v>
      </c>
      <c r="F430" s="45">
        <v>7959</v>
      </c>
      <c r="G430" s="45">
        <v>0</v>
      </c>
      <c r="H430" s="45">
        <v>4317</v>
      </c>
      <c r="I430" s="45">
        <v>0</v>
      </c>
      <c r="J430" s="45">
        <v>2079</v>
      </c>
      <c r="K430" s="45">
        <v>0</v>
      </c>
      <c r="L430" s="45">
        <v>537</v>
      </c>
      <c r="M430" s="45">
        <v>0</v>
      </c>
      <c r="N430" s="45">
        <v>98</v>
      </c>
      <c r="O430" s="45">
        <v>0</v>
      </c>
      <c r="P430" s="45">
        <v>0</v>
      </c>
      <c r="Q430" s="45">
        <v>0</v>
      </c>
      <c r="R430" s="45">
        <v>0</v>
      </c>
      <c r="S430" s="45">
        <v>0</v>
      </c>
      <c r="T430" s="45">
        <v>0</v>
      </c>
      <c r="U430" s="45">
        <v>5178</v>
      </c>
    </row>
    <row r="431" spans="1:21" ht="16.05" customHeight="1">
      <c r="A431" s="58" t="s">
        <v>2023</v>
      </c>
      <c r="B431" s="58" t="s">
        <v>1823</v>
      </c>
      <c r="C431" s="45">
        <v>47</v>
      </c>
      <c r="D431" s="45">
        <v>24595</v>
      </c>
      <c r="E431" s="45">
        <v>0</v>
      </c>
      <c r="F431" s="45">
        <v>18763</v>
      </c>
      <c r="G431" s="45">
        <v>0</v>
      </c>
      <c r="H431" s="45">
        <v>14625</v>
      </c>
      <c r="I431" s="45">
        <v>0</v>
      </c>
      <c r="J431" s="45">
        <v>11018</v>
      </c>
      <c r="K431" s="45">
        <v>0</v>
      </c>
      <c r="L431" s="45">
        <v>7793</v>
      </c>
      <c r="M431" s="45">
        <v>0</v>
      </c>
      <c r="N431" s="45">
        <v>5120</v>
      </c>
      <c r="O431" s="45">
        <v>0</v>
      </c>
      <c r="P431" s="45">
        <v>2937</v>
      </c>
      <c r="Q431" s="45">
        <v>0</v>
      </c>
      <c r="R431" s="45">
        <v>1218</v>
      </c>
      <c r="S431" s="45">
        <v>0</v>
      </c>
      <c r="T431" s="45">
        <v>203</v>
      </c>
      <c r="U431" s="45">
        <v>5716</v>
      </c>
    </row>
    <row r="432" spans="1:21" ht="16.05" customHeight="1">
      <c r="A432" s="58" t="s">
        <v>2023</v>
      </c>
      <c r="B432" s="58" t="s">
        <v>1824</v>
      </c>
      <c r="C432" s="45">
        <v>44</v>
      </c>
      <c r="D432" s="45">
        <v>16966</v>
      </c>
      <c r="E432" s="45">
        <v>0</v>
      </c>
      <c r="F432" s="45">
        <v>12330</v>
      </c>
      <c r="G432" s="45">
        <v>0</v>
      </c>
      <c r="H432" s="45">
        <v>8338</v>
      </c>
      <c r="I432" s="45">
        <v>0</v>
      </c>
      <c r="J432" s="45">
        <v>4853</v>
      </c>
      <c r="K432" s="45">
        <v>0</v>
      </c>
      <c r="L432" s="45">
        <v>2571</v>
      </c>
      <c r="M432" s="45">
        <v>0</v>
      </c>
      <c r="N432" s="45">
        <v>1068</v>
      </c>
      <c r="O432" s="45">
        <v>0</v>
      </c>
      <c r="P432" s="45">
        <v>462</v>
      </c>
      <c r="Q432" s="45">
        <v>0</v>
      </c>
      <c r="R432" s="45">
        <v>157</v>
      </c>
      <c r="S432" s="45">
        <v>0</v>
      </c>
      <c r="T432" s="45">
        <v>0</v>
      </c>
      <c r="U432" s="45">
        <v>4546</v>
      </c>
    </row>
    <row r="433" spans="1:21" ht="16.05" customHeight="1">
      <c r="A433" s="58" t="s">
        <v>2023</v>
      </c>
      <c r="B433" s="58" t="s">
        <v>1825</v>
      </c>
      <c r="C433" s="45">
        <v>56</v>
      </c>
      <c r="D433" s="45">
        <v>26206</v>
      </c>
      <c r="E433" s="45">
        <v>0</v>
      </c>
      <c r="F433" s="45">
        <v>20682</v>
      </c>
      <c r="G433" s="45">
        <v>0</v>
      </c>
      <c r="H433" s="45">
        <v>15777</v>
      </c>
      <c r="I433" s="45">
        <v>0</v>
      </c>
      <c r="J433" s="45">
        <v>11225</v>
      </c>
      <c r="K433" s="45">
        <v>0</v>
      </c>
      <c r="L433" s="45">
        <v>7342</v>
      </c>
      <c r="M433" s="45">
        <v>0</v>
      </c>
      <c r="N433" s="45">
        <v>4539</v>
      </c>
      <c r="O433" s="45">
        <v>0</v>
      </c>
      <c r="P433" s="45">
        <v>2371</v>
      </c>
      <c r="Q433" s="45">
        <v>0</v>
      </c>
      <c r="R433" s="45">
        <v>1173</v>
      </c>
      <c r="S433" s="45">
        <v>0</v>
      </c>
      <c r="T433" s="45">
        <v>1044</v>
      </c>
      <c r="U433" s="45">
        <v>5418</v>
      </c>
    </row>
    <row r="434" spans="1:21" ht="16.05" customHeight="1">
      <c r="A434" s="58" t="s">
        <v>2023</v>
      </c>
      <c r="B434" s="58" t="s">
        <v>1826</v>
      </c>
      <c r="C434" s="45">
        <v>27</v>
      </c>
      <c r="D434" s="45">
        <v>11304</v>
      </c>
      <c r="E434" s="45">
        <v>0</v>
      </c>
      <c r="F434" s="45">
        <v>5918</v>
      </c>
      <c r="G434" s="45">
        <v>0</v>
      </c>
      <c r="H434" s="45">
        <v>2440</v>
      </c>
      <c r="I434" s="45">
        <v>0</v>
      </c>
      <c r="J434" s="45">
        <v>408</v>
      </c>
      <c r="K434" s="45">
        <v>0</v>
      </c>
      <c r="L434" s="45">
        <v>0</v>
      </c>
      <c r="M434" s="45">
        <v>0</v>
      </c>
      <c r="N434" s="45">
        <v>0</v>
      </c>
      <c r="O434" s="45">
        <v>0</v>
      </c>
      <c r="P434" s="45">
        <v>0</v>
      </c>
      <c r="Q434" s="45">
        <v>0</v>
      </c>
      <c r="R434" s="45">
        <v>0</v>
      </c>
      <c r="S434" s="45">
        <v>0</v>
      </c>
      <c r="T434" s="45">
        <v>0</v>
      </c>
      <c r="U434" s="45">
        <v>5366</v>
      </c>
    </row>
    <row r="435" spans="1:21" ht="16.05" customHeight="1">
      <c r="A435" s="58" t="s">
        <v>2023</v>
      </c>
      <c r="B435" s="58" t="s">
        <v>1827</v>
      </c>
      <c r="C435" s="45">
        <v>33</v>
      </c>
      <c r="D435" s="45">
        <v>16681</v>
      </c>
      <c r="E435" s="45">
        <v>0</v>
      </c>
      <c r="F435" s="45">
        <v>11345</v>
      </c>
      <c r="G435" s="45">
        <v>0</v>
      </c>
      <c r="H435" s="45">
        <v>6997</v>
      </c>
      <c r="I435" s="45">
        <v>0</v>
      </c>
      <c r="J435" s="45">
        <v>4355</v>
      </c>
      <c r="K435" s="45">
        <v>0</v>
      </c>
      <c r="L435" s="45">
        <v>2029</v>
      </c>
      <c r="M435" s="45">
        <v>0</v>
      </c>
      <c r="N435" s="45">
        <v>170</v>
      </c>
      <c r="O435" s="45">
        <v>0</v>
      </c>
      <c r="P435" s="45">
        <v>33</v>
      </c>
      <c r="Q435" s="45">
        <v>0</v>
      </c>
      <c r="R435" s="45">
        <v>0</v>
      </c>
      <c r="S435" s="45">
        <v>0</v>
      </c>
      <c r="T435" s="45">
        <v>0</v>
      </c>
      <c r="U435" s="45">
        <v>5265</v>
      </c>
    </row>
    <row r="436" spans="1:21" ht="16.05" customHeight="1">
      <c r="A436" s="58" t="s">
        <v>2023</v>
      </c>
      <c r="B436" s="58" t="s">
        <v>1828</v>
      </c>
      <c r="C436" s="45">
        <v>30</v>
      </c>
      <c r="D436" s="45">
        <v>9574</v>
      </c>
      <c r="E436" s="45">
        <v>0</v>
      </c>
      <c r="F436" s="45">
        <v>5190</v>
      </c>
      <c r="G436" s="45">
        <v>0</v>
      </c>
      <c r="H436" s="45">
        <v>1839</v>
      </c>
      <c r="I436" s="45">
        <v>0</v>
      </c>
      <c r="J436" s="45">
        <v>302</v>
      </c>
      <c r="K436" s="45">
        <v>0</v>
      </c>
      <c r="L436" s="45">
        <v>85</v>
      </c>
      <c r="M436" s="45">
        <v>0</v>
      </c>
      <c r="N436" s="45">
        <v>0</v>
      </c>
      <c r="O436" s="45">
        <v>0</v>
      </c>
      <c r="P436" s="45">
        <v>0</v>
      </c>
      <c r="Q436" s="45">
        <v>0</v>
      </c>
      <c r="R436" s="45">
        <v>0</v>
      </c>
      <c r="S436" s="45">
        <v>0</v>
      </c>
      <c r="T436" s="45">
        <v>0</v>
      </c>
      <c r="U436" s="45">
        <v>4374</v>
      </c>
    </row>
    <row r="437" spans="1:21" ht="16.05" customHeight="1">
      <c r="A437" s="58" t="s">
        <v>2023</v>
      </c>
      <c r="B437" s="58" t="s">
        <v>1829</v>
      </c>
      <c r="C437" s="45">
        <v>156</v>
      </c>
      <c r="D437" s="45">
        <v>74909</v>
      </c>
      <c r="E437" s="45">
        <v>0</v>
      </c>
      <c r="F437" s="45">
        <v>65250</v>
      </c>
      <c r="G437" s="45">
        <v>0</v>
      </c>
      <c r="H437" s="45">
        <v>56147</v>
      </c>
      <c r="I437" s="45">
        <v>0</v>
      </c>
      <c r="J437" s="45">
        <v>47623</v>
      </c>
      <c r="K437" s="45">
        <v>0</v>
      </c>
      <c r="L437" s="45">
        <v>40223</v>
      </c>
      <c r="M437" s="45">
        <v>0</v>
      </c>
      <c r="N437" s="45">
        <v>33334</v>
      </c>
      <c r="O437" s="45">
        <v>0</v>
      </c>
      <c r="P437" s="45">
        <v>26946</v>
      </c>
      <c r="Q437" s="45">
        <v>0</v>
      </c>
      <c r="R437" s="45">
        <v>20971</v>
      </c>
      <c r="S437" s="45">
        <v>0</v>
      </c>
      <c r="T437" s="45">
        <v>48735</v>
      </c>
      <c r="U437" s="45">
        <v>9431</v>
      </c>
    </row>
    <row r="438" spans="1:21" ht="16.05" customHeight="1">
      <c r="A438" s="58" t="s">
        <v>2023</v>
      </c>
      <c r="B438" s="58" t="s">
        <v>1830</v>
      </c>
      <c r="C438" s="45">
        <v>55</v>
      </c>
      <c r="D438" s="45">
        <v>19274</v>
      </c>
      <c r="E438" s="45">
        <v>0</v>
      </c>
      <c r="F438" s="45">
        <v>13332</v>
      </c>
      <c r="G438" s="45">
        <v>0</v>
      </c>
      <c r="H438" s="45">
        <v>8649</v>
      </c>
      <c r="I438" s="45">
        <v>0</v>
      </c>
      <c r="J438" s="45">
        <v>4864</v>
      </c>
      <c r="K438" s="45">
        <v>0</v>
      </c>
      <c r="L438" s="45">
        <v>2420</v>
      </c>
      <c r="M438" s="45">
        <v>0</v>
      </c>
      <c r="N438" s="45">
        <v>894</v>
      </c>
      <c r="O438" s="45">
        <v>0</v>
      </c>
      <c r="P438" s="45">
        <v>140</v>
      </c>
      <c r="Q438" s="45">
        <v>0</v>
      </c>
      <c r="R438" s="45">
        <v>0</v>
      </c>
      <c r="S438" s="45">
        <v>0</v>
      </c>
      <c r="T438" s="45">
        <v>0</v>
      </c>
      <c r="U438" s="45">
        <v>5872</v>
      </c>
    </row>
    <row r="439" spans="1:21" ht="16.05" customHeight="1">
      <c r="A439" s="58" t="s">
        <v>2023</v>
      </c>
      <c r="B439" s="58" t="s">
        <v>1831</v>
      </c>
      <c r="C439" s="45">
        <v>85</v>
      </c>
      <c r="D439" s="45">
        <v>31659</v>
      </c>
      <c r="E439" s="45">
        <v>0</v>
      </c>
      <c r="F439" s="45">
        <v>24669</v>
      </c>
      <c r="G439" s="45">
        <v>0</v>
      </c>
      <c r="H439" s="45">
        <v>19171</v>
      </c>
      <c r="I439" s="45">
        <v>0</v>
      </c>
      <c r="J439" s="45">
        <v>13965</v>
      </c>
      <c r="K439" s="45">
        <v>0</v>
      </c>
      <c r="L439" s="45">
        <v>9467</v>
      </c>
      <c r="M439" s="45">
        <v>0</v>
      </c>
      <c r="N439" s="45">
        <v>5888</v>
      </c>
      <c r="O439" s="45">
        <v>0</v>
      </c>
      <c r="P439" s="45">
        <v>3610</v>
      </c>
      <c r="Q439" s="45">
        <v>0</v>
      </c>
      <c r="R439" s="45">
        <v>2109</v>
      </c>
      <c r="S439" s="45">
        <v>0</v>
      </c>
      <c r="T439" s="45">
        <v>1599</v>
      </c>
      <c r="U439" s="45">
        <v>6871</v>
      </c>
    </row>
    <row r="440" spans="1:21" ht="16.05" customHeight="1">
      <c r="A440" s="58" t="s">
        <v>2023</v>
      </c>
      <c r="B440" s="58" t="s">
        <v>1832</v>
      </c>
      <c r="C440" s="45">
        <v>146</v>
      </c>
      <c r="D440" s="45">
        <v>61626</v>
      </c>
      <c r="E440" s="45">
        <v>0</v>
      </c>
      <c r="F440" s="45">
        <v>52805</v>
      </c>
      <c r="G440" s="45">
        <v>0</v>
      </c>
      <c r="H440" s="45">
        <v>44674</v>
      </c>
      <c r="I440" s="45">
        <v>0</v>
      </c>
      <c r="J440" s="45">
        <v>37309</v>
      </c>
      <c r="K440" s="45">
        <v>0</v>
      </c>
      <c r="L440" s="45">
        <v>30519</v>
      </c>
      <c r="M440" s="45">
        <v>0</v>
      </c>
      <c r="N440" s="45">
        <v>24734</v>
      </c>
      <c r="O440" s="45">
        <v>0</v>
      </c>
      <c r="P440" s="45">
        <v>19995</v>
      </c>
      <c r="Q440" s="45">
        <v>0</v>
      </c>
      <c r="R440" s="45">
        <v>15647</v>
      </c>
      <c r="S440" s="45">
        <v>0</v>
      </c>
      <c r="T440" s="45">
        <v>34159</v>
      </c>
      <c r="U440" s="45">
        <v>8611</v>
      </c>
    </row>
    <row r="441" spans="1:21" ht="16.05" customHeight="1">
      <c r="A441" s="58" t="s">
        <v>2023</v>
      </c>
      <c r="B441" s="58" t="s">
        <v>1833</v>
      </c>
      <c r="C441" s="45">
        <v>114</v>
      </c>
      <c r="D441" s="45">
        <v>44134</v>
      </c>
      <c r="E441" s="45">
        <v>1</v>
      </c>
      <c r="F441" s="45">
        <v>37141</v>
      </c>
      <c r="G441" s="45">
        <v>0</v>
      </c>
      <c r="H441" s="45">
        <v>30809</v>
      </c>
      <c r="I441" s="45">
        <v>0</v>
      </c>
      <c r="J441" s="45">
        <v>24834</v>
      </c>
      <c r="K441" s="45">
        <v>0</v>
      </c>
      <c r="L441" s="45">
        <v>19727</v>
      </c>
      <c r="M441" s="45">
        <v>0</v>
      </c>
      <c r="N441" s="45">
        <v>15195</v>
      </c>
      <c r="O441" s="45">
        <v>0</v>
      </c>
      <c r="P441" s="45">
        <v>11500</v>
      </c>
      <c r="Q441" s="45">
        <v>0</v>
      </c>
      <c r="R441" s="45">
        <v>8532</v>
      </c>
      <c r="S441" s="45">
        <v>0</v>
      </c>
      <c r="T441" s="45">
        <v>13756</v>
      </c>
      <c r="U441" s="45">
        <v>6828</v>
      </c>
    </row>
    <row r="442" spans="1:21" ht="16.05" customHeight="1">
      <c r="A442" s="58" t="s">
        <v>2023</v>
      </c>
      <c r="B442" s="58" t="s">
        <v>1834</v>
      </c>
      <c r="C442" s="45">
        <v>121</v>
      </c>
      <c r="D442" s="45">
        <v>42611</v>
      </c>
      <c r="E442" s="45">
        <v>0</v>
      </c>
      <c r="F442" s="45">
        <v>35430</v>
      </c>
      <c r="G442" s="45">
        <v>0</v>
      </c>
      <c r="H442" s="45">
        <v>28983</v>
      </c>
      <c r="I442" s="45">
        <v>0</v>
      </c>
      <c r="J442" s="45">
        <v>22843</v>
      </c>
      <c r="K442" s="45">
        <v>0</v>
      </c>
      <c r="L442" s="45">
        <v>17303</v>
      </c>
      <c r="M442" s="45">
        <v>0</v>
      </c>
      <c r="N442" s="45">
        <v>12924</v>
      </c>
      <c r="O442" s="45">
        <v>0</v>
      </c>
      <c r="P442" s="45">
        <v>9184</v>
      </c>
      <c r="Q442" s="45">
        <v>0</v>
      </c>
      <c r="R442" s="45">
        <v>6117</v>
      </c>
      <c r="S442" s="45">
        <v>0</v>
      </c>
      <c r="T442" s="45">
        <v>7719</v>
      </c>
      <c r="U442" s="45">
        <v>6998</v>
      </c>
    </row>
    <row r="443" spans="1:21" ht="16.05" customHeight="1">
      <c r="A443" s="58" t="s">
        <v>2023</v>
      </c>
      <c r="B443" s="58" t="s">
        <v>1835</v>
      </c>
      <c r="C443" s="45">
        <v>86</v>
      </c>
      <c r="D443" s="45">
        <v>41257</v>
      </c>
      <c r="E443" s="45">
        <v>2</v>
      </c>
      <c r="F443" s="45">
        <v>34546</v>
      </c>
      <c r="G443" s="45">
        <v>0</v>
      </c>
      <c r="H443" s="45">
        <v>28213</v>
      </c>
      <c r="I443" s="45">
        <v>0</v>
      </c>
      <c r="J443" s="45">
        <v>22974</v>
      </c>
      <c r="K443" s="45">
        <v>0</v>
      </c>
      <c r="L443" s="45">
        <v>18091</v>
      </c>
      <c r="M443" s="45">
        <v>0</v>
      </c>
      <c r="N443" s="45">
        <v>14085</v>
      </c>
      <c r="O443" s="45">
        <v>0</v>
      </c>
      <c r="P443" s="45">
        <v>10617</v>
      </c>
      <c r="Q443" s="45">
        <v>0</v>
      </c>
      <c r="R443" s="45">
        <v>7675</v>
      </c>
      <c r="S443" s="45">
        <v>0</v>
      </c>
      <c r="T443" s="45">
        <v>10890</v>
      </c>
      <c r="U443" s="45">
        <v>6563</v>
      </c>
    </row>
    <row r="444" spans="1:21" ht="16.05" customHeight="1">
      <c r="A444" s="58" t="s">
        <v>2023</v>
      </c>
      <c r="B444" s="58" t="s">
        <v>1836</v>
      </c>
      <c r="C444" s="45">
        <v>134</v>
      </c>
      <c r="D444" s="45">
        <v>54322</v>
      </c>
      <c r="E444" s="45">
        <v>1</v>
      </c>
      <c r="F444" s="45">
        <v>46471</v>
      </c>
      <c r="G444" s="45">
        <v>0</v>
      </c>
      <c r="H444" s="45">
        <v>39746</v>
      </c>
      <c r="I444" s="45">
        <v>0</v>
      </c>
      <c r="J444" s="45">
        <v>33224</v>
      </c>
      <c r="K444" s="45">
        <v>0</v>
      </c>
      <c r="L444" s="45">
        <v>27294</v>
      </c>
      <c r="M444" s="45">
        <v>0</v>
      </c>
      <c r="N444" s="45">
        <v>21775</v>
      </c>
      <c r="O444" s="45">
        <v>0</v>
      </c>
      <c r="P444" s="45">
        <v>16885</v>
      </c>
      <c r="Q444" s="45">
        <v>0</v>
      </c>
      <c r="R444" s="45">
        <v>12504</v>
      </c>
      <c r="S444" s="45">
        <v>0</v>
      </c>
      <c r="T444" s="45">
        <v>25603</v>
      </c>
      <c r="U444" s="45">
        <v>7655</v>
      </c>
    </row>
    <row r="445" spans="1:21" ht="16.05" customHeight="1">
      <c r="A445" s="58" t="s">
        <v>2023</v>
      </c>
      <c r="B445" s="58" t="s">
        <v>1837</v>
      </c>
      <c r="C445" s="45">
        <v>71</v>
      </c>
      <c r="D445" s="45">
        <v>39343</v>
      </c>
      <c r="E445" s="45">
        <v>0</v>
      </c>
      <c r="F445" s="45">
        <v>32786</v>
      </c>
      <c r="G445" s="45">
        <v>0</v>
      </c>
      <c r="H445" s="45">
        <v>26981</v>
      </c>
      <c r="I445" s="45">
        <v>0</v>
      </c>
      <c r="J445" s="45">
        <v>21749</v>
      </c>
      <c r="K445" s="45">
        <v>0</v>
      </c>
      <c r="L445" s="45">
        <v>17005</v>
      </c>
      <c r="M445" s="45">
        <v>0</v>
      </c>
      <c r="N445" s="45">
        <v>12507</v>
      </c>
      <c r="O445" s="45">
        <v>0</v>
      </c>
      <c r="P445" s="45">
        <v>8899</v>
      </c>
      <c r="Q445" s="45">
        <v>0</v>
      </c>
      <c r="R445" s="45">
        <v>6014</v>
      </c>
      <c r="S445" s="45">
        <v>0</v>
      </c>
      <c r="T445" s="45">
        <v>7955</v>
      </c>
      <c r="U445" s="45">
        <v>6391</v>
      </c>
    </row>
    <row r="446" spans="1:21" ht="16.05" customHeight="1">
      <c r="A446" s="58" t="s">
        <v>2023</v>
      </c>
      <c r="B446" s="58" t="s">
        <v>1838</v>
      </c>
      <c r="C446" s="45">
        <v>38</v>
      </c>
      <c r="D446" s="45">
        <v>16053</v>
      </c>
      <c r="E446" s="45">
        <v>1</v>
      </c>
      <c r="F446" s="45">
        <v>11593</v>
      </c>
      <c r="G446" s="45">
        <v>0</v>
      </c>
      <c r="H446" s="45">
        <v>8641</v>
      </c>
      <c r="I446" s="45">
        <v>0</v>
      </c>
      <c r="J446" s="45">
        <v>6074</v>
      </c>
      <c r="K446" s="45">
        <v>0</v>
      </c>
      <c r="L446" s="45">
        <v>3766</v>
      </c>
      <c r="M446" s="45">
        <v>0</v>
      </c>
      <c r="N446" s="45">
        <v>1745</v>
      </c>
      <c r="O446" s="45">
        <v>0</v>
      </c>
      <c r="P446" s="45">
        <v>131</v>
      </c>
      <c r="Q446" s="45">
        <v>0</v>
      </c>
      <c r="R446" s="45">
        <v>0</v>
      </c>
      <c r="S446" s="45">
        <v>0</v>
      </c>
      <c r="T446" s="45">
        <v>0</v>
      </c>
      <c r="U446" s="45">
        <v>4403</v>
      </c>
    </row>
    <row r="447" spans="1:21" ht="16.05" customHeight="1">
      <c r="A447" s="58" t="s">
        <v>2023</v>
      </c>
      <c r="B447" s="58" t="s">
        <v>1839</v>
      </c>
      <c r="C447" s="45">
        <v>16</v>
      </c>
      <c r="D447" s="45">
        <v>6739</v>
      </c>
      <c r="E447" s="45">
        <v>0</v>
      </c>
      <c r="F447" s="45">
        <v>2683</v>
      </c>
      <c r="G447" s="45">
        <v>0</v>
      </c>
      <c r="H447" s="45">
        <v>575</v>
      </c>
      <c r="I447" s="45">
        <v>0</v>
      </c>
      <c r="J447" s="45">
        <v>0</v>
      </c>
      <c r="K447" s="45">
        <v>0</v>
      </c>
      <c r="L447" s="45">
        <v>0</v>
      </c>
      <c r="M447" s="45">
        <v>0</v>
      </c>
      <c r="N447" s="45">
        <v>0</v>
      </c>
      <c r="O447" s="45">
        <v>0</v>
      </c>
      <c r="P447" s="45">
        <v>0</v>
      </c>
      <c r="Q447" s="45">
        <v>0</v>
      </c>
      <c r="R447" s="45">
        <v>0</v>
      </c>
      <c r="S447" s="45">
        <v>0</v>
      </c>
      <c r="T447" s="45">
        <v>0</v>
      </c>
      <c r="U447" s="45">
        <v>4055</v>
      </c>
    </row>
    <row r="448" spans="1:21" ht="16.05" customHeight="1">
      <c r="A448" s="58" t="s">
        <v>2023</v>
      </c>
      <c r="B448" s="58" t="s">
        <v>1840</v>
      </c>
      <c r="C448" s="45">
        <v>21</v>
      </c>
      <c r="D448" s="45">
        <v>10828</v>
      </c>
      <c r="E448" s="45">
        <v>0</v>
      </c>
      <c r="F448" s="45">
        <v>8042</v>
      </c>
      <c r="G448" s="45">
        <v>0</v>
      </c>
      <c r="H448" s="45">
        <v>5916</v>
      </c>
      <c r="I448" s="45">
        <v>0</v>
      </c>
      <c r="J448" s="45">
        <v>4377</v>
      </c>
      <c r="K448" s="45">
        <v>0</v>
      </c>
      <c r="L448" s="45">
        <v>3027</v>
      </c>
      <c r="M448" s="45">
        <v>0</v>
      </c>
      <c r="N448" s="45">
        <v>2029</v>
      </c>
      <c r="O448" s="45">
        <v>0</v>
      </c>
      <c r="P448" s="45">
        <v>1178</v>
      </c>
      <c r="Q448" s="45">
        <v>0</v>
      </c>
      <c r="R448" s="45">
        <v>653</v>
      </c>
      <c r="S448" s="45">
        <v>0</v>
      </c>
      <c r="T448" s="45">
        <v>700</v>
      </c>
      <c r="U448" s="45">
        <v>2448</v>
      </c>
    </row>
    <row r="449" spans="1:21" ht="16.05" customHeight="1">
      <c r="A449" s="58" t="s">
        <v>2023</v>
      </c>
      <c r="B449" s="58" t="s">
        <v>1841</v>
      </c>
      <c r="C449" s="45">
        <v>93</v>
      </c>
      <c r="D449" s="45">
        <v>38474</v>
      </c>
      <c r="E449" s="45">
        <v>0</v>
      </c>
      <c r="F449" s="45">
        <v>30849</v>
      </c>
      <c r="G449" s="45">
        <v>0</v>
      </c>
      <c r="H449" s="45">
        <v>23828</v>
      </c>
      <c r="I449" s="45">
        <v>0</v>
      </c>
      <c r="J449" s="45">
        <v>18079</v>
      </c>
      <c r="K449" s="45">
        <v>0</v>
      </c>
      <c r="L449" s="45">
        <v>12888</v>
      </c>
      <c r="M449" s="45">
        <v>0</v>
      </c>
      <c r="N449" s="45">
        <v>8497</v>
      </c>
      <c r="O449" s="45">
        <v>0</v>
      </c>
      <c r="P449" s="45">
        <v>5223</v>
      </c>
      <c r="Q449" s="45">
        <v>0</v>
      </c>
      <c r="R449" s="45">
        <v>2955</v>
      </c>
      <c r="S449" s="45">
        <v>0</v>
      </c>
      <c r="T449" s="45">
        <v>2457</v>
      </c>
      <c r="U449" s="45">
        <v>7476</v>
      </c>
    </row>
    <row r="450" spans="1:21" ht="16.05" customHeight="1">
      <c r="A450" s="58" t="s">
        <v>2023</v>
      </c>
      <c r="B450" s="58" t="s">
        <v>1842</v>
      </c>
      <c r="C450" s="45">
        <v>100</v>
      </c>
      <c r="D450" s="45">
        <v>44326</v>
      </c>
      <c r="E450" s="45">
        <v>0</v>
      </c>
      <c r="F450" s="45">
        <v>35399</v>
      </c>
      <c r="G450" s="45">
        <v>0</v>
      </c>
      <c r="H450" s="45">
        <v>27177</v>
      </c>
      <c r="I450" s="45">
        <v>0</v>
      </c>
      <c r="J450" s="45">
        <v>19958</v>
      </c>
      <c r="K450" s="45">
        <v>0</v>
      </c>
      <c r="L450" s="45">
        <v>13491</v>
      </c>
      <c r="M450" s="45">
        <v>0</v>
      </c>
      <c r="N450" s="45">
        <v>8975</v>
      </c>
      <c r="O450" s="45">
        <v>0</v>
      </c>
      <c r="P450" s="45">
        <v>5304</v>
      </c>
      <c r="Q450" s="45">
        <v>0</v>
      </c>
      <c r="R450" s="45">
        <v>2824</v>
      </c>
      <c r="S450" s="45">
        <v>0</v>
      </c>
      <c r="T450" s="45">
        <v>2778</v>
      </c>
      <c r="U450" s="45">
        <v>8761</v>
      </c>
    </row>
    <row r="451" spans="1:21" ht="16.05" customHeight="1">
      <c r="A451" s="58" t="s">
        <v>2023</v>
      </c>
      <c r="B451" s="58" t="s">
        <v>1843</v>
      </c>
      <c r="C451" s="45">
        <v>114</v>
      </c>
      <c r="D451" s="45">
        <v>45951</v>
      </c>
      <c r="E451" s="45">
        <v>2</v>
      </c>
      <c r="F451" s="45">
        <v>37841</v>
      </c>
      <c r="G451" s="45">
        <v>0</v>
      </c>
      <c r="H451" s="45">
        <v>31435</v>
      </c>
      <c r="I451" s="45">
        <v>0</v>
      </c>
      <c r="J451" s="45">
        <v>25813</v>
      </c>
      <c r="K451" s="45">
        <v>0</v>
      </c>
      <c r="L451" s="45">
        <v>20997</v>
      </c>
      <c r="M451" s="45">
        <v>0</v>
      </c>
      <c r="N451" s="45">
        <v>16667</v>
      </c>
      <c r="O451" s="45">
        <v>0</v>
      </c>
      <c r="P451" s="45">
        <v>12699</v>
      </c>
      <c r="Q451" s="45">
        <v>0</v>
      </c>
      <c r="R451" s="45">
        <v>9110</v>
      </c>
      <c r="S451" s="45">
        <v>0</v>
      </c>
      <c r="T451" s="45">
        <v>11130</v>
      </c>
      <c r="U451" s="45">
        <v>7851</v>
      </c>
    </row>
    <row r="452" spans="1:21" ht="16.05" customHeight="1">
      <c r="A452" s="58" t="s">
        <v>2023</v>
      </c>
      <c r="B452" s="58" t="s">
        <v>1844</v>
      </c>
      <c r="C452" s="45">
        <v>214</v>
      </c>
      <c r="D452" s="45">
        <v>77008</v>
      </c>
      <c r="E452" s="45">
        <v>1</v>
      </c>
      <c r="F452" s="45">
        <v>67223</v>
      </c>
      <c r="G452" s="45">
        <v>0</v>
      </c>
      <c r="H452" s="45">
        <v>58053</v>
      </c>
      <c r="I452" s="45">
        <v>0</v>
      </c>
      <c r="J452" s="45">
        <v>49245</v>
      </c>
      <c r="K452" s="45">
        <v>0</v>
      </c>
      <c r="L452" s="45">
        <v>40941</v>
      </c>
      <c r="M452" s="45">
        <v>0</v>
      </c>
      <c r="N452" s="45">
        <v>33638</v>
      </c>
      <c r="O452" s="45">
        <v>0</v>
      </c>
      <c r="P452" s="45">
        <v>27117</v>
      </c>
      <c r="Q452" s="45">
        <v>0</v>
      </c>
      <c r="R452" s="45">
        <v>21350</v>
      </c>
      <c r="S452" s="45">
        <v>0</v>
      </c>
      <c r="T452" s="45">
        <v>53549</v>
      </c>
      <c r="U452" s="45">
        <v>9545</v>
      </c>
    </row>
    <row r="453" spans="1:21" ht="16.05" customHeight="1">
      <c r="A453" s="58" t="s">
        <v>2023</v>
      </c>
      <c r="B453" s="58" t="s">
        <v>1845</v>
      </c>
      <c r="C453" s="45">
        <v>181</v>
      </c>
      <c r="D453" s="45">
        <v>89365</v>
      </c>
      <c r="E453" s="45">
        <v>0</v>
      </c>
      <c r="F453" s="45">
        <v>78855</v>
      </c>
      <c r="G453" s="45">
        <v>0</v>
      </c>
      <c r="H453" s="45">
        <v>69048</v>
      </c>
      <c r="I453" s="45">
        <v>0</v>
      </c>
      <c r="J453" s="45">
        <v>59573</v>
      </c>
      <c r="K453" s="45">
        <v>0</v>
      </c>
      <c r="L453" s="45">
        <v>50770</v>
      </c>
      <c r="M453" s="45">
        <v>0</v>
      </c>
      <c r="N453" s="45">
        <v>43028</v>
      </c>
      <c r="O453" s="45">
        <v>0</v>
      </c>
      <c r="P453" s="45">
        <v>36032</v>
      </c>
      <c r="Q453" s="45">
        <v>0</v>
      </c>
      <c r="R453" s="45">
        <v>29427</v>
      </c>
      <c r="S453" s="45">
        <v>0</v>
      </c>
      <c r="T453" s="45">
        <v>88834</v>
      </c>
      <c r="U453" s="45">
        <v>10186</v>
      </c>
    </row>
    <row r="454" spans="1:21" ht="16.05" customHeight="1">
      <c r="A454" s="58" t="s">
        <v>2023</v>
      </c>
      <c r="B454" s="58" t="s">
        <v>1846</v>
      </c>
      <c r="C454" s="45">
        <v>208</v>
      </c>
      <c r="D454" s="45">
        <v>82353</v>
      </c>
      <c r="E454" s="45">
        <v>1</v>
      </c>
      <c r="F454" s="45">
        <v>72162</v>
      </c>
      <c r="G454" s="45">
        <v>0</v>
      </c>
      <c r="H454" s="45">
        <v>62698</v>
      </c>
      <c r="I454" s="45">
        <v>0</v>
      </c>
      <c r="J454" s="45">
        <v>53826</v>
      </c>
      <c r="K454" s="45">
        <v>0</v>
      </c>
      <c r="L454" s="45">
        <v>45215</v>
      </c>
      <c r="M454" s="45">
        <v>0</v>
      </c>
      <c r="N454" s="45">
        <v>37160</v>
      </c>
      <c r="O454" s="45">
        <v>0</v>
      </c>
      <c r="P454" s="45">
        <v>29874</v>
      </c>
      <c r="Q454" s="45">
        <v>0</v>
      </c>
      <c r="R454" s="45">
        <v>23319</v>
      </c>
      <c r="S454" s="45">
        <v>0</v>
      </c>
      <c r="T454" s="45">
        <v>56671</v>
      </c>
      <c r="U454" s="45">
        <v>9952</v>
      </c>
    </row>
    <row r="455" spans="1:21" ht="16.05" customHeight="1">
      <c r="A455" s="58" t="s">
        <v>2023</v>
      </c>
      <c r="B455" s="58" t="s">
        <v>1847</v>
      </c>
      <c r="C455" s="45">
        <v>131</v>
      </c>
      <c r="D455" s="45">
        <v>52329</v>
      </c>
      <c r="E455" s="45">
        <v>0</v>
      </c>
      <c r="F455" s="45">
        <v>42030</v>
      </c>
      <c r="G455" s="45">
        <v>0</v>
      </c>
      <c r="H455" s="45">
        <v>33302</v>
      </c>
      <c r="I455" s="45">
        <v>0</v>
      </c>
      <c r="J455" s="45">
        <v>25641</v>
      </c>
      <c r="K455" s="45">
        <v>0</v>
      </c>
      <c r="L455" s="45">
        <v>19621</v>
      </c>
      <c r="M455" s="45">
        <v>0</v>
      </c>
      <c r="N455" s="45">
        <v>14235</v>
      </c>
      <c r="O455" s="45">
        <v>0</v>
      </c>
      <c r="P455" s="45">
        <v>9927</v>
      </c>
      <c r="Q455" s="45">
        <v>0</v>
      </c>
      <c r="R455" s="45">
        <v>6446</v>
      </c>
      <c r="S455" s="45">
        <v>0</v>
      </c>
      <c r="T455" s="45">
        <v>6882</v>
      </c>
      <c r="U455" s="45">
        <v>10121</v>
      </c>
    </row>
    <row r="456" spans="1:21" ht="16.05" customHeight="1">
      <c r="A456" s="58" t="s">
        <v>2023</v>
      </c>
      <c r="B456" s="58" t="s">
        <v>1848</v>
      </c>
      <c r="C456" s="45">
        <v>192</v>
      </c>
      <c r="D456" s="45">
        <v>73005</v>
      </c>
      <c r="E456" s="45">
        <v>1</v>
      </c>
      <c r="F456" s="45">
        <v>62737</v>
      </c>
      <c r="G456" s="45">
        <v>0</v>
      </c>
      <c r="H456" s="45">
        <v>53396</v>
      </c>
      <c r="I456" s="45">
        <v>0</v>
      </c>
      <c r="J456" s="45">
        <v>44483</v>
      </c>
      <c r="K456" s="45">
        <v>0</v>
      </c>
      <c r="L456" s="45">
        <v>36338</v>
      </c>
      <c r="M456" s="45">
        <v>0</v>
      </c>
      <c r="N456" s="45">
        <v>29503</v>
      </c>
      <c r="O456" s="45">
        <v>0</v>
      </c>
      <c r="P456" s="45">
        <v>23664</v>
      </c>
      <c r="Q456" s="45">
        <v>0</v>
      </c>
      <c r="R456" s="45">
        <v>18686</v>
      </c>
      <c r="S456" s="45">
        <v>0</v>
      </c>
      <c r="T456" s="45">
        <v>41542</v>
      </c>
      <c r="U456" s="45">
        <v>10050</v>
      </c>
    </row>
    <row r="457" spans="1:21" ht="16.05" customHeight="1">
      <c r="A457" s="58" t="s">
        <v>2023</v>
      </c>
      <c r="B457" s="58" t="s">
        <v>1849</v>
      </c>
      <c r="C457" s="45">
        <v>129</v>
      </c>
      <c r="D457" s="45">
        <v>50495</v>
      </c>
      <c r="E457" s="45">
        <v>0</v>
      </c>
      <c r="F457" s="45">
        <v>40926</v>
      </c>
      <c r="G457" s="45">
        <v>0</v>
      </c>
      <c r="H457" s="45">
        <v>32795</v>
      </c>
      <c r="I457" s="45">
        <v>0</v>
      </c>
      <c r="J457" s="45">
        <v>25554</v>
      </c>
      <c r="K457" s="45">
        <v>0</v>
      </c>
      <c r="L457" s="45">
        <v>18935</v>
      </c>
      <c r="M457" s="45">
        <v>0</v>
      </c>
      <c r="N457" s="45">
        <v>13870</v>
      </c>
      <c r="O457" s="45">
        <v>0</v>
      </c>
      <c r="P457" s="45">
        <v>9687</v>
      </c>
      <c r="Q457" s="45">
        <v>0</v>
      </c>
      <c r="R457" s="45">
        <v>6177</v>
      </c>
      <c r="S457" s="45">
        <v>0</v>
      </c>
      <c r="T457" s="45">
        <v>7001</v>
      </c>
      <c r="U457" s="45">
        <v>9293</v>
      </c>
    </row>
    <row r="458" spans="1:21" ht="16.05" customHeight="1">
      <c r="A458" s="58" t="s">
        <v>2023</v>
      </c>
      <c r="B458" s="58" t="s">
        <v>1850</v>
      </c>
      <c r="C458" s="45">
        <v>157</v>
      </c>
      <c r="D458" s="45">
        <v>66170</v>
      </c>
      <c r="E458" s="45">
        <v>1</v>
      </c>
      <c r="F458" s="45">
        <v>57264</v>
      </c>
      <c r="G458" s="45">
        <v>0</v>
      </c>
      <c r="H458" s="45">
        <v>49353</v>
      </c>
      <c r="I458" s="45">
        <v>0</v>
      </c>
      <c r="J458" s="45">
        <v>42847</v>
      </c>
      <c r="K458" s="45">
        <v>0</v>
      </c>
      <c r="L458" s="45">
        <v>36563</v>
      </c>
      <c r="M458" s="45">
        <v>0</v>
      </c>
      <c r="N458" s="45">
        <v>31034</v>
      </c>
      <c r="O458" s="45">
        <v>0</v>
      </c>
      <c r="P458" s="45">
        <v>25944</v>
      </c>
      <c r="Q458" s="45">
        <v>0</v>
      </c>
      <c r="R458" s="45">
        <v>21426</v>
      </c>
      <c r="S458" s="45">
        <v>0</v>
      </c>
      <c r="T458" s="45">
        <v>58211</v>
      </c>
      <c r="U458" s="45">
        <v>8663</v>
      </c>
    </row>
    <row r="459" spans="1:21" ht="16.05" customHeight="1">
      <c r="A459" s="58" t="s">
        <v>2023</v>
      </c>
      <c r="B459" s="58" t="s">
        <v>1851</v>
      </c>
      <c r="C459" s="45">
        <v>127</v>
      </c>
      <c r="D459" s="45">
        <v>50516</v>
      </c>
      <c r="E459" s="45">
        <v>0</v>
      </c>
      <c r="F459" s="45">
        <v>41322</v>
      </c>
      <c r="G459" s="45">
        <v>0</v>
      </c>
      <c r="H459" s="45">
        <v>32950</v>
      </c>
      <c r="I459" s="45">
        <v>0</v>
      </c>
      <c r="J459" s="45">
        <v>25824</v>
      </c>
      <c r="K459" s="45">
        <v>0</v>
      </c>
      <c r="L459" s="45">
        <v>20039</v>
      </c>
      <c r="M459" s="45">
        <v>0</v>
      </c>
      <c r="N459" s="45">
        <v>15665</v>
      </c>
      <c r="O459" s="45">
        <v>0</v>
      </c>
      <c r="P459" s="45">
        <v>11865</v>
      </c>
      <c r="Q459" s="45">
        <v>0</v>
      </c>
      <c r="R459" s="45">
        <v>8343</v>
      </c>
      <c r="S459" s="45">
        <v>0</v>
      </c>
      <c r="T459" s="45">
        <v>10117</v>
      </c>
      <c r="U459" s="45">
        <v>9032</v>
      </c>
    </row>
    <row r="460" spans="1:21" ht="16.05" customHeight="1">
      <c r="A460" s="58" t="s">
        <v>2023</v>
      </c>
      <c r="B460" s="58" t="s">
        <v>1852</v>
      </c>
      <c r="C460" s="45">
        <v>174</v>
      </c>
      <c r="D460" s="45">
        <v>62018</v>
      </c>
      <c r="E460" s="45">
        <v>0</v>
      </c>
      <c r="F460" s="45">
        <v>51963</v>
      </c>
      <c r="G460" s="45">
        <v>0</v>
      </c>
      <c r="H460" s="45">
        <v>42789</v>
      </c>
      <c r="I460" s="45">
        <v>0</v>
      </c>
      <c r="J460" s="45">
        <v>34451</v>
      </c>
      <c r="K460" s="45">
        <v>0</v>
      </c>
      <c r="L460" s="45">
        <v>27075</v>
      </c>
      <c r="M460" s="45">
        <v>0</v>
      </c>
      <c r="N460" s="45">
        <v>20394</v>
      </c>
      <c r="O460" s="45">
        <v>0</v>
      </c>
      <c r="P460" s="45">
        <v>15008</v>
      </c>
      <c r="Q460" s="45">
        <v>0</v>
      </c>
      <c r="R460" s="45">
        <v>10670</v>
      </c>
      <c r="S460" s="45">
        <v>0</v>
      </c>
      <c r="T460" s="45">
        <v>17166</v>
      </c>
      <c r="U460" s="45">
        <v>9818</v>
      </c>
    </row>
    <row r="461" spans="1:21" ht="16.05" customHeight="1">
      <c r="A461" s="58" t="s">
        <v>2023</v>
      </c>
      <c r="B461" s="58" t="s">
        <v>1853</v>
      </c>
      <c r="C461" s="45">
        <v>160</v>
      </c>
      <c r="D461" s="45">
        <v>63694</v>
      </c>
      <c r="E461" s="45">
        <v>2</v>
      </c>
      <c r="F461" s="45">
        <v>53969</v>
      </c>
      <c r="G461" s="45">
        <v>1</v>
      </c>
      <c r="H461" s="45">
        <v>45203</v>
      </c>
      <c r="I461" s="45">
        <v>0</v>
      </c>
      <c r="J461" s="45">
        <v>37325</v>
      </c>
      <c r="K461" s="45">
        <v>0</v>
      </c>
      <c r="L461" s="45">
        <v>30049</v>
      </c>
      <c r="M461" s="45">
        <v>0</v>
      </c>
      <c r="N461" s="45">
        <v>23198</v>
      </c>
      <c r="O461" s="45">
        <v>0</v>
      </c>
      <c r="P461" s="45">
        <v>17430</v>
      </c>
      <c r="Q461" s="45">
        <v>0</v>
      </c>
      <c r="R461" s="45">
        <v>12413</v>
      </c>
      <c r="S461" s="45">
        <v>0</v>
      </c>
      <c r="T461" s="45">
        <v>22813</v>
      </c>
      <c r="U461" s="45">
        <v>9508</v>
      </c>
    </row>
    <row r="462" spans="1:21" ht="16.05" customHeight="1">
      <c r="A462" s="58" t="s">
        <v>2023</v>
      </c>
      <c r="B462" s="58" t="s">
        <v>1854</v>
      </c>
      <c r="C462" s="45">
        <v>209</v>
      </c>
      <c r="D462" s="45">
        <v>93852</v>
      </c>
      <c r="E462" s="45">
        <v>5</v>
      </c>
      <c r="F462" s="45">
        <v>83514</v>
      </c>
      <c r="G462" s="45">
        <v>3</v>
      </c>
      <c r="H462" s="45">
        <v>73938</v>
      </c>
      <c r="I462" s="45">
        <v>2</v>
      </c>
      <c r="J462" s="45">
        <v>65644</v>
      </c>
      <c r="K462" s="45">
        <v>1</v>
      </c>
      <c r="L462" s="45">
        <v>57660</v>
      </c>
      <c r="M462" s="45">
        <v>0</v>
      </c>
      <c r="N462" s="45">
        <v>49995</v>
      </c>
      <c r="O462" s="45">
        <v>0</v>
      </c>
      <c r="P462" s="45">
        <v>42710</v>
      </c>
      <c r="Q462" s="45">
        <v>0</v>
      </c>
      <c r="R462" s="45">
        <v>35672</v>
      </c>
      <c r="S462" s="45">
        <v>0</v>
      </c>
      <c r="T462" s="45">
        <v>123760</v>
      </c>
      <c r="U462" s="45">
        <v>10079</v>
      </c>
    </row>
    <row r="463" spans="1:21" ht="16.05" customHeight="1">
      <c r="A463" s="58" t="s">
        <v>2023</v>
      </c>
      <c r="B463" s="58" t="s">
        <v>1855</v>
      </c>
      <c r="C463" s="45">
        <v>142</v>
      </c>
      <c r="D463" s="45">
        <v>62259</v>
      </c>
      <c r="E463" s="45">
        <v>0</v>
      </c>
      <c r="F463" s="45">
        <v>52323</v>
      </c>
      <c r="G463" s="45">
        <v>0</v>
      </c>
      <c r="H463" s="45">
        <v>43817</v>
      </c>
      <c r="I463" s="45">
        <v>0</v>
      </c>
      <c r="J463" s="45">
        <v>35821</v>
      </c>
      <c r="K463" s="45">
        <v>0</v>
      </c>
      <c r="L463" s="45">
        <v>28929</v>
      </c>
      <c r="M463" s="45">
        <v>0</v>
      </c>
      <c r="N463" s="45">
        <v>22910</v>
      </c>
      <c r="O463" s="45">
        <v>0</v>
      </c>
      <c r="P463" s="45">
        <v>17525</v>
      </c>
      <c r="Q463" s="45">
        <v>0</v>
      </c>
      <c r="R463" s="45">
        <v>13461</v>
      </c>
      <c r="S463" s="45">
        <v>0</v>
      </c>
      <c r="T463" s="45">
        <v>24370</v>
      </c>
      <c r="U463" s="45">
        <v>9623</v>
      </c>
    </row>
    <row r="464" spans="1:21" ht="16.05" customHeight="1">
      <c r="A464" s="58" t="s">
        <v>2023</v>
      </c>
      <c r="B464" s="58" t="s">
        <v>1856</v>
      </c>
      <c r="C464" s="45">
        <v>209</v>
      </c>
      <c r="D464" s="45">
        <v>82297</v>
      </c>
      <c r="E464" s="45">
        <v>1</v>
      </c>
      <c r="F464" s="45">
        <v>72216</v>
      </c>
      <c r="G464" s="45">
        <v>0</v>
      </c>
      <c r="H464" s="45">
        <v>63288</v>
      </c>
      <c r="I464" s="45">
        <v>0</v>
      </c>
      <c r="J464" s="45">
        <v>54997</v>
      </c>
      <c r="K464" s="45">
        <v>0</v>
      </c>
      <c r="L464" s="45">
        <v>47087</v>
      </c>
      <c r="M464" s="45">
        <v>0</v>
      </c>
      <c r="N464" s="45">
        <v>39754</v>
      </c>
      <c r="O464" s="45">
        <v>0</v>
      </c>
      <c r="P464" s="45">
        <v>33673</v>
      </c>
      <c r="Q464" s="45">
        <v>0</v>
      </c>
      <c r="R464" s="45">
        <v>27903</v>
      </c>
      <c r="S464" s="45">
        <v>0</v>
      </c>
      <c r="T464" s="45">
        <v>84836</v>
      </c>
      <c r="U464" s="45">
        <v>9863</v>
      </c>
    </row>
    <row r="465" spans="1:21" ht="16.05" customHeight="1">
      <c r="A465" s="58" t="s">
        <v>2023</v>
      </c>
      <c r="B465" s="58" t="s">
        <v>1857</v>
      </c>
      <c r="C465" s="45">
        <v>194</v>
      </c>
      <c r="D465" s="45">
        <v>77657</v>
      </c>
      <c r="E465" s="45">
        <v>0</v>
      </c>
      <c r="F465" s="45">
        <v>67707</v>
      </c>
      <c r="G465" s="45">
        <v>0</v>
      </c>
      <c r="H465" s="45">
        <v>58861</v>
      </c>
      <c r="I465" s="45">
        <v>0</v>
      </c>
      <c r="J465" s="45">
        <v>51019</v>
      </c>
      <c r="K465" s="45">
        <v>0</v>
      </c>
      <c r="L465" s="45">
        <v>43617</v>
      </c>
      <c r="M465" s="45">
        <v>0</v>
      </c>
      <c r="N465" s="45">
        <v>36821</v>
      </c>
      <c r="O465" s="45">
        <v>0</v>
      </c>
      <c r="P465" s="45">
        <v>30381</v>
      </c>
      <c r="Q465" s="45">
        <v>0</v>
      </c>
      <c r="R465" s="45">
        <v>24791</v>
      </c>
      <c r="S465" s="45">
        <v>0</v>
      </c>
      <c r="T465" s="45">
        <v>71160</v>
      </c>
      <c r="U465" s="45">
        <v>9677</v>
      </c>
    </row>
    <row r="466" spans="1:21" ht="16.05" customHeight="1">
      <c r="A466" s="58" t="s">
        <v>2023</v>
      </c>
      <c r="B466" s="58" t="s">
        <v>1858</v>
      </c>
      <c r="C466" s="45">
        <v>178</v>
      </c>
      <c r="D466" s="45">
        <v>63340</v>
      </c>
      <c r="E466" s="45">
        <v>0</v>
      </c>
      <c r="F466" s="45">
        <v>54024</v>
      </c>
      <c r="G466" s="45">
        <v>0</v>
      </c>
      <c r="H466" s="45">
        <v>45615</v>
      </c>
      <c r="I466" s="45">
        <v>0</v>
      </c>
      <c r="J466" s="45">
        <v>37952</v>
      </c>
      <c r="K466" s="45">
        <v>0</v>
      </c>
      <c r="L466" s="45">
        <v>31013</v>
      </c>
      <c r="M466" s="45">
        <v>0</v>
      </c>
      <c r="N466" s="45">
        <v>24844</v>
      </c>
      <c r="O466" s="45">
        <v>0</v>
      </c>
      <c r="P466" s="45">
        <v>19597</v>
      </c>
      <c r="Q466" s="45">
        <v>0</v>
      </c>
      <c r="R466" s="45">
        <v>15014</v>
      </c>
      <c r="S466" s="45">
        <v>0</v>
      </c>
      <c r="T466" s="45">
        <v>28525</v>
      </c>
      <c r="U466" s="45">
        <v>9134</v>
      </c>
    </row>
    <row r="467" spans="1:21" ht="16.05" customHeight="1">
      <c r="A467" s="58" t="s">
        <v>2023</v>
      </c>
      <c r="B467" s="58" t="s">
        <v>1859</v>
      </c>
      <c r="C467" s="45">
        <v>111</v>
      </c>
      <c r="D467" s="45">
        <v>46620</v>
      </c>
      <c r="E467" s="45">
        <v>1</v>
      </c>
      <c r="F467" s="45">
        <v>37377</v>
      </c>
      <c r="G467" s="45">
        <v>0</v>
      </c>
      <c r="H467" s="45">
        <v>29399</v>
      </c>
      <c r="I467" s="45">
        <v>0</v>
      </c>
      <c r="J467" s="45">
        <v>21862</v>
      </c>
      <c r="K467" s="45">
        <v>0</v>
      </c>
      <c r="L467" s="45">
        <v>15184</v>
      </c>
      <c r="M467" s="45">
        <v>0</v>
      </c>
      <c r="N467" s="45">
        <v>9295</v>
      </c>
      <c r="O467" s="45">
        <v>0</v>
      </c>
      <c r="P467" s="45">
        <v>4590</v>
      </c>
      <c r="Q467" s="45">
        <v>0</v>
      </c>
      <c r="R467" s="45">
        <v>2310</v>
      </c>
      <c r="S467" s="45">
        <v>0</v>
      </c>
      <c r="T467" s="45">
        <v>2966</v>
      </c>
      <c r="U467" s="45">
        <v>9031</v>
      </c>
    </row>
    <row r="468" spans="1:21" ht="16.05" customHeight="1">
      <c r="A468" s="58" t="s">
        <v>2023</v>
      </c>
      <c r="B468" s="58" t="s">
        <v>1860</v>
      </c>
      <c r="C468" s="45">
        <v>153</v>
      </c>
      <c r="D468" s="45">
        <v>73990</v>
      </c>
      <c r="E468" s="45">
        <v>0</v>
      </c>
      <c r="F468" s="45">
        <v>63869</v>
      </c>
      <c r="G468" s="45">
        <v>0</v>
      </c>
      <c r="H468" s="45">
        <v>54804</v>
      </c>
      <c r="I468" s="45">
        <v>0</v>
      </c>
      <c r="J468" s="45">
        <v>46302</v>
      </c>
      <c r="K468" s="45">
        <v>0</v>
      </c>
      <c r="L468" s="45">
        <v>38037</v>
      </c>
      <c r="M468" s="45">
        <v>0</v>
      </c>
      <c r="N468" s="45">
        <v>30300</v>
      </c>
      <c r="O468" s="45">
        <v>0</v>
      </c>
      <c r="P468" s="45">
        <v>23253</v>
      </c>
      <c r="Q468" s="45">
        <v>0</v>
      </c>
      <c r="R468" s="45">
        <v>17152</v>
      </c>
      <c r="S468" s="45">
        <v>0</v>
      </c>
      <c r="T468" s="45">
        <v>35685</v>
      </c>
      <c r="U468" s="45">
        <v>9872</v>
      </c>
    </row>
    <row r="469" spans="1:21" ht="16.05" customHeight="1">
      <c r="A469" s="58" t="s">
        <v>2023</v>
      </c>
      <c r="B469" s="58" t="s">
        <v>1861</v>
      </c>
      <c r="C469" s="45">
        <v>166</v>
      </c>
      <c r="D469" s="45">
        <v>70172</v>
      </c>
      <c r="E469" s="45">
        <v>1</v>
      </c>
      <c r="F469" s="45">
        <v>60494</v>
      </c>
      <c r="G469" s="45">
        <v>0</v>
      </c>
      <c r="H469" s="45">
        <v>51722</v>
      </c>
      <c r="I469" s="45">
        <v>0</v>
      </c>
      <c r="J469" s="45">
        <v>43309</v>
      </c>
      <c r="K469" s="45">
        <v>0</v>
      </c>
      <c r="L469" s="45">
        <v>35461</v>
      </c>
      <c r="M469" s="45">
        <v>0</v>
      </c>
      <c r="N469" s="45">
        <v>29131</v>
      </c>
      <c r="O469" s="45">
        <v>0</v>
      </c>
      <c r="P469" s="45">
        <v>23666</v>
      </c>
      <c r="Q469" s="45">
        <v>0</v>
      </c>
      <c r="R469" s="45">
        <v>18770</v>
      </c>
      <c r="S469" s="45">
        <v>0</v>
      </c>
      <c r="T469" s="45">
        <v>42236</v>
      </c>
      <c r="U469" s="45">
        <v>9444</v>
      </c>
    </row>
    <row r="470" spans="1:21" ht="16.05" customHeight="1">
      <c r="A470" s="58" t="s">
        <v>2023</v>
      </c>
      <c r="B470" s="58" t="s">
        <v>1862</v>
      </c>
      <c r="C470" s="45">
        <v>189</v>
      </c>
      <c r="D470" s="45">
        <v>84699</v>
      </c>
      <c r="E470" s="45">
        <v>1</v>
      </c>
      <c r="F470" s="45">
        <v>75283</v>
      </c>
      <c r="G470" s="45">
        <v>0</v>
      </c>
      <c r="H470" s="45">
        <v>66376</v>
      </c>
      <c r="I470" s="45">
        <v>0</v>
      </c>
      <c r="J470" s="45">
        <v>58271</v>
      </c>
      <c r="K470" s="45">
        <v>0</v>
      </c>
      <c r="L470" s="45">
        <v>50696</v>
      </c>
      <c r="M470" s="45">
        <v>0</v>
      </c>
      <c r="N470" s="45">
        <v>43896</v>
      </c>
      <c r="O470" s="45">
        <v>0</v>
      </c>
      <c r="P470" s="45">
        <v>37399</v>
      </c>
      <c r="Q470" s="45">
        <v>0</v>
      </c>
      <c r="R470" s="45">
        <v>31443</v>
      </c>
      <c r="S470" s="45">
        <v>0</v>
      </c>
      <c r="T470" s="45">
        <v>109526</v>
      </c>
      <c r="U470" s="45">
        <v>9091</v>
      </c>
    </row>
    <row r="471" spans="1:21" ht="16.05" customHeight="1">
      <c r="A471" s="58" t="s">
        <v>2023</v>
      </c>
      <c r="B471" s="58" t="s">
        <v>1863</v>
      </c>
      <c r="C471" s="45">
        <v>198</v>
      </c>
      <c r="D471" s="45">
        <v>84156</v>
      </c>
      <c r="E471" s="45">
        <v>1</v>
      </c>
      <c r="F471" s="45">
        <v>74417</v>
      </c>
      <c r="G471" s="45">
        <v>0</v>
      </c>
      <c r="H471" s="45">
        <v>65687</v>
      </c>
      <c r="I471" s="45">
        <v>0</v>
      </c>
      <c r="J471" s="45">
        <v>57327</v>
      </c>
      <c r="K471" s="45">
        <v>0</v>
      </c>
      <c r="L471" s="45">
        <v>49756</v>
      </c>
      <c r="M471" s="45">
        <v>0</v>
      </c>
      <c r="N471" s="45">
        <v>43022</v>
      </c>
      <c r="O471" s="45">
        <v>0</v>
      </c>
      <c r="P471" s="45">
        <v>37197</v>
      </c>
      <c r="Q471" s="45">
        <v>0</v>
      </c>
      <c r="R471" s="45">
        <v>31740</v>
      </c>
      <c r="S471" s="45">
        <v>0</v>
      </c>
      <c r="T471" s="45">
        <v>116361</v>
      </c>
      <c r="U471" s="45">
        <v>9427</v>
      </c>
    </row>
    <row r="472" spans="1:21" ht="16.05" customHeight="1">
      <c r="A472" s="58" t="s">
        <v>2023</v>
      </c>
      <c r="B472" s="58" t="s">
        <v>1864</v>
      </c>
      <c r="C472" s="45">
        <v>164</v>
      </c>
      <c r="D472" s="45">
        <v>66341</v>
      </c>
      <c r="E472" s="45">
        <v>0</v>
      </c>
      <c r="F472" s="45">
        <v>57211</v>
      </c>
      <c r="G472" s="45">
        <v>0</v>
      </c>
      <c r="H472" s="45">
        <v>48686</v>
      </c>
      <c r="I472" s="45">
        <v>0</v>
      </c>
      <c r="J472" s="45">
        <v>40498</v>
      </c>
      <c r="K472" s="45">
        <v>0</v>
      </c>
      <c r="L472" s="45">
        <v>33042</v>
      </c>
      <c r="M472" s="45">
        <v>0</v>
      </c>
      <c r="N472" s="45">
        <v>26436</v>
      </c>
      <c r="O472" s="45">
        <v>0</v>
      </c>
      <c r="P472" s="45">
        <v>20561</v>
      </c>
      <c r="Q472" s="45">
        <v>0</v>
      </c>
      <c r="R472" s="45">
        <v>15543</v>
      </c>
      <c r="S472" s="45">
        <v>0</v>
      </c>
      <c r="T472" s="45">
        <v>32443</v>
      </c>
      <c r="U472" s="45">
        <v>8874</v>
      </c>
    </row>
    <row r="473" spans="1:21" ht="16.05" customHeight="1">
      <c r="A473" s="58" t="s">
        <v>2023</v>
      </c>
      <c r="B473" s="58" t="s">
        <v>1865</v>
      </c>
      <c r="C473" s="45">
        <v>213</v>
      </c>
      <c r="D473" s="45">
        <v>86680</v>
      </c>
      <c r="E473" s="45">
        <v>1</v>
      </c>
      <c r="F473" s="45">
        <v>75796</v>
      </c>
      <c r="G473" s="45">
        <v>0</v>
      </c>
      <c r="H473" s="45">
        <v>66172</v>
      </c>
      <c r="I473" s="45">
        <v>0</v>
      </c>
      <c r="J473" s="45">
        <v>57375</v>
      </c>
      <c r="K473" s="45">
        <v>0</v>
      </c>
      <c r="L473" s="45">
        <v>48957</v>
      </c>
      <c r="M473" s="45">
        <v>0</v>
      </c>
      <c r="N473" s="45">
        <v>40864</v>
      </c>
      <c r="O473" s="45">
        <v>0</v>
      </c>
      <c r="P473" s="45">
        <v>33624</v>
      </c>
      <c r="Q473" s="45">
        <v>0</v>
      </c>
      <c r="R473" s="45">
        <v>27050</v>
      </c>
      <c r="S473" s="45">
        <v>0</v>
      </c>
      <c r="T473" s="45">
        <v>77769</v>
      </c>
      <c r="U473" s="45">
        <v>10539</v>
      </c>
    </row>
    <row r="474" spans="1:21" ht="16.05" customHeight="1">
      <c r="A474" s="58" t="s">
        <v>2023</v>
      </c>
      <c r="B474" s="58" t="s">
        <v>1866</v>
      </c>
      <c r="C474" s="45">
        <v>170</v>
      </c>
      <c r="D474" s="45">
        <v>66771</v>
      </c>
      <c r="E474" s="45">
        <v>0</v>
      </c>
      <c r="F474" s="45">
        <v>57758</v>
      </c>
      <c r="G474" s="45">
        <v>0</v>
      </c>
      <c r="H474" s="45">
        <v>49774</v>
      </c>
      <c r="I474" s="45">
        <v>0</v>
      </c>
      <c r="J474" s="45">
        <v>42286</v>
      </c>
      <c r="K474" s="45">
        <v>0</v>
      </c>
      <c r="L474" s="45">
        <v>35362</v>
      </c>
      <c r="M474" s="45">
        <v>0</v>
      </c>
      <c r="N474" s="45">
        <v>29227</v>
      </c>
      <c r="O474" s="45">
        <v>0</v>
      </c>
      <c r="P474" s="45">
        <v>23533</v>
      </c>
      <c r="Q474" s="45">
        <v>0</v>
      </c>
      <c r="R474" s="45">
        <v>18629</v>
      </c>
      <c r="S474" s="45">
        <v>0</v>
      </c>
      <c r="T474" s="45">
        <v>44085</v>
      </c>
      <c r="U474" s="45">
        <v>8731</v>
      </c>
    </row>
    <row r="475" spans="1:21" ht="16.05" customHeight="1">
      <c r="A475" s="58" t="s">
        <v>2023</v>
      </c>
      <c r="B475" s="58" t="s">
        <v>1867</v>
      </c>
      <c r="C475" s="45">
        <v>59</v>
      </c>
      <c r="D475" s="45">
        <v>22981</v>
      </c>
      <c r="E475" s="45">
        <v>0</v>
      </c>
      <c r="F475" s="45">
        <v>15142</v>
      </c>
      <c r="G475" s="45">
        <v>0</v>
      </c>
      <c r="H475" s="45">
        <v>7858</v>
      </c>
      <c r="I475" s="45">
        <v>0</v>
      </c>
      <c r="J475" s="45">
        <v>4378</v>
      </c>
      <c r="K475" s="45">
        <v>0</v>
      </c>
      <c r="L475" s="45">
        <v>2010</v>
      </c>
      <c r="M475" s="45">
        <v>0</v>
      </c>
      <c r="N475" s="45">
        <v>147</v>
      </c>
      <c r="O475" s="45">
        <v>0</v>
      </c>
      <c r="P475" s="45">
        <v>57</v>
      </c>
      <c r="Q475" s="45">
        <v>0</v>
      </c>
      <c r="R475" s="45">
        <v>0</v>
      </c>
      <c r="S475" s="45">
        <v>0</v>
      </c>
      <c r="T475" s="45">
        <v>0</v>
      </c>
      <c r="U475" s="45">
        <v>7779</v>
      </c>
    </row>
    <row r="476" spans="1:21" ht="16.05" customHeight="1">
      <c r="A476" s="58" t="s">
        <v>2023</v>
      </c>
      <c r="B476" s="58" t="s">
        <v>1868</v>
      </c>
      <c r="C476" s="45">
        <v>52</v>
      </c>
      <c r="D476" s="45">
        <v>25910</v>
      </c>
      <c r="E476" s="45">
        <v>0</v>
      </c>
      <c r="F476" s="45">
        <v>19380</v>
      </c>
      <c r="G476" s="45">
        <v>0</v>
      </c>
      <c r="H476" s="45">
        <v>13385</v>
      </c>
      <c r="I476" s="45">
        <v>0</v>
      </c>
      <c r="J476" s="45">
        <v>8575</v>
      </c>
      <c r="K476" s="45">
        <v>0</v>
      </c>
      <c r="L476" s="45">
        <v>4533</v>
      </c>
      <c r="M476" s="45">
        <v>0</v>
      </c>
      <c r="N476" s="45">
        <v>2384</v>
      </c>
      <c r="O476" s="45">
        <v>0</v>
      </c>
      <c r="P476" s="45">
        <v>949</v>
      </c>
      <c r="Q476" s="45">
        <v>0</v>
      </c>
      <c r="R476" s="45">
        <v>461</v>
      </c>
      <c r="S476" s="45">
        <v>0</v>
      </c>
      <c r="T476" s="45">
        <v>239</v>
      </c>
      <c r="U476" s="45">
        <v>6366</v>
      </c>
    </row>
    <row r="477" spans="1:21" ht="16.05" customHeight="1">
      <c r="A477" s="58" t="s">
        <v>2023</v>
      </c>
      <c r="B477" s="58" t="s">
        <v>1869</v>
      </c>
      <c r="C477" s="45">
        <v>18</v>
      </c>
      <c r="D477" s="45">
        <v>7263</v>
      </c>
      <c r="E477" s="45">
        <v>0</v>
      </c>
      <c r="F477" s="45">
        <v>3612</v>
      </c>
      <c r="G477" s="45">
        <v>0</v>
      </c>
      <c r="H477" s="45">
        <v>1691</v>
      </c>
      <c r="I477" s="45">
        <v>0</v>
      </c>
      <c r="J477" s="45">
        <v>132</v>
      </c>
      <c r="K477" s="45">
        <v>0</v>
      </c>
      <c r="L477" s="45">
        <v>0</v>
      </c>
      <c r="M477" s="45">
        <v>0</v>
      </c>
      <c r="N477" s="45">
        <v>0</v>
      </c>
      <c r="O477" s="45">
        <v>0</v>
      </c>
      <c r="P477" s="45">
        <v>0</v>
      </c>
      <c r="Q477" s="45">
        <v>0</v>
      </c>
      <c r="R477" s="45">
        <v>0</v>
      </c>
      <c r="S477" s="45">
        <v>0</v>
      </c>
      <c r="T477" s="45">
        <v>0</v>
      </c>
      <c r="U477" s="45">
        <v>3645</v>
      </c>
    </row>
    <row r="478" spans="1:21" ht="16.05" customHeight="1">
      <c r="A478" s="58" t="s">
        <v>2023</v>
      </c>
      <c r="B478" s="58" t="s">
        <v>1870</v>
      </c>
      <c r="C478" s="45">
        <v>32</v>
      </c>
      <c r="D478" s="45">
        <v>14666</v>
      </c>
      <c r="E478" s="45">
        <v>1</v>
      </c>
      <c r="F478" s="45">
        <v>11294</v>
      </c>
      <c r="G478" s="45">
        <v>0</v>
      </c>
      <c r="H478" s="45">
        <v>8420</v>
      </c>
      <c r="I478" s="45">
        <v>0</v>
      </c>
      <c r="J478" s="45">
        <v>5872</v>
      </c>
      <c r="K478" s="45">
        <v>0</v>
      </c>
      <c r="L478" s="45">
        <v>3453</v>
      </c>
      <c r="M478" s="45">
        <v>0</v>
      </c>
      <c r="N478" s="45">
        <v>1403</v>
      </c>
      <c r="O478" s="45">
        <v>0</v>
      </c>
      <c r="P478" s="45">
        <v>0</v>
      </c>
      <c r="Q478" s="45">
        <v>0</v>
      </c>
      <c r="R478" s="45">
        <v>0</v>
      </c>
      <c r="S478" s="45">
        <v>0</v>
      </c>
      <c r="T478" s="45">
        <v>0</v>
      </c>
      <c r="U478" s="45">
        <v>3296</v>
      </c>
    </row>
    <row r="479" spans="1:21" ht="16.05" customHeight="1">
      <c r="A479" s="58" t="s">
        <v>2023</v>
      </c>
      <c r="B479" s="58" t="s">
        <v>1871</v>
      </c>
      <c r="C479" s="45">
        <v>74</v>
      </c>
      <c r="D479" s="45">
        <v>29517</v>
      </c>
      <c r="E479" s="45">
        <v>1</v>
      </c>
      <c r="F479" s="45">
        <v>23743</v>
      </c>
      <c r="G479" s="45">
        <v>0</v>
      </c>
      <c r="H479" s="45">
        <v>18527</v>
      </c>
      <c r="I479" s="45">
        <v>0</v>
      </c>
      <c r="J479" s="45">
        <v>13979</v>
      </c>
      <c r="K479" s="45">
        <v>0</v>
      </c>
      <c r="L479" s="45">
        <v>9714</v>
      </c>
      <c r="M479" s="45">
        <v>0</v>
      </c>
      <c r="N479" s="45">
        <v>6190</v>
      </c>
      <c r="O479" s="45">
        <v>0</v>
      </c>
      <c r="P479" s="45">
        <v>3692</v>
      </c>
      <c r="Q479" s="45">
        <v>0</v>
      </c>
      <c r="R479" s="45">
        <v>2030</v>
      </c>
      <c r="S479" s="45">
        <v>0</v>
      </c>
      <c r="T479" s="45">
        <v>2173</v>
      </c>
      <c r="U479" s="45">
        <v>5662</v>
      </c>
    </row>
    <row r="480" spans="1:21" ht="16.05" customHeight="1">
      <c r="A480" s="58" t="s">
        <v>2023</v>
      </c>
      <c r="B480" s="58" t="s">
        <v>1872</v>
      </c>
      <c r="C480" s="45">
        <v>35</v>
      </c>
      <c r="D480" s="45">
        <v>18240</v>
      </c>
      <c r="E480" s="45">
        <v>0</v>
      </c>
      <c r="F480" s="45">
        <v>13212</v>
      </c>
      <c r="G480" s="45">
        <v>0</v>
      </c>
      <c r="H480" s="45">
        <v>8806</v>
      </c>
      <c r="I480" s="45">
        <v>0</v>
      </c>
      <c r="J480" s="45">
        <v>4748</v>
      </c>
      <c r="K480" s="45">
        <v>0</v>
      </c>
      <c r="L480" s="45">
        <v>1505</v>
      </c>
      <c r="M480" s="45">
        <v>0</v>
      </c>
      <c r="N480" s="45">
        <v>822</v>
      </c>
      <c r="O480" s="45">
        <v>0</v>
      </c>
      <c r="P480" s="45">
        <v>429</v>
      </c>
      <c r="Q480" s="45">
        <v>0</v>
      </c>
      <c r="R480" s="45">
        <v>139</v>
      </c>
      <c r="S480" s="45">
        <v>0</v>
      </c>
      <c r="T480" s="45">
        <v>0</v>
      </c>
      <c r="U480" s="45">
        <v>4971</v>
      </c>
    </row>
    <row r="481" spans="1:21" ht="16.05" customHeight="1">
      <c r="A481" s="58" t="s">
        <v>2023</v>
      </c>
      <c r="B481" s="58" t="s">
        <v>1873</v>
      </c>
      <c r="C481" s="45">
        <v>35</v>
      </c>
      <c r="D481" s="45">
        <v>11731</v>
      </c>
      <c r="E481" s="45">
        <v>0</v>
      </c>
      <c r="F481" s="45">
        <v>7109</v>
      </c>
      <c r="G481" s="45">
        <v>0</v>
      </c>
      <c r="H481" s="45">
        <v>3651</v>
      </c>
      <c r="I481" s="45">
        <v>0</v>
      </c>
      <c r="J481" s="45">
        <v>1038</v>
      </c>
      <c r="K481" s="45">
        <v>0</v>
      </c>
      <c r="L481" s="45">
        <v>375</v>
      </c>
      <c r="M481" s="45">
        <v>0</v>
      </c>
      <c r="N481" s="45">
        <v>61</v>
      </c>
      <c r="O481" s="45">
        <v>0</v>
      </c>
      <c r="P481" s="45">
        <v>0</v>
      </c>
      <c r="Q481" s="45">
        <v>0</v>
      </c>
      <c r="R481" s="45">
        <v>0</v>
      </c>
      <c r="S481" s="45">
        <v>0</v>
      </c>
      <c r="T481" s="45">
        <v>0</v>
      </c>
      <c r="U481" s="45">
        <v>4565</v>
      </c>
    </row>
    <row r="482" spans="1:21" ht="16.05" customHeight="1">
      <c r="A482" s="58" t="s">
        <v>2023</v>
      </c>
      <c r="B482" s="58" t="s">
        <v>1874</v>
      </c>
      <c r="C482" s="45">
        <v>60</v>
      </c>
      <c r="D482" s="45">
        <v>26742</v>
      </c>
      <c r="E482" s="45">
        <v>0</v>
      </c>
      <c r="F482" s="45">
        <v>20924</v>
      </c>
      <c r="G482" s="45">
        <v>0</v>
      </c>
      <c r="H482" s="45">
        <v>15902</v>
      </c>
      <c r="I482" s="45">
        <v>0</v>
      </c>
      <c r="J482" s="45">
        <v>11724</v>
      </c>
      <c r="K482" s="45">
        <v>0</v>
      </c>
      <c r="L482" s="45">
        <v>8141</v>
      </c>
      <c r="M482" s="45">
        <v>0</v>
      </c>
      <c r="N482" s="45">
        <v>5463</v>
      </c>
      <c r="O482" s="45">
        <v>0</v>
      </c>
      <c r="P482" s="45">
        <v>3213</v>
      </c>
      <c r="Q482" s="45">
        <v>0</v>
      </c>
      <c r="R482" s="45">
        <v>1617</v>
      </c>
      <c r="S482" s="45">
        <v>0</v>
      </c>
      <c r="T482" s="45">
        <v>1191</v>
      </c>
      <c r="U482" s="45">
        <v>5727</v>
      </c>
    </row>
    <row r="483" spans="1:21" ht="16.05" customHeight="1">
      <c r="A483" s="58" t="s">
        <v>2023</v>
      </c>
      <c r="B483" s="58" t="s">
        <v>1875</v>
      </c>
      <c r="C483" s="45">
        <v>63</v>
      </c>
      <c r="D483" s="45">
        <v>30433</v>
      </c>
      <c r="E483" s="45">
        <v>0</v>
      </c>
      <c r="F483" s="45">
        <v>24369</v>
      </c>
      <c r="G483" s="45">
        <v>0</v>
      </c>
      <c r="H483" s="45">
        <v>18837</v>
      </c>
      <c r="I483" s="45">
        <v>0</v>
      </c>
      <c r="J483" s="45">
        <v>14309</v>
      </c>
      <c r="K483" s="45">
        <v>0</v>
      </c>
      <c r="L483" s="45">
        <v>11092</v>
      </c>
      <c r="M483" s="45">
        <v>0</v>
      </c>
      <c r="N483" s="45">
        <v>8317</v>
      </c>
      <c r="O483" s="45">
        <v>0</v>
      </c>
      <c r="P483" s="45">
        <v>5756</v>
      </c>
      <c r="Q483" s="45">
        <v>0</v>
      </c>
      <c r="R483" s="45">
        <v>3512</v>
      </c>
      <c r="S483" s="45">
        <v>0</v>
      </c>
      <c r="T483" s="45">
        <v>2356</v>
      </c>
      <c r="U483" s="45">
        <v>5988</v>
      </c>
    </row>
    <row r="484" spans="1:21" ht="16.05" customHeight="1">
      <c r="A484" s="58" t="s">
        <v>2023</v>
      </c>
      <c r="B484" s="58" t="s">
        <v>1876</v>
      </c>
      <c r="C484" s="45">
        <v>42</v>
      </c>
      <c r="D484" s="45">
        <v>20961</v>
      </c>
      <c r="E484" s="45">
        <v>0</v>
      </c>
      <c r="F484" s="45">
        <v>15149</v>
      </c>
      <c r="G484" s="45">
        <v>0</v>
      </c>
      <c r="H484" s="45">
        <v>10098</v>
      </c>
      <c r="I484" s="45">
        <v>0</v>
      </c>
      <c r="J484" s="45">
        <v>6070</v>
      </c>
      <c r="K484" s="45">
        <v>0</v>
      </c>
      <c r="L484" s="45">
        <v>3246</v>
      </c>
      <c r="M484" s="45">
        <v>0</v>
      </c>
      <c r="N484" s="45">
        <v>1436</v>
      </c>
      <c r="O484" s="45">
        <v>0</v>
      </c>
      <c r="P484" s="45">
        <v>561</v>
      </c>
      <c r="Q484" s="45">
        <v>0</v>
      </c>
      <c r="R484" s="45">
        <v>211</v>
      </c>
      <c r="S484" s="45">
        <v>0</v>
      </c>
      <c r="T484" s="45">
        <v>0</v>
      </c>
      <c r="U484" s="45">
        <v>5722</v>
      </c>
    </row>
    <row r="485" spans="1:21" ht="16.05" customHeight="1">
      <c r="A485" s="58" t="s">
        <v>2023</v>
      </c>
      <c r="B485" s="58" t="s">
        <v>1877</v>
      </c>
      <c r="C485" s="45">
        <v>48</v>
      </c>
      <c r="D485" s="45">
        <v>23562</v>
      </c>
      <c r="E485" s="45">
        <v>0</v>
      </c>
      <c r="F485" s="45">
        <v>17290</v>
      </c>
      <c r="G485" s="45">
        <v>0</v>
      </c>
      <c r="H485" s="45">
        <v>12383</v>
      </c>
      <c r="I485" s="45">
        <v>0</v>
      </c>
      <c r="J485" s="45">
        <v>8033</v>
      </c>
      <c r="K485" s="45">
        <v>0</v>
      </c>
      <c r="L485" s="45">
        <v>4770</v>
      </c>
      <c r="M485" s="45">
        <v>0</v>
      </c>
      <c r="N485" s="45">
        <v>2603</v>
      </c>
      <c r="O485" s="45">
        <v>0</v>
      </c>
      <c r="P485" s="45">
        <v>1042</v>
      </c>
      <c r="Q485" s="45">
        <v>0</v>
      </c>
      <c r="R485" s="45">
        <v>451</v>
      </c>
      <c r="S485" s="45">
        <v>0</v>
      </c>
      <c r="T485" s="45">
        <v>56</v>
      </c>
      <c r="U485" s="45">
        <v>6159</v>
      </c>
    </row>
    <row r="486" spans="1:21" ht="16.05" customHeight="1">
      <c r="A486" s="58" t="s">
        <v>2023</v>
      </c>
      <c r="B486" s="58" t="s">
        <v>1878</v>
      </c>
      <c r="C486" s="45">
        <v>86</v>
      </c>
      <c r="D486" s="45">
        <v>30865</v>
      </c>
      <c r="E486" s="45">
        <v>0</v>
      </c>
      <c r="F486" s="45">
        <v>23904</v>
      </c>
      <c r="G486" s="45">
        <v>0</v>
      </c>
      <c r="H486" s="45">
        <v>18734</v>
      </c>
      <c r="I486" s="45">
        <v>0</v>
      </c>
      <c r="J486" s="45">
        <v>13986</v>
      </c>
      <c r="K486" s="45">
        <v>0</v>
      </c>
      <c r="L486" s="45">
        <v>10296</v>
      </c>
      <c r="M486" s="45">
        <v>0</v>
      </c>
      <c r="N486" s="45">
        <v>6911</v>
      </c>
      <c r="O486" s="45">
        <v>0</v>
      </c>
      <c r="P486" s="45">
        <v>4043</v>
      </c>
      <c r="Q486" s="45">
        <v>0</v>
      </c>
      <c r="R486" s="45">
        <v>1966</v>
      </c>
      <c r="S486" s="45">
        <v>0</v>
      </c>
      <c r="T486" s="45">
        <v>886</v>
      </c>
      <c r="U486" s="45">
        <v>6805</v>
      </c>
    </row>
    <row r="487" spans="1:21" ht="16.05" customHeight="1">
      <c r="A487" s="58" t="s">
        <v>2023</v>
      </c>
      <c r="B487" s="58" t="s">
        <v>1879</v>
      </c>
      <c r="C487" s="45">
        <v>94</v>
      </c>
      <c r="D487" s="45">
        <v>39485</v>
      </c>
      <c r="E487" s="45">
        <v>2</v>
      </c>
      <c r="F487" s="45">
        <v>31920</v>
      </c>
      <c r="G487" s="45">
        <v>0</v>
      </c>
      <c r="H487" s="45">
        <v>26112</v>
      </c>
      <c r="I487" s="45">
        <v>0</v>
      </c>
      <c r="J487" s="45">
        <v>21020</v>
      </c>
      <c r="K487" s="45">
        <v>0</v>
      </c>
      <c r="L487" s="45">
        <v>16506</v>
      </c>
      <c r="M487" s="45">
        <v>0</v>
      </c>
      <c r="N487" s="45">
        <v>12618</v>
      </c>
      <c r="O487" s="45">
        <v>0</v>
      </c>
      <c r="P487" s="45">
        <v>9191</v>
      </c>
      <c r="Q487" s="45">
        <v>0</v>
      </c>
      <c r="R487" s="45">
        <v>6284</v>
      </c>
      <c r="S487" s="45">
        <v>0</v>
      </c>
      <c r="T487" s="45">
        <v>7504</v>
      </c>
      <c r="U487" s="45">
        <v>7409</v>
      </c>
    </row>
    <row r="488" spans="1:21" ht="16.05" customHeight="1">
      <c r="A488" s="58" t="s">
        <v>2023</v>
      </c>
      <c r="B488" s="58" t="s">
        <v>1880</v>
      </c>
      <c r="C488" s="45">
        <v>133</v>
      </c>
      <c r="D488" s="45">
        <v>45646</v>
      </c>
      <c r="E488" s="45">
        <v>2</v>
      </c>
      <c r="F488" s="45">
        <v>37091</v>
      </c>
      <c r="G488" s="45">
        <v>0</v>
      </c>
      <c r="H488" s="45">
        <v>29458</v>
      </c>
      <c r="I488" s="45">
        <v>0</v>
      </c>
      <c r="J488" s="45">
        <v>22669</v>
      </c>
      <c r="K488" s="45">
        <v>0</v>
      </c>
      <c r="L488" s="45">
        <v>17236</v>
      </c>
      <c r="M488" s="45">
        <v>0</v>
      </c>
      <c r="N488" s="45">
        <v>12921</v>
      </c>
      <c r="O488" s="45">
        <v>0</v>
      </c>
      <c r="P488" s="45">
        <v>9142</v>
      </c>
      <c r="Q488" s="45">
        <v>0</v>
      </c>
      <c r="R488" s="45">
        <v>5882</v>
      </c>
      <c r="S488" s="45">
        <v>0</v>
      </c>
      <c r="T488" s="45">
        <v>5734</v>
      </c>
      <c r="U488" s="45">
        <v>8370</v>
      </c>
    </row>
    <row r="489" spans="1:21" ht="16.05" customHeight="1">
      <c r="A489" s="58" t="s">
        <v>2023</v>
      </c>
      <c r="B489" s="58" t="s">
        <v>1881</v>
      </c>
      <c r="C489" s="45">
        <v>72</v>
      </c>
      <c r="D489" s="45">
        <v>33592</v>
      </c>
      <c r="E489" s="45">
        <v>0</v>
      </c>
      <c r="F489" s="45">
        <v>25816</v>
      </c>
      <c r="G489" s="45">
        <v>0</v>
      </c>
      <c r="H489" s="45">
        <v>20002</v>
      </c>
      <c r="I489" s="45">
        <v>0</v>
      </c>
      <c r="J489" s="45">
        <v>15084</v>
      </c>
      <c r="K489" s="45">
        <v>0</v>
      </c>
      <c r="L489" s="45">
        <v>10816</v>
      </c>
      <c r="M489" s="45">
        <v>0</v>
      </c>
      <c r="N489" s="45">
        <v>7361</v>
      </c>
      <c r="O489" s="45">
        <v>0</v>
      </c>
      <c r="P489" s="45">
        <v>4507</v>
      </c>
      <c r="Q489" s="45">
        <v>0</v>
      </c>
      <c r="R489" s="45">
        <v>2368</v>
      </c>
      <c r="S489" s="45">
        <v>0</v>
      </c>
      <c r="T489" s="45">
        <v>1129</v>
      </c>
      <c r="U489" s="45">
        <v>7627</v>
      </c>
    </row>
    <row r="490" spans="1:21" ht="16.05" customHeight="1">
      <c r="A490" s="58" t="s">
        <v>2023</v>
      </c>
      <c r="B490" s="58" t="s">
        <v>1882</v>
      </c>
      <c r="C490" s="45">
        <v>37</v>
      </c>
      <c r="D490" s="45">
        <v>13745</v>
      </c>
      <c r="E490" s="45">
        <v>0</v>
      </c>
      <c r="F490" s="45">
        <v>8595</v>
      </c>
      <c r="G490" s="45">
        <v>0</v>
      </c>
      <c r="H490" s="45">
        <v>4586</v>
      </c>
      <c r="I490" s="45">
        <v>0</v>
      </c>
      <c r="J490" s="45">
        <v>1929</v>
      </c>
      <c r="K490" s="45">
        <v>0</v>
      </c>
      <c r="L490" s="45">
        <v>589</v>
      </c>
      <c r="M490" s="45">
        <v>0</v>
      </c>
      <c r="N490" s="45">
        <v>118</v>
      </c>
      <c r="O490" s="45">
        <v>0</v>
      </c>
      <c r="P490" s="45">
        <v>0</v>
      </c>
      <c r="Q490" s="45">
        <v>0</v>
      </c>
      <c r="R490" s="45">
        <v>0</v>
      </c>
      <c r="S490" s="45">
        <v>0</v>
      </c>
      <c r="T490" s="45">
        <v>0</v>
      </c>
      <c r="U490" s="45">
        <v>5105</v>
      </c>
    </row>
    <row r="491" spans="1:21" ht="16.05" customHeight="1">
      <c r="A491" s="58" t="s">
        <v>2023</v>
      </c>
      <c r="B491" s="58" t="s">
        <v>1883</v>
      </c>
      <c r="C491" s="45">
        <v>47</v>
      </c>
      <c r="D491" s="45">
        <v>19064</v>
      </c>
      <c r="E491" s="45">
        <v>0</v>
      </c>
      <c r="F491" s="45">
        <v>14056</v>
      </c>
      <c r="G491" s="45">
        <v>0</v>
      </c>
      <c r="H491" s="45">
        <v>10012</v>
      </c>
      <c r="I491" s="45">
        <v>0</v>
      </c>
      <c r="J491" s="45">
        <v>6403</v>
      </c>
      <c r="K491" s="45">
        <v>0</v>
      </c>
      <c r="L491" s="45">
        <v>3179</v>
      </c>
      <c r="M491" s="45">
        <v>0</v>
      </c>
      <c r="N491" s="45">
        <v>1843</v>
      </c>
      <c r="O491" s="45">
        <v>0</v>
      </c>
      <c r="P491" s="45">
        <v>889</v>
      </c>
      <c r="Q491" s="45">
        <v>0</v>
      </c>
      <c r="R491" s="45">
        <v>204</v>
      </c>
      <c r="S491" s="45">
        <v>0</v>
      </c>
      <c r="T491" s="45">
        <v>0</v>
      </c>
      <c r="U491" s="45">
        <v>4970</v>
      </c>
    </row>
    <row r="492" spans="1:21" ht="16.05" customHeight="1">
      <c r="A492" s="58" t="s">
        <v>2023</v>
      </c>
      <c r="B492" s="58" t="s">
        <v>1884</v>
      </c>
      <c r="C492" s="45">
        <v>95</v>
      </c>
      <c r="D492" s="45">
        <v>46068</v>
      </c>
      <c r="E492" s="45">
        <v>1</v>
      </c>
      <c r="F492" s="45">
        <v>39382</v>
      </c>
      <c r="G492" s="45">
        <v>0</v>
      </c>
      <c r="H492" s="45">
        <v>33158</v>
      </c>
      <c r="I492" s="45">
        <v>0</v>
      </c>
      <c r="J492" s="45">
        <v>27341</v>
      </c>
      <c r="K492" s="45">
        <v>0</v>
      </c>
      <c r="L492" s="45">
        <v>21851</v>
      </c>
      <c r="M492" s="45">
        <v>0</v>
      </c>
      <c r="N492" s="45">
        <v>16724</v>
      </c>
      <c r="O492" s="45">
        <v>0</v>
      </c>
      <c r="P492" s="45">
        <v>11975</v>
      </c>
      <c r="Q492" s="45">
        <v>0</v>
      </c>
      <c r="R492" s="45">
        <v>7649</v>
      </c>
      <c r="S492" s="45">
        <v>0</v>
      </c>
      <c r="T492" s="45">
        <v>14886</v>
      </c>
      <c r="U492" s="45">
        <v>6511</v>
      </c>
    </row>
    <row r="493" spans="1:21" ht="16.05" customHeight="1">
      <c r="A493" s="58" t="s">
        <v>2023</v>
      </c>
      <c r="B493" s="58" t="s">
        <v>1885</v>
      </c>
      <c r="C493" s="45">
        <v>46</v>
      </c>
      <c r="D493" s="45">
        <v>19493</v>
      </c>
      <c r="E493" s="45">
        <v>0</v>
      </c>
      <c r="F493" s="45">
        <v>14094</v>
      </c>
      <c r="G493" s="45">
        <v>0</v>
      </c>
      <c r="H493" s="45">
        <v>10315</v>
      </c>
      <c r="I493" s="45">
        <v>0</v>
      </c>
      <c r="J493" s="45">
        <v>7410</v>
      </c>
      <c r="K493" s="45">
        <v>0</v>
      </c>
      <c r="L493" s="45">
        <v>4779</v>
      </c>
      <c r="M493" s="45">
        <v>0</v>
      </c>
      <c r="N493" s="45">
        <v>2529</v>
      </c>
      <c r="O493" s="45">
        <v>0</v>
      </c>
      <c r="P493" s="45">
        <v>665</v>
      </c>
      <c r="Q493" s="45">
        <v>0</v>
      </c>
      <c r="R493" s="45">
        <v>83</v>
      </c>
      <c r="S493" s="45">
        <v>0</v>
      </c>
      <c r="T493" s="45">
        <v>0</v>
      </c>
      <c r="U493" s="45">
        <v>5309</v>
      </c>
    </row>
    <row r="494" spans="1:21" ht="16.05" customHeight="1">
      <c r="A494" s="58" t="s">
        <v>2023</v>
      </c>
      <c r="B494" s="58" t="s">
        <v>1886</v>
      </c>
      <c r="C494" s="45">
        <v>26</v>
      </c>
      <c r="D494" s="45">
        <v>11197</v>
      </c>
      <c r="E494" s="45">
        <v>0</v>
      </c>
      <c r="F494" s="45">
        <v>6433</v>
      </c>
      <c r="G494" s="45">
        <v>0</v>
      </c>
      <c r="H494" s="45">
        <v>3393</v>
      </c>
      <c r="I494" s="45">
        <v>0</v>
      </c>
      <c r="J494" s="45">
        <v>1220</v>
      </c>
      <c r="K494" s="45">
        <v>0</v>
      </c>
      <c r="L494" s="45">
        <v>172</v>
      </c>
      <c r="M494" s="45">
        <v>0</v>
      </c>
      <c r="N494" s="45">
        <v>0</v>
      </c>
      <c r="O494" s="45">
        <v>0</v>
      </c>
      <c r="P494" s="45">
        <v>0</v>
      </c>
      <c r="Q494" s="45">
        <v>0</v>
      </c>
      <c r="R494" s="45">
        <v>0</v>
      </c>
      <c r="S494" s="45">
        <v>0</v>
      </c>
      <c r="T494" s="45">
        <v>0</v>
      </c>
      <c r="U494" s="45">
        <v>4722</v>
      </c>
    </row>
    <row r="495" spans="1:21" ht="16.05" customHeight="1">
      <c r="A495" s="58" t="s">
        <v>2023</v>
      </c>
      <c r="B495" s="58" t="s">
        <v>1887</v>
      </c>
      <c r="C495" s="45">
        <v>43</v>
      </c>
      <c r="D495" s="45">
        <v>18289</v>
      </c>
      <c r="E495" s="45">
        <v>1</v>
      </c>
      <c r="F495" s="45">
        <v>13282</v>
      </c>
      <c r="G495" s="45">
        <v>0</v>
      </c>
      <c r="H495" s="45">
        <v>9433</v>
      </c>
      <c r="I495" s="45">
        <v>0</v>
      </c>
      <c r="J495" s="45">
        <v>6004</v>
      </c>
      <c r="K495" s="45">
        <v>0</v>
      </c>
      <c r="L495" s="45">
        <v>3405</v>
      </c>
      <c r="M495" s="45">
        <v>0</v>
      </c>
      <c r="N495" s="45">
        <v>1666</v>
      </c>
      <c r="O495" s="45">
        <v>0</v>
      </c>
      <c r="P495" s="45">
        <v>767</v>
      </c>
      <c r="Q495" s="45">
        <v>0</v>
      </c>
      <c r="R495" s="45">
        <v>148</v>
      </c>
      <c r="S495" s="45">
        <v>0</v>
      </c>
      <c r="T495" s="45">
        <v>0</v>
      </c>
      <c r="U495" s="45">
        <v>4906</v>
      </c>
    </row>
    <row r="496" spans="1:21" ht="16.05" customHeight="1">
      <c r="A496" s="58" t="s">
        <v>2023</v>
      </c>
      <c r="B496" s="58" t="s">
        <v>1888</v>
      </c>
      <c r="C496" s="45">
        <v>76</v>
      </c>
      <c r="D496" s="45">
        <v>38945</v>
      </c>
      <c r="E496" s="45">
        <v>0</v>
      </c>
      <c r="F496" s="45">
        <v>31604</v>
      </c>
      <c r="G496" s="45">
        <v>0</v>
      </c>
      <c r="H496" s="45">
        <v>24911</v>
      </c>
      <c r="I496" s="45">
        <v>0</v>
      </c>
      <c r="J496" s="45">
        <v>18660</v>
      </c>
      <c r="K496" s="45">
        <v>0</v>
      </c>
      <c r="L496" s="45">
        <v>13378</v>
      </c>
      <c r="M496" s="45">
        <v>0</v>
      </c>
      <c r="N496" s="45">
        <v>8905</v>
      </c>
      <c r="O496" s="45">
        <v>0</v>
      </c>
      <c r="P496" s="45">
        <v>4982</v>
      </c>
      <c r="Q496" s="45">
        <v>0</v>
      </c>
      <c r="R496" s="45">
        <v>2422</v>
      </c>
      <c r="S496" s="45">
        <v>0</v>
      </c>
      <c r="T496" s="45">
        <v>3098</v>
      </c>
      <c r="U496" s="45">
        <v>7131</v>
      </c>
    </row>
    <row r="497" spans="1:21" ht="16.05" customHeight="1">
      <c r="A497" s="58" t="s">
        <v>2023</v>
      </c>
      <c r="B497" s="58" t="s">
        <v>1889</v>
      </c>
      <c r="C497" s="45">
        <v>143</v>
      </c>
      <c r="D497" s="45">
        <v>52905</v>
      </c>
      <c r="E497" s="45">
        <v>0</v>
      </c>
      <c r="F497" s="45">
        <v>44704</v>
      </c>
      <c r="G497" s="45">
        <v>0</v>
      </c>
      <c r="H497" s="45">
        <v>37005</v>
      </c>
      <c r="I497" s="45">
        <v>0</v>
      </c>
      <c r="J497" s="45">
        <v>29978</v>
      </c>
      <c r="K497" s="45">
        <v>0</v>
      </c>
      <c r="L497" s="45">
        <v>23647</v>
      </c>
      <c r="M497" s="45">
        <v>0</v>
      </c>
      <c r="N497" s="45">
        <v>17818</v>
      </c>
      <c r="O497" s="45">
        <v>0</v>
      </c>
      <c r="P497" s="45">
        <v>13126</v>
      </c>
      <c r="Q497" s="45">
        <v>0</v>
      </c>
      <c r="R497" s="45">
        <v>9311</v>
      </c>
      <c r="S497" s="45">
        <v>0</v>
      </c>
      <c r="T497" s="45">
        <v>13491</v>
      </c>
      <c r="U497" s="45">
        <v>7998</v>
      </c>
    </row>
    <row r="498" spans="1:21" ht="16.05" customHeight="1">
      <c r="A498" s="58" t="s">
        <v>2023</v>
      </c>
      <c r="B498" s="58" t="s">
        <v>1890</v>
      </c>
      <c r="C498" s="45">
        <v>116</v>
      </c>
      <c r="D498" s="45">
        <v>54472</v>
      </c>
      <c r="E498" s="45">
        <v>0</v>
      </c>
      <c r="F498" s="45">
        <v>45239</v>
      </c>
      <c r="G498" s="45">
        <v>0</v>
      </c>
      <c r="H498" s="45">
        <v>37365</v>
      </c>
      <c r="I498" s="45">
        <v>0</v>
      </c>
      <c r="J498" s="45">
        <v>30090</v>
      </c>
      <c r="K498" s="45">
        <v>0</v>
      </c>
      <c r="L498" s="45">
        <v>23572</v>
      </c>
      <c r="M498" s="45">
        <v>0</v>
      </c>
      <c r="N498" s="45">
        <v>17809</v>
      </c>
      <c r="O498" s="45">
        <v>0</v>
      </c>
      <c r="P498" s="45">
        <v>13368</v>
      </c>
      <c r="Q498" s="45">
        <v>0</v>
      </c>
      <c r="R498" s="45">
        <v>9457</v>
      </c>
      <c r="S498" s="45">
        <v>0</v>
      </c>
      <c r="T498" s="45">
        <v>14147</v>
      </c>
      <c r="U498" s="45">
        <v>9077</v>
      </c>
    </row>
    <row r="499" spans="1:21" ht="16.05" customHeight="1">
      <c r="A499" s="58" t="s">
        <v>2023</v>
      </c>
      <c r="B499" s="58" t="s">
        <v>1891</v>
      </c>
      <c r="C499" s="45">
        <v>73</v>
      </c>
      <c r="D499" s="45">
        <v>31128</v>
      </c>
      <c r="E499" s="45">
        <v>0</v>
      </c>
      <c r="F499" s="45">
        <v>22474</v>
      </c>
      <c r="G499" s="45">
        <v>0</v>
      </c>
      <c r="H499" s="45">
        <v>14885</v>
      </c>
      <c r="I499" s="45">
        <v>0</v>
      </c>
      <c r="J499" s="45">
        <v>8345</v>
      </c>
      <c r="K499" s="45">
        <v>0</v>
      </c>
      <c r="L499" s="45">
        <v>3597</v>
      </c>
      <c r="M499" s="45">
        <v>0</v>
      </c>
      <c r="N499" s="45">
        <v>1342</v>
      </c>
      <c r="O499" s="45">
        <v>0</v>
      </c>
      <c r="P499" s="45">
        <v>574</v>
      </c>
      <c r="Q499" s="45">
        <v>0</v>
      </c>
      <c r="R499" s="45">
        <v>218</v>
      </c>
      <c r="S499" s="45">
        <v>0</v>
      </c>
      <c r="T499" s="45">
        <v>48</v>
      </c>
      <c r="U499" s="45">
        <v>8576</v>
      </c>
    </row>
    <row r="500" spans="1:21" ht="16.05" customHeight="1">
      <c r="A500" s="58" t="s">
        <v>2023</v>
      </c>
      <c r="B500" s="58" t="s">
        <v>1892</v>
      </c>
      <c r="C500" s="45">
        <v>68</v>
      </c>
      <c r="D500" s="45">
        <v>35487</v>
      </c>
      <c r="E500" s="45">
        <v>0</v>
      </c>
      <c r="F500" s="45">
        <v>28737</v>
      </c>
      <c r="G500" s="45">
        <v>0</v>
      </c>
      <c r="H500" s="45">
        <v>22695</v>
      </c>
      <c r="I500" s="45">
        <v>0</v>
      </c>
      <c r="J500" s="45">
        <v>17288</v>
      </c>
      <c r="K500" s="45">
        <v>0</v>
      </c>
      <c r="L500" s="45">
        <v>12808</v>
      </c>
      <c r="M500" s="45">
        <v>0</v>
      </c>
      <c r="N500" s="45">
        <v>8890</v>
      </c>
      <c r="O500" s="45">
        <v>0</v>
      </c>
      <c r="P500" s="45">
        <v>5727</v>
      </c>
      <c r="Q500" s="45">
        <v>0</v>
      </c>
      <c r="R500" s="45">
        <v>3427</v>
      </c>
      <c r="S500" s="45">
        <v>0</v>
      </c>
      <c r="T500" s="45">
        <v>3711</v>
      </c>
      <c r="U500" s="45">
        <v>6595</v>
      </c>
    </row>
    <row r="501" spans="1:21" ht="16.05" customHeight="1">
      <c r="A501" s="58" t="s">
        <v>2023</v>
      </c>
      <c r="B501" s="58" t="s">
        <v>1893</v>
      </c>
      <c r="C501" s="45">
        <v>109</v>
      </c>
      <c r="D501" s="45">
        <v>53359</v>
      </c>
      <c r="E501" s="45">
        <v>2</v>
      </c>
      <c r="F501" s="45">
        <v>44959</v>
      </c>
      <c r="G501" s="45">
        <v>0</v>
      </c>
      <c r="H501" s="45">
        <v>37153</v>
      </c>
      <c r="I501" s="45">
        <v>0</v>
      </c>
      <c r="J501" s="45">
        <v>30163</v>
      </c>
      <c r="K501" s="45">
        <v>0</v>
      </c>
      <c r="L501" s="45">
        <v>24143</v>
      </c>
      <c r="M501" s="45">
        <v>0</v>
      </c>
      <c r="N501" s="45">
        <v>18339</v>
      </c>
      <c r="O501" s="45">
        <v>0</v>
      </c>
      <c r="P501" s="45">
        <v>13047</v>
      </c>
      <c r="Q501" s="45">
        <v>0</v>
      </c>
      <c r="R501" s="45">
        <v>8573</v>
      </c>
      <c r="S501" s="45">
        <v>0</v>
      </c>
      <c r="T501" s="45">
        <v>12606</v>
      </c>
      <c r="U501" s="45">
        <v>8187</v>
      </c>
    </row>
    <row r="502" spans="1:21" ht="16.05" customHeight="1">
      <c r="A502" s="58" t="s">
        <v>2023</v>
      </c>
      <c r="B502" s="58" t="s">
        <v>1894</v>
      </c>
      <c r="C502" s="45">
        <v>98</v>
      </c>
      <c r="D502" s="45">
        <v>37905</v>
      </c>
      <c r="E502" s="45">
        <v>0</v>
      </c>
      <c r="F502" s="45">
        <v>31124</v>
      </c>
      <c r="G502" s="45">
        <v>0</v>
      </c>
      <c r="H502" s="45">
        <v>24770</v>
      </c>
      <c r="I502" s="45">
        <v>0</v>
      </c>
      <c r="J502" s="45">
        <v>19145</v>
      </c>
      <c r="K502" s="45">
        <v>0</v>
      </c>
      <c r="L502" s="45">
        <v>13942</v>
      </c>
      <c r="M502" s="45">
        <v>0</v>
      </c>
      <c r="N502" s="45">
        <v>9845</v>
      </c>
      <c r="O502" s="45">
        <v>0</v>
      </c>
      <c r="P502" s="45">
        <v>6528</v>
      </c>
      <c r="Q502" s="45">
        <v>0</v>
      </c>
      <c r="R502" s="45">
        <v>4042</v>
      </c>
      <c r="S502" s="45">
        <v>0</v>
      </c>
      <c r="T502" s="45">
        <v>4476</v>
      </c>
      <c r="U502" s="45">
        <v>6664</v>
      </c>
    </row>
    <row r="503" spans="1:21" ht="16.05" customHeight="1">
      <c r="A503" s="58" t="s">
        <v>2023</v>
      </c>
      <c r="B503" s="58" t="s">
        <v>1895</v>
      </c>
      <c r="C503" s="45">
        <v>95</v>
      </c>
      <c r="D503" s="45">
        <v>35188</v>
      </c>
      <c r="E503" s="45">
        <v>0</v>
      </c>
      <c r="F503" s="45">
        <v>27195</v>
      </c>
      <c r="G503" s="45">
        <v>0</v>
      </c>
      <c r="H503" s="45">
        <v>19884</v>
      </c>
      <c r="I503" s="45">
        <v>0</v>
      </c>
      <c r="J503" s="45">
        <v>13142</v>
      </c>
      <c r="K503" s="45">
        <v>0</v>
      </c>
      <c r="L503" s="45">
        <v>8331</v>
      </c>
      <c r="M503" s="45">
        <v>0</v>
      </c>
      <c r="N503" s="45">
        <v>4368</v>
      </c>
      <c r="O503" s="45">
        <v>0</v>
      </c>
      <c r="P503" s="45">
        <v>1974</v>
      </c>
      <c r="Q503" s="45">
        <v>0</v>
      </c>
      <c r="R503" s="45">
        <v>1014</v>
      </c>
      <c r="S503" s="45">
        <v>0</v>
      </c>
      <c r="T503" s="45">
        <v>612</v>
      </c>
      <c r="U503" s="45">
        <v>7879</v>
      </c>
    </row>
    <row r="504" spans="1:21" ht="16.05" customHeight="1">
      <c r="A504" s="58" t="s">
        <v>2023</v>
      </c>
      <c r="B504" s="58" t="s">
        <v>1896</v>
      </c>
      <c r="C504" s="45">
        <v>102</v>
      </c>
      <c r="D504" s="45">
        <v>49032</v>
      </c>
      <c r="E504" s="45">
        <v>0</v>
      </c>
      <c r="F504" s="45">
        <v>41007</v>
      </c>
      <c r="G504" s="45">
        <v>0</v>
      </c>
      <c r="H504" s="45">
        <v>33465</v>
      </c>
      <c r="I504" s="45">
        <v>0</v>
      </c>
      <c r="J504" s="45">
        <v>27172</v>
      </c>
      <c r="K504" s="45">
        <v>0</v>
      </c>
      <c r="L504" s="45">
        <v>21678</v>
      </c>
      <c r="M504" s="45">
        <v>0</v>
      </c>
      <c r="N504" s="45">
        <v>16884</v>
      </c>
      <c r="O504" s="45">
        <v>0</v>
      </c>
      <c r="P504" s="45">
        <v>12727</v>
      </c>
      <c r="Q504" s="45">
        <v>0</v>
      </c>
      <c r="R504" s="45">
        <v>9052</v>
      </c>
      <c r="S504" s="45">
        <v>0</v>
      </c>
      <c r="T504" s="45">
        <v>14498</v>
      </c>
      <c r="U504" s="45">
        <v>7833</v>
      </c>
    </row>
    <row r="505" spans="1:21" ht="16.05" customHeight="1">
      <c r="A505" s="58" t="s">
        <v>2023</v>
      </c>
      <c r="B505" s="58" t="s">
        <v>1897</v>
      </c>
      <c r="C505" s="45">
        <v>116</v>
      </c>
      <c r="D505" s="45">
        <v>42768</v>
      </c>
      <c r="E505" s="45">
        <v>1</v>
      </c>
      <c r="F505" s="45">
        <v>34389</v>
      </c>
      <c r="G505" s="45">
        <v>0</v>
      </c>
      <c r="H505" s="45">
        <v>26918</v>
      </c>
      <c r="I505" s="45">
        <v>0</v>
      </c>
      <c r="J505" s="45">
        <v>20491</v>
      </c>
      <c r="K505" s="45">
        <v>0</v>
      </c>
      <c r="L505" s="45">
        <v>14833</v>
      </c>
      <c r="M505" s="45">
        <v>0</v>
      </c>
      <c r="N505" s="45">
        <v>10618</v>
      </c>
      <c r="O505" s="45">
        <v>0</v>
      </c>
      <c r="P505" s="45">
        <v>7127</v>
      </c>
      <c r="Q505" s="45">
        <v>0</v>
      </c>
      <c r="R505" s="45">
        <v>4256</v>
      </c>
      <c r="S505" s="45">
        <v>0</v>
      </c>
      <c r="T505" s="45">
        <v>4167</v>
      </c>
      <c r="U505" s="45">
        <v>8170</v>
      </c>
    </row>
    <row r="506" spans="1:21" ht="16.05" customHeight="1">
      <c r="A506" s="58" t="s">
        <v>2023</v>
      </c>
      <c r="B506" s="58" t="s">
        <v>1898</v>
      </c>
      <c r="C506" s="45">
        <v>57</v>
      </c>
      <c r="D506" s="45">
        <v>21917</v>
      </c>
      <c r="E506" s="45">
        <v>0</v>
      </c>
      <c r="F506" s="45">
        <v>16199</v>
      </c>
      <c r="G506" s="45">
        <v>0</v>
      </c>
      <c r="H506" s="45">
        <v>11873</v>
      </c>
      <c r="I506" s="45">
        <v>0</v>
      </c>
      <c r="J506" s="45">
        <v>7757</v>
      </c>
      <c r="K506" s="45">
        <v>0</v>
      </c>
      <c r="L506" s="45">
        <v>4648</v>
      </c>
      <c r="M506" s="45">
        <v>0</v>
      </c>
      <c r="N506" s="45">
        <v>2460</v>
      </c>
      <c r="O506" s="45">
        <v>0</v>
      </c>
      <c r="P506" s="45">
        <v>1211</v>
      </c>
      <c r="Q506" s="45">
        <v>0</v>
      </c>
      <c r="R506" s="45">
        <v>546</v>
      </c>
      <c r="S506" s="45">
        <v>0</v>
      </c>
      <c r="T506" s="45">
        <v>120</v>
      </c>
      <c r="U506" s="45">
        <v>5604</v>
      </c>
    </row>
    <row r="507" spans="1:21" ht="16.05" customHeight="1">
      <c r="A507" s="58" t="s">
        <v>2023</v>
      </c>
      <c r="B507" s="58" t="s">
        <v>1899</v>
      </c>
      <c r="C507" s="45">
        <v>33</v>
      </c>
      <c r="D507" s="45">
        <v>12573</v>
      </c>
      <c r="E507" s="45">
        <v>0</v>
      </c>
      <c r="F507" s="45">
        <v>8745</v>
      </c>
      <c r="G507" s="45">
        <v>0</v>
      </c>
      <c r="H507" s="45">
        <v>5333</v>
      </c>
      <c r="I507" s="45">
        <v>0</v>
      </c>
      <c r="J507" s="45">
        <v>3289</v>
      </c>
      <c r="K507" s="45">
        <v>0</v>
      </c>
      <c r="L507" s="45">
        <v>1635</v>
      </c>
      <c r="M507" s="45">
        <v>0</v>
      </c>
      <c r="N507" s="45">
        <v>443</v>
      </c>
      <c r="O507" s="45">
        <v>0</v>
      </c>
      <c r="P507" s="45">
        <v>167</v>
      </c>
      <c r="Q507" s="45">
        <v>0</v>
      </c>
      <c r="R507" s="45">
        <v>0</v>
      </c>
      <c r="S507" s="45">
        <v>0</v>
      </c>
      <c r="T507" s="45">
        <v>0</v>
      </c>
      <c r="U507" s="45">
        <v>3785</v>
      </c>
    </row>
    <row r="508" spans="1:21" ht="16.05" customHeight="1">
      <c r="A508" s="58" t="s">
        <v>2023</v>
      </c>
      <c r="B508" s="58" t="s">
        <v>1900</v>
      </c>
      <c r="C508" s="45">
        <v>55</v>
      </c>
      <c r="D508" s="45">
        <v>20395</v>
      </c>
      <c r="E508" s="45">
        <v>0</v>
      </c>
      <c r="F508" s="45">
        <v>15406</v>
      </c>
      <c r="G508" s="45">
        <v>0</v>
      </c>
      <c r="H508" s="45">
        <v>11523</v>
      </c>
      <c r="I508" s="45">
        <v>0</v>
      </c>
      <c r="J508" s="45">
        <v>8006</v>
      </c>
      <c r="K508" s="45">
        <v>0</v>
      </c>
      <c r="L508" s="45">
        <v>4901</v>
      </c>
      <c r="M508" s="45">
        <v>0</v>
      </c>
      <c r="N508" s="45">
        <v>2786</v>
      </c>
      <c r="O508" s="45">
        <v>0</v>
      </c>
      <c r="P508" s="45">
        <v>1564</v>
      </c>
      <c r="Q508" s="45">
        <v>0</v>
      </c>
      <c r="R508" s="45">
        <v>713</v>
      </c>
      <c r="S508" s="45">
        <v>0</v>
      </c>
      <c r="T508" s="45">
        <v>168</v>
      </c>
      <c r="U508" s="45">
        <v>4861</v>
      </c>
    </row>
    <row r="509" spans="1:21" ht="16.05" customHeight="1">
      <c r="A509" s="58" t="s">
        <v>2023</v>
      </c>
      <c r="B509" s="58" t="s">
        <v>1901</v>
      </c>
      <c r="C509" s="45">
        <v>89</v>
      </c>
      <c r="D509" s="45">
        <v>36670</v>
      </c>
      <c r="E509" s="45">
        <v>0</v>
      </c>
      <c r="F509" s="45">
        <v>29963</v>
      </c>
      <c r="G509" s="45">
        <v>0</v>
      </c>
      <c r="H509" s="45">
        <v>23924</v>
      </c>
      <c r="I509" s="45">
        <v>0</v>
      </c>
      <c r="J509" s="45">
        <v>18167</v>
      </c>
      <c r="K509" s="45">
        <v>0</v>
      </c>
      <c r="L509" s="45">
        <v>13224</v>
      </c>
      <c r="M509" s="45">
        <v>0</v>
      </c>
      <c r="N509" s="45">
        <v>9173</v>
      </c>
      <c r="O509" s="45">
        <v>0</v>
      </c>
      <c r="P509" s="45">
        <v>5883</v>
      </c>
      <c r="Q509" s="45">
        <v>0</v>
      </c>
      <c r="R509" s="45">
        <v>3540</v>
      </c>
      <c r="S509" s="45">
        <v>0</v>
      </c>
      <c r="T509" s="45">
        <v>4296</v>
      </c>
      <c r="U509" s="45">
        <v>6545</v>
      </c>
    </row>
    <row r="510" spans="1:21" ht="16.05" customHeight="1">
      <c r="A510" s="58" t="s">
        <v>2023</v>
      </c>
      <c r="B510" s="58" t="s">
        <v>1902</v>
      </c>
      <c r="C510" s="45">
        <v>140</v>
      </c>
      <c r="D510" s="45">
        <v>60362</v>
      </c>
      <c r="E510" s="45">
        <v>0</v>
      </c>
      <c r="F510" s="45">
        <v>51500</v>
      </c>
      <c r="G510" s="45">
        <v>0</v>
      </c>
      <c r="H510" s="45">
        <v>43586</v>
      </c>
      <c r="I510" s="45">
        <v>0</v>
      </c>
      <c r="J510" s="45">
        <v>36335</v>
      </c>
      <c r="K510" s="45">
        <v>0</v>
      </c>
      <c r="L510" s="45">
        <v>29852</v>
      </c>
      <c r="M510" s="45">
        <v>0</v>
      </c>
      <c r="N510" s="45">
        <v>24267</v>
      </c>
      <c r="O510" s="45">
        <v>0</v>
      </c>
      <c r="P510" s="45">
        <v>19177</v>
      </c>
      <c r="Q510" s="45">
        <v>0</v>
      </c>
      <c r="R510" s="45">
        <v>14910</v>
      </c>
      <c r="S510" s="45">
        <v>0</v>
      </c>
      <c r="T510" s="45">
        <v>31354</v>
      </c>
      <c r="U510" s="45">
        <v>8690</v>
      </c>
    </row>
    <row r="511" spans="1:21" ht="16.05" customHeight="1">
      <c r="A511" s="58" t="s">
        <v>2023</v>
      </c>
      <c r="B511" s="58" t="s">
        <v>1903</v>
      </c>
      <c r="C511" s="45">
        <v>145</v>
      </c>
      <c r="D511" s="45">
        <v>66285</v>
      </c>
      <c r="E511" s="45">
        <v>0</v>
      </c>
      <c r="F511" s="45">
        <v>57306</v>
      </c>
      <c r="G511" s="45">
        <v>0</v>
      </c>
      <c r="H511" s="45">
        <v>49185</v>
      </c>
      <c r="I511" s="45">
        <v>0</v>
      </c>
      <c r="J511" s="45">
        <v>41972</v>
      </c>
      <c r="K511" s="45">
        <v>0</v>
      </c>
      <c r="L511" s="45">
        <v>35288</v>
      </c>
      <c r="M511" s="45">
        <v>0</v>
      </c>
      <c r="N511" s="45">
        <v>28874</v>
      </c>
      <c r="O511" s="45">
        <v>0</v>
      </c>
      <c r="P511" s="45">
        <v>23383</v>
      </c>
      <c r="Q511" s="45">
        <v>0</v>
      </c>
      <c r="R511" s="45">
        <v>18632</v>
      </c>
      <c r="S511" s="45">
        <v>0</v>
      </c>
      <c r="T511" s="45">
        <v>46753</v>
      </c>
      <c r="U511" s="45">
        <v>8789</v>
      </c>
    </row>
    <row r="512" spans="1:21" ht="16.05" customHeight="1">
      <c r="A512" s="58" t="s">
        <v>2023</v>
      </c>
      <c r="B512" s="58" t="s">
        <v>1904</v>
      </c>
      <c r="C512" s="45">
        <v>143</v>
      </c>
      <c r="D512" s="45">
        <v>51843</v>
      </c>
      <c r="E512" s="45">
        <v>3</v>
      </c>
      <c r="F512" s="45">
        <v>42584</v>
      </c>
      <c r="G512" s="45">
        <v>2</v>
      </c>
      <c r="H512" s="45">
        <v>35056</v>
      </c>
      <c r="I512" s="45">
        <v>1</v>
      </c>
      <c r="J512" s="45">
        <v>28180</v>
      </c>
      <c r="K512" s="45">
        <v>0</v>
      </c>
      <c r="L512" s="45">
        <v>22127</v>
      </c>
      <c r="M512" s="45">
        <v>0</v>
      </c>
      <c r="N512" s="45">
        <v>16402</v>
      </c>
      <c r="O512" s="45">
        <v>0</v>
      </c>
      <c r="P512" s="45">
        <v>11846</v>
      </c>
      <c r="Q512" s="45">
        <v>0</v>
      </c>
      <c r="R512" s="45">
        <v>8244</v>
      </c>
      <c r="S512" s="45">
        <v>0</v>
      </c>
      <c r="T512" s="45">
        <v>11199</v>
      </c>
      <c r="U512" s="45">
        <v>9035</v>
      </c>
    </row>
    <row r="513" spans="1:21" ht="16.05" customHeight="1">
      <c r="A513" s="58" t="s">
        <v>2023</v>
      </c>
      <c r="B513" s="58" t="s">
        <v>1905</v>
      </c>
      <c r="C513" s="45">
        <v>214</v>
      </c>
      <c r="D513" s="45">
        <v>85007</v>
      </c>
      <c r="E513" s="45">
        <v>0</v>
      </c>
      <c r="F513" s="45">
        <v>74568</v>
      </c>
      <c r="G513" s="45">
        <v>0</v>
      </c>
      <c r="H513" s="45">
        <v>65334</v>
      </c>
      <c r="I513" s="45">
        <v>0</v>
      </c>
      <c r="J513" s="45">
        <v>56918</v>
      </c>
      <c r="K513" s="45">
        <v>0</v>
      </c>
      <c r="L513" s="45">
        <v>49000</v>
      </c>
      <c r="M513" s="45">
        <v>0</v>
      </c>
      <c r="N513" s="45">
        <v>41541</v>
      </c>
      <c r="O513" s="45">
        <v>0</v>
      </c>
      <c r="P513" s="45">
        <v>34866</v>
      </c>
      <c r="Q513" s="45">
        <v>0</v>
      </c>
      <c r="R513" s="45">
        <v>28766</v>
      </c>
      <c r="S513" s="45">
        <v>0</v>
      </c>
      <c r="T513" s="45">
        <v>88016</v>
      </c>
      <c r="U513" s="45">
        <v>10131</v>
      </c>
    </row>
    <row r="514" spans="1:21" ht="16.05" customHeight="1">
      <c r="A514" s="58" t="s">
        <v>2023</v>
      </c>
      <c r="B514" s="58" t="s">
        <v>1906</v>
      </c>
      <c r="C514" s="45">
        <v>158</v>
      </c>
      <c r="D514" s="45">
        <v>69200</v>
      </c>
      <c r="E514" s="45">
        <v>0</v>
      </c>
      <c r="F514" s="45">
        <v>59286</v>
      </c>
      <c r="G514" s="45">
        <v>0</v>
      </c>
      <c r="H514" s="45">
        <v>50567</v>
      </c>
      <c r="I514" s="45">
        <v>0</v>
      </c>
      <c r="J514" s="45">
        <v>43105</v>
      </c>
      <c r="K514" s="45">
        <v>0</v>
      </c>
      <c r="L514" s="45">
        <v>36436</v>
      </c>
      <c r="M514" s="45">
        <v>0</v>
      </c>
      <c r="N514" s="45">
        <v>30176</v>
      </c>
      <c r="O514" s="45">
        <v>0</v>
      </c>
      <c r="P514" s="45">
        <v>24453</v>
      </c>
      <c r="Q514" s="45">
        <v>0</v>
      </c>
      <c r="R514" s="45">
        <v>19164</v>
      </c>
      <c r="S514" s="45">
        <v>0</v>
      </c>
      <c r="T514" s="45">
        <v>45779</v>
      </c>
      <c r="U514" s="45">
        <v>9664</v>
      </c>
    </row>
    <row r="515" spans="1:21" ht="16.05" customHeight="1">
      <c r="A515" s="58" t="s">
        <v>2023</v>
      </c>
      <c r="B515" s="58" t="s">
        <v>1907</v>
      </c>
      <c r="C515" s="45">
        <v>150</v>
      </c>
      <c r="D515" s="45">
        <v>54900</v>
      </c>
      <c r="E515" s="45">
        <v>1</v>
      </c>
      <c r="F515" s="45">
        <v>45535</v>
      </c>
      <c r="G515" s="45">
        <v>0</v>
      </c>
      <c r="H515" s="45">
        <v>36889</v>
      </c>
      <c r="I515" s="45">
        <v>0</v>
      </c>
      <c r="J515" s="45">
        <v>29397</v>
      </c>
      <c r="K515" s="45">
        <v>0</v>
      </c>
      <c r="L515" s="45">
        <v>22777</v>
      </c>
      <c r="M515" s="45">
        <v>0</v>
      </c>
      <c r="N515" s="45">
        <v>17651</v>
      </c>
      <c r="O515" s="45">
        <v>0</v>
      </c>
      <c r="P515" s="45">
        <v>12977</v>
      </c>
      <c r="Q515" s="45">
        <v>0</v>
      </c>
      <c r="R515" s="45">
        <v>8858</v>
      </c>
      <c r="S515" s="45">
        <v>0</v>
      </c>
      <c r="T515" s="45">
        <v>12084</v>
      </c>
      <c r="U515" s="45">
        <v>9176</v>
      </c>
    </row>
    <row r="516" spans="1:21" ht="16.05" customHeight="1">
      <c r="A516" s="58" t="s">
        <v>2023</v>
      </c>
      <c r="B516" s="58" t="s">
        <v>1908</v>
      </c>
      <c r="C516" s="45">
        <v>202</v>
      </c>
      <c r="D516" s="45">
        <v>81049</v>
      </c>
      <c r="E516" s="45">
        <v>0</v>
      </c>
      <c r="F516" s="45">
        <v>70927</v>
      </c>
      <c r="G516" s="45">
        <v>0</v>
      </c>
      <c r="H516" s="45">
        <v>61465</v>
      </c>
      <c r="I516" s="45">
        <v>0</v>
      </c>
      <c r="J516" s="45">
        <v>52435</v>
      </c>
      <c r="K516" s="45">
        <v>0</v>
      </c>
      <c r="L516" s="45">
        <v>43859</v>
      </c>
      <c r="M516" s="45">
        <v>0</v>
      </c>
      <c r="N516" s="45">
        <v>35669</v>
      </c>
      <c r="O516" s="45">
        <v>0</v>
      </c>
      <c r="P516" s="45">
        <v>28479</v>
      </c>
      <c r="Q516" s="45">
        <v>0</v>
      </c>
      <c r="R516" s="45">
        <v>22194</v>
      </c>
      <c r="S516" s="45">
        <v>0</v>
      </c>
      <c r="T516" s="45">
        <v>53316</v>
      </c>
      <c r="U516" s="45">
        <v>9798</v>
      </c>
    </row>
    <row r="517" spans="1:21" ht="16.05" customHeight="1">
      <c r="A517" s="58" t="s">
        <v>2023</v>
      </c>
      <c r="B517" s="58" t="s">
        <v>1909</v>
      </c>
      <c r="C517" s="45">
        <v>222</v>
      </c>
      <c r="D517" s="45">
        <v>94935</v>
      </c>
      <c r="E517" s="45">
        <v>0</v>
      </c>
      <c r="F517" s="45">
        <v>84354</v>
      </c>
      <c r="G517" s="45">
        <v>0</v>
      </c>
      <c r="H517" s="45">
        <v>74774</v>
      </c>
      <c r="I517" s="45">
        <v>0</v>
      </c>
      <c r="J517" s="45">
        <v>66225</v>
      </c>
      <c r="K517" s="45">
        <v>0</v>
      </c>
      <c r="L517" s="45">
        <v>58168</v>
      </c>
      <c r="M517" s="45">
        <v>0</v>
      </c>
      <c r="N517" s="45">
        <v>50513</v>
      </c>
      <c r="O517" s="45">
        <v>0</v>
      </c>
      <c r="P517" s="45">
        <v>43612</v>
      </c>
      <c r="Q517" s="45">
        <v>0</v>
      </c>
      <c r="R517" s="45">
        <v>37232</v>
      </c>
      <c r="S517" s="45">
        <v>0</v>
      </c>
      <c r="T517" s="45">
        <v>140128</v>
      </c>
      <c r="U517" s="45">
        <v>10274</v>
      </c>
    </row>
    <row r="518" spans="1:21" ht="16.05" customHeight="1">
      <c r="A518" s="58" t="s">
        <v>2023</v>
      </c>
      <c r="B518" s="58" t="s">
        <v>1910</v>
      </c>
      <c r="C518" s="45">
        <v>193</v>
      </c>
      <c r="D518" s="45">
        <v>73119</v>
      </c>
      <c r="E518" s="45">
        <v>2</v>
      </c>
      <c r="F518" s="45">
        <v>62847</v>
      </c>
      <c r="G518" s="45">
        <v>0</v>
      </c>
      <c r="H518" s="45">
        <v>53705</v>
      </c>
      <c r="I518" s="45">
        <v>0</v>
      </c>
      <c r="J518" s="45">
        <v>44894</v>
      </c>
      <c r="K518" s="45">
        <v>0</v>
      </c>
      <c r="L518" s="45">
        <v>36910</v>
      </c>
      <c r="M518" s="45">
        <v>0</v>
      </c>
      <c r="N518" s="45">
        <v>29835</v>
      </c>
      <c r="O518" s="45">
        <v>0</v>
      </c>
      <c r="P518" s="45">
        <v>23279</v>
      </c>
      <c r="Q518" s="45">
        <v>0</v>
      </c>
      <c r="R518" s="45">
        <v>18012</v>
      </c>
      <c r="S518" s="45">
        <v>0</v>
      </c>
      <c r="T518" s="45">
        <v>37972</v>
      </c>
      <c r="U518" s="45">
        <v>9979</v>
      </c>
    </row>
    <row r="519" spans="1:21" ht="16.05" customHeight="1">
      <c r="A519" s="58" t="s">
        <v>2023</v>
      </c>
      <c r="B519" s="58" t="s">
        <v>1911</v>
      </c>
      <c r="C519" s="45">
        <v>159</v>
      </c>
      <c r="D519" s="45">
        <v>66378</v>
      </c>
      <c r="E519" s="45">
        <v>0</v>
      </c>
      <c r="F519" s="45">
        <v>57826</v>
      </c>
      <c r="G519" s="45">
        <v>0</v>
      </c>
      <c r="H519" s="45">
        <v>50315</v>
      </c>
      <c r="I519" s="45">
        <v>0</v>
      </c>
      <c r="J519" s="45">
        <v>44023</v>
      </c>
      <c r="K519" s="45">
        <v>0</v>
      </c>
      <c r="L519" s="45">
        <v>37886</v>
      </c>
      <c r="M519" s="45">
        <v>0</v>
      </c>
      <c r="N519" s="45">
        <v>32181</v>
      </c>
      <c r="O519" s="45">
        <v>0</v>
      </c>
      <c r="P519" s="45">
        <v>26776</v>
      </c>
      <c r="Q519" s="45">
        <v>0</v>
      </c>
      <c r="R519" s="45">
        <v>21634</v>
      </c>
      <c r="S519" s="45">
        <v>0</v>
      </c>
      <c r="T519" s="45">
        <v>61844</v>
      </c>
      <c r="U519" s="45">
        <v>8290</v>
      </c>
    </row>
    <row r="520" spans="1:21" ht="16.05" customHeight="1">
      <c r="A520" s="58" t="s">
        <v>2023</v>
      </c>
      <c r="B520" s="58" t="s">
        <v>1912</v>
      </c>
      <c r="C520" s="45">
        <v>150</v>
      </c>
      <c r="D520" s="45">
        <v>64613</v>
      </c>
      <c r="E520" s="45">
        <v>2</v>
      </c>
      <c r="F520" s="45">
        <v>55311</v>
      </c>
      <c r="G520" s="45">
        <v>0</v>
      </c>
      <c r="H520" s="45">
        <v>46963</v>
      </c>
      <c r="I520" s="45">
        <v>0</v>
      </c>
      <c r="J520" s="45">
        <v>39388</v>
      </c>
      <c r="K520" s="45">
        <v>0</v>
      </c>
      <c r="L520" s="45">
        <v>32129</v>
      </c>
      <c r="M520" s="45">
        <v>0</v>
      </c>
      <c r="N520" s="45">
        <v>26003</v>
      </c>
      <c r="O520" s="45">
        <v>0</v>
      </c>
      <c r="P520" s="45">
        <v>20610</v>
      </c>
      <c r="Q520" s="45">
        <v>0</v>
      </c>
      <c r="R520" s="45">
        <v>15844</v>
      </c>
      <c r="S520" s="45">
        <v>0</v>
      </c>
      <c r="T520" s="45">
        <v>34952</v>
      </c>
      <c r="U520" s="45">
        <v>9095</v>
      </c>
    </row>
    <row r="521" spans="1:21" ht="16.05" customHeight="1">
      <c r="A521" s="58" t="s">
        <v>2023</v>
      </c>
      <c r="B521" s="58" t="s">
        <v>1913</v>
      </c>
      <c r="C521" s="45">
        <v>117</v>
      </c>
      <c r="D521" s="45">
        <v>51384</v>
      </c>
      <c r="E521" s="45">
        <v>0</v>
      </c>
      <c r="F521" s="45">
        <v>41955</v>
      </c>
      <c r="G521" s="45">
        <v>0</v>
      </c>
      <c r="H521" s="45">
        <v>34270</v>
      </c>
      <c r="I521" s="45">
        <v>0</v>
      </c>
      <c r="J521" s="45">
        <v>27587</v>
      </c>
      <c r="K521" s="45">
        <v>0</v>
      </c>
      <c r="L521" s="45">
        <v>21753</v>
      </c>
      <c r="M521" s="45">
        <v>0</v>
      </c>
      <c r="N521" s="45">
        <v>16653</v>
      </c>
      <c r="O521" s="45">
        <v>0</v>
      </c>
      <c r="P521" s="45">
        <v>12381</v>
      </c>
      <c r="Q521" s="45">
        <v>0</v>
      </c>
      <c r="R521" s="45">
        <v>8577</v>
      </c>
      <c r="S521" s="45">
        <v>0</v>
      </c>
      <c r="T521" s="45">
        <v>10297</v>
      </c>
      <c r="U521" s="45">
        <v>9241</v>
      </c>
    </row>
    <row r="522" spans="1:21" ht="16.05" customHeight="1">
      <c r="A522" s="58" t="s">
        <v>2023</v>
      </c>
      <c r="B522" s="58" t="s">
        <v>1914</v>
      </c>
      <c r="C522" s="45">
        <v>140</v>
      </c>
      <c r="D522" s="45">
        <v>66227</v>
      </c>
      <c r="E522" s="45">
        <v>0</v>
      </c>
      <c r="F522" s="45">
        <v>56688</v>
      </c>
      <c r="G522" s="45">
        <v>0</v>
      </c>
      <c r="H522" s="45">
        <v>48408</v>
      </c>
      <c r="I522" s="45">
        <v>0</v>
      </c>
      <c r="J522" s="45">
        <v>40931</v>
      </c>
      <c r="K522" s="45">
        <v>0</v>
      </c>
      <c r="L522" s="45">
        <v>33925</v>
      </c>
      <c r="M522" s="45">
        <v>0</v>
      </c>
      <c r="N522" s="45">
        <v>27870</v>
      </c>
      <c r="O522" s="45">
        <v>0</v>
      </c>
      <c r="P522" s="45">
        <v>22286</v>
      </c>
      <c r="Q522" s="45">
        <v>0</v>
      </c>
      <c r="R522" s="45">
        <v>17522</v>
      </c>
      <c r="S522" s="45">
        <v>0</v>
      </c>
      <c r="T522" s="45">
        <v>39982</v>
      </c>
      <c r="U522" s="45">
        <v>9263</v>
      </c>
    </row>
    <row r="523" spans="1:21" ht="16.05" customHeight="1">
      <c r="A523" s="58" t="s">
        <v>2023</v>
      </c>
      <c r="B523" s="58" t="s">
        <v>1915</v>
      </c>
      <c r="C523" s="45">
        <v>115</v>
      </c>
      <c r="D523" s="45">
        <v>52301</v>
      </c>
      <c r="E523" s="45">
        <v>0</v>
      </c>
      <c r="F523" s="45">
        <v>42865</v>
      </c>
      <c r="G523" s="45">
        <v>0</v>
      </c>
      <c r="H523" s="45">
        <v>34615</v>
      </c>
      <c r="I523" s="45">
        <v>0</v>
      </c>
      <c r="J523" s="45">
        <v>26626</v>
      </c>
      <c r="K523" s="45">
        <v>0</v>
      </c>
      <c r="L523" s="45">
        <v>19701</v>
      </c>
      <c r="M523" s="45">
        <v>0</v>
      </c>
      <c r="N523" s="45">
        <v>14021</v>
      </c>
      <c r="O523" s="45">
        <v>0</v>
      </c>
      <c r="P523" s="45">
        <v>9272</v>
      </c>
      <c r="Q523" s="45">
        <v>0</v>
      </c>
      <c r="R523" s="45">
        <v>5324</v>
      </c>
      <c r="S523" s="45">
        <v>0</v>
      </c>
      <c r="T523" s="45">
        <v>7004</v>
      </c>
      <c r="U523" s="45">
        <v>9200</v>
      </c>
    </row>
    <row r="524" spans="1:21" ht="16.05" customHeight="1">
      <c r="A524" s="58" t="s">
        <v>2023</v>
      </c>
      <c r="B524" s="58" t="s">
        <v>1916</v>
      </c>
      <c r="C524" s="45">
        <v>186</v>
      </c>
      <c r="D524" s="45">
        <v>75906</v>
      </c>
      <c r="E524" s="45">
        <v>1</v>
      </c>
      <c r="F524" s="45">
        <v>65851</v>
      </c>
      <c r="G524" s="45">
        <v>0</v>
      </c>
      <c r="H524" s="45">
        <v>57225</v>
      </c>
      <c r="I524" s="45">
        <v>0</v>
      </c>
      <c r="J524" s="45">
        <v>49044</v>
      </c>
      <c r="K524" s="45">
        <v>0</v>
      </c>
      <c r="L524" s="45">
        <v>41343</v>
      </c>
      <c r="M524" s="45">
        <v>0</v>
      </c>
      <c r="N524" s="45">
        <v>34192</v>
      </c>
      <c r="O524" s="45">
        <v>0</v>
      </c>
      <c r="P524" s="45">
        <v>27919</v>
      </c>
      <c r="Q524" s="45">
        <v>0</v>
      </c>
      <c r="R524" s="45">
        <v>22350</v>
      </c>
      <c r="S524" s="45">
        <v>0</v>
      </c>
      <c r="T524" s="45">
        <v>59685</v>
      </c>
      <c r="U524" s="45">
        <v>9764</v>
      </c>
    </row>
    <row r="525" spans="1:21" ht="16.05" customHeight="1">
      <c r="A525" s="58" t="s">
        <v>2023</v>
      </c>
      <c r="B525" s="58" t="s">
        <v>1917</v>
      </c>
      <c r="C525" s="45">
        <v>120</v>
      </c>
      <c r="D525" s="45">
        <v>48354</v>
      </c>
      <c r="E525" s="45">
        <v>0</v>
      </c>
      <c r="F525" s="45">
        <v>38762</v>
      </c>
      <c r="G525" s="45">
        <v>0</v>
      </c>
      <c r="H525" s="45">
        <v>29935</v>
      </c>
      <c r="I525" s="45">
        <v>0</v>
      </c>
      <c r="J525" s="45">
        <v>22332</v>
      </c>
      <c r="K525" s="45">
        <v>0</v>
      </c>
      <c r="L525" s="45">
        <v>15853</v>
      </c>
      <c r="M525" s="45">
        <v>0</v>
      </c>
      <c r="N525" s="45">
        <v>10711</v>
      </c>
      <c r="O525" s="45">
        <v>0</v>
      </c>
      <c r="P525" s="45">
        <v>6842</v>
      </c>
      <c r="Q525" s="45">
        <v>0</v>
      </c>
      <c r="R525" s="45">
        <v>3898</v>
      </c>
      <c r="S525" s="45">
        <v>0</v>
      </c>
      <c r="T525" s="45">
        <v>3870</v>
      </c>
      <c r="U525" s="45">
        <v>9375</v>
      </c>
    </row>
    <row r="526" spans="1:21" ht="16.05" customHeight="1">
      <c r="A526" s="58" t="s">
        <v>2023</v>
      </c>
      <c r="B526" s="58" t="s">
        <v>1918</v>
      </c>
      <c r="C526" s="45">
        <v>245</v>
      </c>
      <c r="D526" s="45">
        <v>90414</v>
      </c>
      <c r="E526" s="45">
        <v>5</v>
      </c>
      <c r="F526" s="45">
        <v>80371</v>
      </c>
      <c r="G526" s="45">
        <v>0</v>
      </c>
      <c r="H526" s="45">
        <v>70726</v>
      </c>
      <c r="I526" s="45">
        <v>0</v>
      </c>
      <c r="J526" s="45">
        <v>61493</v>
      </c>
      <c r="K526" s="45">
        <v>0</v>
      </c>
      <c r="L526" s="45">
        <v>52944</v>
      </c>
      <c r="M526" s="45">
        <v>0</v>
      </c>
      <c r="N526" s="45">
        <v>44839</v>
      </c>
      <c r="O526" s="45">
        <v>0</v>
      </c>
      <c r="P526" s="45">
        <v>37544</v>
      </c>
      <c r="Q526" s="45">
        <v>0</v>
      </c>
      <c r="R526" s="45">
        <v>30761</v>
      </c>
      <c r="S526" s="45">
        <v>0</v>
      </c>
      <c r="T526" s="45">
        <v>98469</v>
      </c>
      <c r="U526" s="45">
        <v>9775</v>
      </c>
    </row>
    <row r="527" spans="1:21" ht="16.05" customHeight="1">
      <c r="A527" s="58" t="s">
        <v>2023</v>
      </c>
      <c r="B527" s="58" t="s">
        <v>1919</v>
      </c>
      <c r="C527" s="45">
        <v>195</v>
      </c>
      <c r="D527" s="45">
        <v>72777</v>
      </c>
      <c r="E527" s="45">
        <v>3</v>
      </c>
      <c r="F527" s="45">
        <v>62453</v>
      </c>
      <c r="G527" s="45">
        <v>0</v>
      </c>
      <c r="H527" s="45">
        <v>53047</v>
      </c>
      <c r="I527" s="45">
        <v>0</v>
      </c>
      <c r="J527" s="45">
        <v>44275</v>
      </c>
      <c r="K527" s="45">
        <v>0</v>
      </c>
      <c r="L527" s="45">
        <v>36226</v>
      </c>
      <c r="M527" s="45">
        <v>0</v>
      </c>
      <c r="N527" s="45">
        <v>28950</v>
      </c>
      <c r="O527" s="45">
        <v>0</v>
      </c>
      <c r="P527" s="45">
        <v>23006</v>
      </c>
      <c r="Q527" s="45">
        <v>0</v>
      </c>
      <c r="R527" s="45">
        <v>18196</v>
      </c>
      <c r="S527" s="45">
        <v>0</v>
      </c>
      <c r="T527" s="45">
        <v>40467</v>
      </c>
      <c r="U527" s="45">
        <v>9951</v>
      </c>
    </row>
    <row r="528" spans="1:21" ht="16.05" customHeight="1">
      <c r="A528" s="58" t="s">
        <v>2023</v>
      </c>
      <c r="B528" s="58" t="s">
        <v>1920</v>
      </c>
      <c r="C528" s="45">
        <v>135</v>
      </c>
      <c r="D528" s="45">
        <v>51251</v>
      </c>
      <c r="E528" s="45">
        <v>0</v>
      </c>
      <c r="F528" s="45">
        <v>42144</v>
      </c>
      <c r="G528" s="45">
        <v>0</v>
      </c>
      <c r="H528" s="45">
        <v>33801</v>
      </c>
      <c r="I528" s="45">
        <v>0</v>
      </c>
      <c r="J528" s="45">
        <v>26265</v>
      </c>
      <c r="K528" s="45">
        <v>0</v>
      </c>
      <c r="L528" s="45">
        <v>20055</v>
      </c>
      <c r="M528" s="45">
        <v>0</v>
      </c>
      <c r="N528" s="45">
        <v>14968</v>
      </c>
      <c r="O528" s="45">
        <v>0</v>
      </c>
      <c r="P528" s="45">
        <v>10365</v>
      </c>
      <c r="Q528" s="45">
        <v>0</v>
      </c>
      <c r="R528" s="45">
        <v>6227</v>
      </c>
      <c r="S528" s="45">
        <v>0</v>
      </c>
      <c r="T528" s="45">
        <v>8553</v>
      </c>
      <c r="U528" s="45">
        <v>8896</v>
      </c>
    </row>
    <row r="529" spans="1:21" ht="16.05" customHeight="1">
      <c r="A529" s="58" t="s">
        <v>2023</v>
      </c>
      <c r="B529" s="58" t="s">
        <v>1921</v>
      </c>
      <c r="C529" s="45">
        <v>216</v>
      </c>
      <c r="D529" s="45">
        <v>78366</v>
      </c>
      <c r="E529" s="45">
        <v>1</v>
      </c>
      <c r="F529" s="45">
        <v>68139</v>
      </c>
      <c r="G529" s="45">
        <v>0</v>
      </c>
      <c r="H529" s="45">
        <v>58791</v>
      </c>
      <c r="I529" s="45">
        <v>0</v>
      </c>
      <c r="J529" s="45">
        <v>49926</v>
      </c>
      <c r="K529" s="45">
        <v>0</v>
      </c>
      <c r="L529" s="45">
        <v>41676</v>
      </c>
      <c r="M529" s="45">
        <v>0</v>
      </c>
      <c r="N529" s="45">
        <v>34211</v>
      </c>
      <c r="O529" s="45">
        <v>0</v>
      </c>
      <c r="P529" s="45">
        <v>27033</v>
      </c>
      <c r="Q529" s="45">
        <v>0</v>
      </c>
      <c r="R529" s="45">
        <v>21667</v>
      </c>
      <c r="S529" s="45">
        <v>0</v>
      </c>
      <c r="T529" s="45">
        <v>54400</v>
      </c>
      <c r="U529" s="45">
        <v>9931</v>
      </c>
    </row>
    <row r="530" spans="1:21" ht="16.05" customHeight="1">
      <c r="A530" s="58" t="s">
        <v>2023</v>
      </c>
      <c r="B530" s="58" t="s">
        <v>1922</v>
      </c>
      <c r="C530" s="45">
        <v>222</v>
      </c>
      <c r="D530" s="45">
        <v>89507</v>
      </c>
      <c r="E530" s="45">
        <v>2</v>
      </c>
      <c r="F530" s="45">
        <v>78707</v>
      </c>
      <c r="G530" s="45">
        <v>0</v>
      </c>
      <c r="H530" s="45">
        <v>68397</v>
      </c>
      <c r="I530" s="45">
        <v>0</v>
      </c>
      <c r="J530" s="45">
        <v>59023</v>
      </c>
      <c r="K530" s="45">
        <v>0</v>
      </c>
      <c r="L530" s="45">
        <v>50449</v>
      </c>
      <c r="M530" s="45">
        <v>0</v>
      </c>
      <c r="N530" s="45">
        <v>42403</v>
      </c>
      <c r="O530" s="45">
        <v>0</v>
      </c>
      <c r="P530" s="45">
        <v>35318</v>
      </c>
      <c r="Q530" s="45">
        <v>0</v>
      </c>
      <c r="R530" s="45">
        <v>28871</v>
      </c>
      <c r="S530" s="45">
        <v>0</v>
      </c>
      <c r="T530" s="45">
        <v>83344</v>
      </c>
      <c r="U530" s="45">
        <v>10490</v>
      </c>
    </row>
    <row r="531" spans="1:21" ht="16.05" customHeight="1">
      <c r="A531" s="58" t="s">
        <v>2023</v>
      </c>
      <c r="B531" s="58" t="s">
        <v>1923</v>
      </c>
      <c r="C531" s="45">
        <v>131</v>
      </c>
      <c r="D531" s="45">
        <v>51328</v>
      </c>
      <c r="E531" s="45">
        <v>0</v>
      </c>
      <c r="F531" s="45">
        <v>43532</v>
      </c>
      <c r="G531" s="45">
        <v>0</v>
      </c>
      <c r="H531" s="45">
        <v>36254</v>
      </c>
      <c r="I531" s="45">
        <v>0</v>
      </c>
      <c r="J531" s="45">
        <v>30253</v>
      </c>
      <c r="K531" s="45">
        <v>0</v>
      </c>
      <c r="L531" s="45">
        <v>25063</v>
      </c>
      <c r="M531" s="45">
        <v>0</v>
      </c>
      <c r="N531" s="45">
        <v>20687</v>
      </c>
      <c r="O531" s="45">
        <v>0</v>
      </c>
      <c r="P531" s="45">
        <v>16781</v>
      </c>
      <c r="Q531" s="45">
        <v>0</v>
      </c>
      <c r="R531" s="45">
        <v>13226</v>
      </c>
      <c r="S531" s="45">
        <v>0</v>
      </c>
      <c r="T531" s="45">
        <v>26400</v>
      </c>
      <c r="U531" s="45">
        <v>7641</v>
      </c>
    </row>
    <row r="532" spans="1:21" ht="16.05" customHeight="1">
      <c r="A532" s="58" t="s">
        <v>2023</v>
      </c>
      <c r="B532" s="58" t="s">
        <v>1924</v>
      </c>
      <c r="C532" s="45">
        <v>199</v>
      </c>
      <c r="D532" s="45">
        <v>83575</v>
      </c>
      <c r="E532" s="45">
        <v>2</v>
      </c>
      <c r="F532" s="45">
        <v>73634</v>
      </c>
      <c r="G532" s="45">
        <v>0</v>
      </c>
      <c r="H532" s="45">
        <v>64619</v>
      </c>
      <c r="I532" s="45">
        <v>0</v>
      </c>
      <c r="J532" s="45">
        <v>56139</v>
      </c>
      <c r="K532" s="45">
        <v>0</v>
      </c>
      <c r="L532" s="45">
        <v>48037</v>
      </c>
      <c r="M532" s="45">
        <v>0</v>
      </c>
      <c r="N532" s="45">
        <v>40196</v>
      </c>
      <c r="O532" s="45">
        <v>0</v>
      </c>
      <c r="P532" s="45">
        <v>33248</v>
      </c>
      <c r="Q532" s="45">
        <v>0</v>
      </c>
      <c r="R532" s="45">
        <v>27132</v>
      </c>
      <c r="S532" s="45">
        <v>0</v>
      </c>
      <c r="T532" s="45">
        <v>79456</v>
      </c>
      <c r="U532" s="45">
        <v>9672</v>
      </c>
    </row>
    <row r="533" spans="1:21" ht="16.05" customHeight="1">
      <c r="A533" s="58" t="s">
        <v>2023</v>
      </c>
      <c r="B533" s="58" t="s">
        <v>1925</v>
      </c>
      <c r="C533" s="45">
        <v>122</v>
      </c>
      <c r="D533" s="45">
        <v>52189</v>
      </c>
      <c r="E533" s="45">
        <v>1</v>
      </c>
      <c r="F533" s="45">
        <v>44050</v>
      </c>
      <c r="G533" s="45">
        <v>0</v>
      </c>
      <c r="H533" s="45">
        <v>36741</v>
      </c>
      <c r="I533" s="45">
        <v>0</v>
      </c>
      <c r="J533" s="45">
        <v>30071</v>
      </c>
      <c r="K533" s="45">
        <v>0</v>
      </c>
      <c r="L533" s="45">
        <v>23958</v>
      </c>
      <c r="M533" s="45">
        <v>0</v>
      </c>
      <c r="N533" s="45">
        <v>18518</v>
      </c>
      <c r="O533" s="45">
        <v>0</v>
      </c>
      <c r="P533" s="45">
        <v>14061</v>
      </c>
      <c r="Q533" s="45">
        <v>0</v>
      </c>
      <c r="R533" s="45">
        <v>10494</v>
      </c>
      <c r="S533" s="45">
        <v>0</v>
      </c>
      <c r="T533" s="45">
        <v>17429</v>
      </c>
      <c r="U533" s="45">
        <v>7919</v>
      </c>
    </row>
    <row r="534" spans="1:21" ht="16.05" customHeight="1">
      <c r="A534" s="58" t="s">
        <v>2023</v>
      </c>
      <c r="B534" s="58" t="s">
        <v>1926</v>
      </c>
      <c r="C534" s="45">
        <v>210</v>
      </c>
      <c r="D534" s="45">
        <v>86816</v>
      </c>
      <c r="E534" s="45">
        <v>0</v>
      </c>
      <c r="F534" s="45">
        <v>76293</v>
      </c>
      <c r="G534" s="45">
        <v>0</v>
      </c>
      <c r="H534" s="45">
        <v>67402</v>
      </c>
      <c r="I534" s="45">
        <v>0</v>
      </c>
      <c r="J534" s="45">
        <v>59351</v>
      </c>
      <c r="K534" s="45">
        <v>0</v>
      </c>
      <c r="L534" s="45">
        <v>51744</v>
      </c>
      <c r="M534" s="45">
        <v>0</v>
      </c>
      <c r="N534" s="45">
        <v>44547</v>
      </c>
      <c r="O534" s="45">
        <v>0</v>
      </c>
      <c r="P534" s="45">
        <v>38004</v>
      </c>
      <c r="Q534" s="45">
        <v>0</v>
      </c>
      <c r="R534" s="45">
        <v>31865</v>
      </c>
      <c r="S534" s="45">
        <v>0</v>
      </c>
      <c r="T534" s="45">
        <v>104963</v>
      </c>
      <c r="U534" s="45">
        <v>10157</v>
      </c>
    </row>
    <row r="535" spans="1:21" ht="16.05" customHeight="1">
      <c r="A535" s="58" t="s">
        <v>2023</v>
      </c>
      <c r="B535" s="58" t="s">
        <v>1927</v>
      </c>
      <c r="C535" s="45">
        <v>132</v>
      </c>
      <c r="D535" s="45">
        <v>49016</v>
      </c>
      <c r="E535" s="45">
        <v>2</v>
      </c>
      <c r="F535" s="45">
        <v>40169</v>
      </c>
      <c r="G535" s="45">
        <v>0</v>
      </c>
      <c r="H535" s="45">
        <v>33954</v>
      </c>
      <c r="I535" s="45">
        <v>0</v>
      </c>
      <c r="J535" s="45">
        <v>28204</v>
      </c>
      <c r="K535" s="45">
        <v>0</v>
      </c>
      <c r="L535" s="45">
        <v>22927</v>
      </c>
      <c r="M535" s="45">
        <v>0</v>
      </c>
      <c r="N535" s="45">
        <v>18378</v>
      </c>
      <c r="O535" s="45">
        <v>0</v>
      </c>
      <c r="P535" s="45">
        <v>14199</v>
      </c>
      <c r="Q535" s="45">
        <v>0</v>
      </c>
      <c r="R535" s="45">
        <v>10669</v>
      </c>
      <c r="S535" s="45">
        <v>0</v>
      </c>
      <c r="T535" s="45">
        <v>17667</v>
      </c>
      <c r="U535" s="45">
        <v>8681</v>
      </c>
    </row>
    <row r="536" spans="1:21" ht="16.05" customHeight="1">
      <c r="A536" s="58" t="s">
        <v>2023</v>
      </c>
      <c r="B536" s="58" t="s">
        <v>1928</v>
      </c>
      <c r="C536" s="45">
        <v>86</v>
      </c>
      <c r="D536" s="45">
        <v>35797</v>
      </c>
      <c r="E536" s="45">
        <v>0</v>
      </c>
      <c r="F536" s="45">
        <v>28537</v>
      </c>
      <c r="G536" s="45">
        <v>0</v>
      </c>
      <c r="H536" s="45">
        <v>23147</v>
      </c>
      <c r="I536" s="45">
        <v>0</v>
      </c>
      <c r="J536" s="45">
        <v>18274</v>
      </c>
      <c r="K536" s="45">
        <v>0</v>
      </c>
      <c r="L536" s="45">
        <v>13754</v>
      </c>
      <c r="M536" s="45">
        <v>0</v>
      </c>
      <c r="N536" s="45">
        <v>10290</v>
      </c>
      <c r="O536" s="45">
        <v>0</v>
      </c>
      <c r="P536" s="45">
        <v>7292</v>
      </c>
      <c r="Q536" s="45">
        <v>0</v>
      </c>
      <c r="R536" s="45">
        <v>4652</v>
      </c>
      <c r="S536" s="45">
        <v>0</v>
      </c>
      <c r="T536" s="45">
        <v>5004</v>
      </c>
      <c r="U536" s="45">
        <v>7157</v>
      </c>
    </row>
    <row r="537" spans="1:21" ht="16.05" customHeight="1">
      <c r="A537" s="58" t="s">
        <v>2023</v>
      </c>
      <c r="B537" s="58" t="s">
        <v>1929</v>
      </c>
      <c r="C537" s="45">
        <v>24</v>
      </c>
      <c r="D537" s="45">
        <v>10943</v>
      </c>
      <c r="E537" s="45">
        <v>0</v>
      </c>
      <c r="F537" s="45">
        <v>6298</v>
      </c>
      <c r="G537" s="45">
        <v>0</v>
      </c>
      <c r="H537" s="45">
        <v>3126</v>
      </c>
      <c r="I537" s="45">
        <v>0</v>
      </c>
      <c r="J537" s="45">
        <v>1215</v>
      </c>
      <c r="K537" s="45">
        <v>0</v>
      </c>
      <c r="L537" s="45">
        <v>264</v>
      </c>
      <c r="M537" s="45">
        <v>0</v>
      </c>
      <c r="N537" s="45">
        <v>26</v>
      </c>
      <c r="O537" s="45">
        <v>0</v>
      </c>
      <c r="P537" s="45">
        <v>0</v>
      </c>
      <c r="Q537" s="45">
        <v>0</v>
      </c>
      <c r="R537" s="45">
        <v>0</v>
      </c>
      <c r="S537" s="45">
        <v>0</v>
      </c>
      <c r="T537" s="45">
        <v>0</v>
      </c>
      <c r="U537" s="45">
        <v>4610</v>
      </c>
    </row>
    <row r="538" spans="1:21" ht="16.05" customHeight="1">
      <c r="A538" s="58" t="s">
        <v>2023</v>
      </c>
      <c r="B538" s="58" t="s">
        <v>1930</v>
      </c>
      <c r="C538" s="45">
        <v>18</v>
      </c>
      <c r="D538" s="45">
        <v>6926</v>
      </c>
      <c r="E538" s="45">
        <v>0</v>
      </c>
      <c r="F538" s="45">
        <v>4776</v>
      </c>
      <c r="G538" s="45">
        <v>0</v>
      </c>
      <c r="H538" s="45">
        <v>2952</v>
      </c>
      <c r="I538" s="45">
        <v>0</v>
      </c>
      <c r="J538" s="45">
        <v>1350</v>
      </c>
      <c r="K538" s="45">
        <v>0</v>
      </c>
      <c r="L538" s="45">
        <v>0</v>
      </c>
      <c r="M538" s="45">
        <v>0</v>
      </c>
      <c r="N538" s="45">
        <v>0</v>
      </c>
      <c r="O538" s="45">
        <v>0</v>
      </c>
      <c r="P538" s="45">
        <v>0</v>
      </c>
      <c r="Q538" s="45">
        <v>0</v>
      </c>
      <c r="R538" s="45">
        <v>0</v>
      </c>
      <c r="S538" s="45">
        <v>0</v>
      </c>
      <c r="T538" s="45">
        <v>0</v>
      </c>
      <c r="U538" s="45">
        <v>2118</v>
      </c>
    </row>
    <row r="539" spans="1:21" ht="16.05" customHeight="1">
      <c r="A539" s="58" t="s">
        <v>2023</v>
      </c>
      <c r="B539" s="58" t="s">
        <v>1931</v>
      </c>
      <c r="C539" s="45">
        <v>52</v>
      </c>
      <c r="D539" s="45">
        <v>22531</v>
      </c>
      <c r="E539" s="45">
        <v>0</v>
      </c>
      <c r="F539" s="45">
        <v>16952</v>
      </c>
      <c r="G539" s="45">
        <v>0</v>
      </c>
      <c r="H539" s="45">
        <v>11741</v>
      </c>
      <c r="I539" s="45">
        <v>0</v>
      </c>
      <c r="J539" s="45">
        <v>7487</v>
      </c>
      <c r="K539" s="45">
        <v>0</v>
      </c>
      <c r="L539" s="45">
        <v>4392</v>
      </c>
      <c r="M539" s="45">
        <v>0</v>
      </c>
      <c r="N539" s="45">
        <v>2174</v>
      </c>
      <c r="O539" s="45">
        <v>0</v>
      </c>
      <c r="P539" s="45">
        <v>854</v>
      </c>
      <c r="Q539" s="45">
        <v>0</v>
      </c>
      <c r="R539" s="45">
        <v>368</v>
      </c>
      <c r="S539" s="45">
        <v>0</v>
      </c>
      <c r="T539" s="45">
        <v>140</v>
      </c>
      <c r="U539" s="45">
        <v>5498</v>
      </c>
    </row>
    <row r="540" spans="1:21" ht="16.05" customHeight="1">
      <c r="A540" s="58" t="s">
        <v>2023</v>
      </c>
      <c r="B540" s="58" t="s">
        <v>1932</v>
      </c>
      <c r="C540" s="45">
        <v>19</v>
      </c>
      <c r="D540" s="45">
        <v>7396</v>
      </c>
      <c r="E540" s="45">
        <v>0</v>
      </c>
      <c r="F540" s="45">
        <v>3572</v>
      </c>
      <c r="G540" s="45">
        <v>0</v>
      </c>
      <c r="H540" s="45">
        <v>1599</v>
      </c>
      <c r="I540" s="45">
        <v>0</v>
      </c>
      <c r="J540" s="45">
        <v>182</v>
      </c>
      <c r="K540" s="45">
        <v>0</v>
      </c>
      <c r="L540" s="45">
        <v>0</v>
      </c>
      <c r="M540" s="45">
        <v>0</v>
      </c>
      <c r="N540" s="45">
        <v>0</v>
      </c>
      <c r="O540" s="45">
        <v>0</v>
      </c>
      <c r="P540" s="45">
        <v>0</v>
      </c>
      <c r="Q540" s="45">
        <v>0</v>
      </c>
      <c r="R540" s="45">
        <v>0</v>
      </c>
      <c r="S540" s="45">
        <v>0</v>
      </c>
      <c r="T540" s="45">
        <v>0</v>
      </c>
      <c r="U540" s="45">
        <v>3806</v>
      </c>
    </row>
    <row r="541" spans="1:21" ht="16.05" customHeight="1">
      <c r="A541" s="58" t="s">
        <v>2023</v>
      </c>
      <c r="B541" s="58" t="s">
        <v>1933</v>
      </c>
      <c r="C541" s="45">
        <v>33</v>
      </c>
      <c r="D541" s="45">
        <v>12488</v>
      </c>
      <c r="E541" s="45">
        <v>0</v>
      </c>
      <c r="F541" s="45">
        <v>7878</v>
      </c>
      <c r="G541" s="45">
        <v>0</v>
      </c>
      <c r="H541" s="45">
        <v>4083</v>
      </c>
      <c r="I541" s="45">
        <v>0</v>
      </c>
      <c r="J541" s="45">
        <v>1380</v>
      </c>
      <c r="K541" s="45">
        <v>0</v>
      </c>
      <c r="L541" s="45">
        <v>418</v>
      </c>
      <c r="M541" s="45">
        <v>0</v>
      </c>
      <c r="N541" s="45">
        <v>111</v>
      </c>
      <c r="O541" s="45">
        <v>0</v>
      </c>
      <c r="P541" s="45">
        <v>0</v>
      </c>
      <c r="Q541" s="45">
        <v>0</v>
      </c>
      <c r="R541" s="45">
        <v>0</v>
      </c>
      <c r="S541" s="45">
        <v>0</v>
      </c>
      <c r="T541" s="45">
        <v>0</v>
      </c>
      <c r="U541" s="45">
        <v>4586</v>
      </c>
    </row>
    <row r="542" spans="1:21" ht="16.05" customHeight="1">
      <c r="A542" s="58" t="s">
        <v>2023</v>
      </c>
      <c r="B542" s="58" t="s">
        <v>1934</v>
      </c>
      <c r="C542" s="45">
        <v>11</v>
      </c>
      <c r="D542" s="45">
        <v>5186</v>
      </c>
      <c r="E542" s="45">
        <v>0</v>
      </c>
      <c r="F542" s="45">
        <v>2537</v>
      </c>
      <c r="G542" s="45">
        <v>0</v>
      </c>
      <c r="H542" s="45">
        <v>808</v>
      </c>
      <c r="I542" s="45">
        <v>0</v>
      </c>
      <c r="J542" s="45">
        <v>0</v>
      </c>
      <c r="K542" s="45">
        <v>0</v>
      </c>
      <c r="L542" s="45">
        <v>0</v>
      </c>
      <c r="M542" s="45">
        <v>0</v>
      </c>
      <c r="N542" s="45">
        <v>0</v>
      </c>
      <c r="O542" s="45">
        <v>0</v>
      </c>
      <c r="P542" s="45">
        <v>0</v>
      </c>
      <c r="Q542" s="45">
        <v>0</v>
      </c>
      <c r="R542" s="45">
        <v>0</v>
      </c>
      <c r="S542" s="45">
        <v>0</v>
      </c>
      <c r="T542" s="45">
        <v>0</v>
      </c>
      <c r="U542" s="45">
        <v>2640</v>
      </c>
    </row>
    <row r="543" spans="1:21" ht="16.05" customHeight="1">
      <c r="A543" s="58" t="s">
        <v>2023</v>
      </c>
      <c r="B543" s="58" t="s">
        <v>1935</v>
      </c>
      <c r="C543" s="45">
        <v>52</v>
      </c>
      <c r="D543" s="45">
        <v>18241</v>
      </c>
      <c r="E543" s="45">
        <v>0</v>
      </c>
      <c r="F543" s="45">
        <v>12516</v>
      </c>
      <c r="G543" s="45">
        <v>0</v>
      </c>
      <c r="H543" s="45">
        <v>7359</v>
      </c>
      <c r="I543" s="45">
        <v>0</v>
      </c>
      <c r="J543" s="45">
        <v>3730</v>
      </c>
      <c r="K543" s="45">
        <v>0</v>
      </c>
      <c r="L543" s="45">
        <v>1440</v>
      </c>
      <c r="M543" s="45">
        <v>0</v>
      </c>
      <c r="N543" s="45">
        <v>475</v>
      </c>
      <c r="O543" s="45">
        <v>0</v>
      </c>
      <c r="P543" s="45">
        <v>165</v>
      </c>
      <c r="Q543" s="45">
        <v>0</v>
      </c>
      <c r="R543" s="45">
        <v>0</v>
      </c>
      <c r="S543" s="45">
        <v>0</v>
      </c>
      <c r="T543" s="45">
        <v>0</v>
      </c>
      <c r="U543" s="45">
        <v>5671</v>
      </c>
    </row>
    <row r="544" spans="1:21" ht="16.05" customHeight="1">
      <c r="A544" s="58" t="s">
        <v>2023</v>
      </c>
      <c r="B544" s="58" t="s">
        <v>1936</v>
      </c>
      <c r="C544" s="45">
        <v>56</v>
      </c>
      <c r="D544" s="45">
        <v>24093</v>
      </c>
      <c r="E544" s="45">
        <v>0</v>
      </c>
      <c r="F544" s="45">
        <v>17790</v>
      </c>
      <c r="G544" s="45">
        <v>0</v>
      </c>
      <c r="H544" s="45">
        <v>12169</v>
      </c>
      <c r="I544" s="45">
        <v>0</v>
      </c>
      <c r="J544" s="45">
        <v>7187</v>
      </c>
      <c r="K544" s="45">
        <v>0</v>
      </c>
      <c r="L544" s="45">
        <v>3325</v>
      </c>
      <c r="M544" s="45">
        <v>0</v>
      </c>
      <c r="N544" s="45">
        <v>1269</v>
      </c>
      <c r="O544" s="45">
        <v>0</v>
      </c>
      <c r="P544" s="45">
        <v>655</v>
      </c>
      <c r="Q544" s="45">
        <v>0</v>
      </c>
      <c r="R544" s="45">
        <v>302</v>
      </c>
      <c r="S544" s="45">
        <v>0</v>
      </c>
      <c r="T544" s="45">
        <v>91</v>
      </c>
      <c r="U544" s="45">
        <v>6234</v>
      </c>
    </row>
    <row r="545" spans="1:21" ht="16.05" customHeight="1">
      <c r="A545" s="58" t="s">
        <v>2023</v>
      </c>
      <c r="B545" s="58" t="s">
        <v>1937</v>
      </c>
      <c r="C545" s="45">
        <v>105</v>
      </c>
      <c r="D545" s="45">
        <v>45955</v>
      </c>
      <c r="E545" s="45">
        <v>0</v>
      </c>
      <c r="F545" s="45">
        <v>38554</v>
      </c>
      <c r="G545" s="45">
        <v>0</v>
      </c>
      <c r="H545" s="45">
        <v>31941</v>
      </c>
      <c r="I545" s="45">
        <v>0</v>
      </c>
      <c r="J545" s="45">
        <v>25799</v>
      </c>
      <c r="K545" s="45">
        <v>0</v>
      </c>
      <c r="L545" s="45">
        <v>20724</v>
      </c>
      <c r="M545" s="45">
        <v>0</v>
      </c>
      <c r="N545" s="45">
        <v>15982</v>
      </c>
      <c r="O545" s="45">
        <v>0</v>
      </c>
      <c r="P545" s="45">
        <v>11770</v>
      </c>
      <c r="Q545" s="45">
        <v>0</v>
      </c>
      <c r="R545" s="45">
        <v>8025</v>
      </c>
      <c r="S545" s="45">
        <v>0</v>
      </c>
      <c r="T545" s="45">
        <v>12863</v>
      </c>
      <c r="U545" s="45">
        <v>7197</v>
      </c>
    </row>
    <row r="546" spans="1:21" ht="16.05" customHeight="1">
      <c r="A546" s="58" t="s">
        <v>2023</v>
      </c>
      <c r="B546" s="58" t="s">
        <v>1938</v>
      </c>
      <c r="C546" s="45">
        <v>73</v>
      </c>
      <c r="D546" s="45">
        <v>38440</v>
      </c>
      <c r="E546" s="45">
        <v>0</v>
      </c>
      <c r="F546" s="45">
        <v>30992</v>
      </c>
      <c r="G546" s="45">
        <v>0</v>
      </c>
      <c r="H546" s="45">
        <v>24042</v>
      </c>
      <c r="I546" s="45">
        <v>0</v>
      </c>
      <c r="J546" s="45">
        <v>17873</v>
      </c>
      <c r="K546" s="45">
        <v>0</v>
      </c>
      <c r="L546" s="45">
        <v>12570</v>
      </c>
      <c r="M546" s="45">
        <v>0</v>
      </c>
      <c r="N546" s="45">
        <v>8340</v>
      </c>
      <c r="O546" s="45">
        <v>0</v>
      </c>
      <c r="P546" s="45">
        <v>4697</v>
      </c>
      <c r="Q546" s="45">
        <v>0</v>
      </c>
      <c r="R546" s="45">
        <v>2426</v>
      </c>
      <c r="S546" s="45">
        <v>0</v>
      </c>
      <c r="T546" s="45">
        <v>2790</v>
      </c>
      <c r="U546" s="45">
        <v>7345</v>
      </c>
    </row>
    <row r="547" spans="1:21" ht="16.05" customHeight="1">
      <c r="A547" s="58" t="s">
        <v>2023</v>
      </c>
      <c r="B547" s="58" t="s">
        <v>1939</v>
      </c>
      <c r="C547" s="45">
        <v>65</v>
      </c>
      <c r="D547" s="45">
        <v>28903</v>
      </c>
      <c r="E547" s="45">
        <v>0</v>
      </c>
      <c r="F547" s="45">
        <v>23237</v>
      </c>
      <c r="G547" s="45">
        <v>0</v>
      </c>
      <c r="H547" s="45">
        <v>18136</v>
      </c>
      <c r="I547" s="45">
        <v>0</v>
      </c>
      <c r="J547" s="45">
        <v>13994</v>
      </c>
      <c r="K547" s="45">
        <v>0</v>
      </c>
      <c r="L547" s="45">
        <v>10212</v>
      </c>
      <c r="M547" s="45">
        <v>0</v>
      </c>
      <c r="N547" s="45">
        <v>6956</v>
      </c>
      <c r="O547" s="45">
        <v>0</v>
      </c>
      <c r="P547" s="45">
        <v>4599</v>
      </c>
      <c r="Q547" s="45">
        <v>0</v>
      </c>
      <c r="R547" s="45">
        <v>2961</v>
      </c>
      <c r="S547" s="45">
        <v>0</v>
      </c>
      <c r="T547" s="45">
        <v>2255</v>
      </c>
      <c r="U547" s="45">
        <v>5553</v>
      </c>
    </row>
    <row r="548" spans="1:21" ht="16.05" customHeight="1">
      <c r="A548" s="58" t="s">
        <v>2023</v>
      </c>
      <c r="B548" s="58" t="s">
        <v>1940</v>
      </c>
      <c r="C548" s="45">
        <v>122</v>
      </c>
      <c r="D548" s="45">
        <v>48702</v>
      </c>
      <c r="E548" s="45">
        <v>0</v>
      </c>
      <c r="F548" s="45">
        <v>40355</v>
      </c>
      <c r="G548" s="45">
        <v>0</v>
      </c>
      <c r="H548" s="45">
        <v>32578</v>
      </c>
      <c r="I548" s="45">
        <v>0</v>
      </c>
      <c r="J548" s="45">
        <v>25255</v>
      </c>
      <c r="K548" s="45">
        <v>0</v>
      </c>
      <c r="L548" s="45">
        <v>19444</v>
      </c>
      <c r="M548" s="45">
        <v>0</v>
      </c>
      <c r="N548" s="45">
        <v>14094</v>
      </c>
      <c r="O548" s="45">
        <v>0</v>
      </c>
      <c r="P548" s="45">
        <v>10144</v>
      </c>
      <c r="Q548" s="45">
        <v>0</v>
      </c>
      <c r="R548" s="45">
        <v>6814</v>
      </c>
      <c r="S548" s="45">
        <v>0</v>
      </c>
      <c r="T548" s="45">
        <v>9605</v>
      </c>
      <c r="U548" s="45">
        <v>8176</v>
      </c>
    </row>
    <row r="549" spans="1:21" ht="16.05" customHeight="1">
      <c r="A549" s="58" t="s">
        <v>2023</v>
      </c>
      <c r="B549" s="58" t="s">
        <v>1941</v>
      </c>
      <c r="C549" s="45">
        <v>136</v>
      </c>
      <c r="D549" s="45">
        <v>56106</v>
      </c>
      <c r="E549" s="45">
        <v>2</v>
      </c>
      <c r="F549" s="45">
        <v>47690</v>
      </c>
      <c r="G549" s="45">
        <v>0</v>
      </c>
      <c r="H549" s="45">
        <v>39820</v>
      </c>
      <c r="I549" s="45">
        <v>0</v>
      </c>
      <c r="J549" s="45">
        <v>32468</v>
      </c>
      <c r="K549" s="45">
        <v>0</v>
      </c>
      <c r="L549" s="45">
        <v>25524</v>
      </c>
      <c r="M549" s="45">
        <v>0</v>
      </c>
      <c r="N549" s="45">
        <v>19048</v>
      </c>
      <c r="O549" s="45">
        <v>0</v>
      </c>
      <c r="P549" s="45">
        <v>13607</v>
      </c>
      <c r="Q549" s="45">
        <v>0</v>
      </c>
      <c r="R549" s="45">
        <v>9334</v>
      </c>
      <c r="S549" s="45">
        <v>0</v>
      </c>
      <c r="T549" s="45">
        <v>15705</v>
      </c>
      <c r="U549" s="45">
        <v>8143</v>
      </c>
    </row>
    <row r="550" spans="1:21" ht="16.05" customHeight="1">
      <c r="A550" s="58" t="s">
        <v>2023</v>
      </c>
      <c r="B550" s="58" t="s">
        <v>1942</v>
      </c>
      <c r="C550" s="45">
        <v>82</v>
      </c>
      <c r="D550" s="45">
        <v>32068</v>
      </c>
      <c r="E550" s="45">
        <v>0</v>
      </c>
      <c r="F550" s="45">
        <v>25589</v>
      </c>
      <c r="G550" s="45">
        <v>0</v>
      </c>
      <c r="H550" s="45">
        <v>20203</v>
      </c>
      <c r="I550" s="45">
        <v>0</v>
      </c>
      <c r="J550" s="45">
        <v>15036</v>
      </c>
      <c r="K550" s="45">
        <v>0</v>
      </c>
      <c r="L550" s="45">
        <v>10353</v>
      </c>
      <c r="M550" s="45">
        <v>0</v>
      </c>
      <c r="N550" s="45">
        <v>6561</v>
      </c>
      <c r="O550" s="45">
        <v>0</v>
      </c>
      <c r="P550" s="45">
        <v>3818</v>
      </c>
      <c r="Q550" s="45">
        <v>0</v>
      </c>
      <c r="R550" s="45">
        <v>2155</v>
      </c>
      <c r="S550" s="45">
        <v>0</v>
      </c>
      <c r="T550" s="45">
        <v>1910</v>
      </c>
      <c r="U550" s="45">
        <v>6323</v>
      </c>
    </row>
    <row r="551" spans="1:21" ht="16.05" customHeight="1">
      <c r="A551" s="58" t="s">
        <v>2023</v>
      </c>
      <c r="B551" s="58" t="s">
        <v>1943</v>
      </c>
      <c r="C551" s="45">
        <v>22</v>
      </c>
      <c r="D551" s="45">
        <v>14959</v>
      </c>
      <c r="E551" s="45">
        <v>0</v>
      </c>
      <c r="F551" s="45">
        <v>9969</v>
      </c>
      <c r="G551" s="45">
        <v>0</v>
      </c>
      <c r="H551" s="45">
        <v>5418</v>
      </c>
      <c r="I551" s="45">
        <v>0</v>
      </c>
      <c r="J551" s="45">
        <v>1999</v>
      </c>
      <c r="K551" s="45">
        <v>0</v>
      </c>
      <c r="L551" s="45">
        <v>504</v>
      </c>
      <c r="M551" s="45">
        <v>0</v>
      </c>
      <c r="N551" s="45">
        <v>190</v>
      </c>
      <c r="O551" s="45">
        <v>0</v>
      </c>
      <c r="P551" s="45">
        <v>72</v>
      </c>
      <c r="Q551" s="45">
        <v>0</v>
      </c>
      <c r="R551" s="45">
        <v>0</v>
      </c>
      <c r="S551" s="45">
        <v>0</v>
      </c>
      <c r="T551" s="45">
        <v>0</v>
      </c>
      <c r="U551" s="45">
        <v>4941</v>
      </c>
    </row>
    <row r="552" spans="1:21" ht="16.05" customHeight="1">
      <c r="A552" s="58" t="s">
        <v>2023</v>
      </c>
      <c r="B552" s="58" t="s">
        <v>1944</v>
      </c>
      <c r="C552" s="45">
        <v>57</v>
      </c>
      <c r="D552" s="45">
        <v>19471</v>
      </c>
      <c r="E552" s="45">
        <v>0</v>
      </c>
      <c r="F552" s="45">
        <v>14827</v>
      </c>
      <c r="G552" s="45">
        <v>0</v>
      </c>
      <c r="H552" s="45">
        <v>10857</v>
      </c>
      <c r="I552" s="45">
        <v>0</v>
      </c>
      <c r="J552" s="45">
        <v>7519</v>
      </c>
      <c r="K552" s="45">
        <v>0</v>
      </c>
      <c r="L552" s="45">
        <v>4827</v>
      </c>
      <c r="M552" s="45">
        <v>0</v>
      </c>
      <c r="N552" s="45">
        <v>2744</v>
      </c>
      <c r="O552" s="45">
        <v>0</v>
      </c>
      <c r="P552" s="45">
        <v>1292</v>
      </c>
      <c r="Q552" s="45">
        <v>0</v>
      </c>
      <c r="R552" s="45">
        <v>543</v>
      </c>
      <c r="S552" s="45">
        <v>0</v>
      </c>
      <c r="T552" s="45">
        <v>174</v>
      </c>
      <c r="U552" s="45">
        <v>4595</v>
      </c>
    </row>
    <row r="553" spans="1:21" ht="16.05" customHeight="1">
      <c r="A553" s="58" t="s">
        <v>2023</v>
      </c>
      <c r="B553" s="58" t="s">
        <v>1945</v>
      </c>
      <c r="C553" s="45">
        <v>88</v>
      </c>
      <c r="D553" s="45">
        <v>30528</v>
      </c>
      <c r="E553" s="45">
        <v>0</v>
      </c>
      <c r="F553" s="45">
        <v>23975</v>
      </c>
      <c r="G553" s="45">
        <v>0</v>
      </c>
      <c r="H553" s="45">
        <v>18163</v>
      </c>
      <c r="I553" s="45">
        <v>0</v>
      </c>
      <c r="J553" s="45">
        <v>12995</v>
      </c>
      <c r="K553" s="45">
        <v>0</v>
      </c>
      <c r="L553" s="45">
        <v>9599</v>
      </c>
      <c r="M553" s="45">
        <v>0</v>
      </c>
      <c r="N553" s="45">
        <v>6522</v>
      </c>
      <c r="O553" s="45">
        <v>0</v>
      </c>
      <c r="P553" s="45">
        <v>4028</v>
      </c>
      <c r="Q553" s="45">
        <v>0</v>
      </c>
      <c r="R553" s="45">
        <v>2147</v>
      </c>
      <c r="S553" s="45">
        <v>0</v>
      </c>
      <c r="T553" s="45">
        <v>891</v>
      </c>
      <c r="U553" s="45">
        <v>6433</v>
      </c>
    </row>
    <row r="554" spans="1:21" ht="16.05" customHeight="1">
      <c r="A554" s="58" t="s">
        <v>2023</v>
      </c>
      <c r="B554" s="58" t="s">
        <v>1946</v>
      </c>
      <c r="C554" s="45">
        <v>19</v>
      </c>
      <c r="D554" s="45">
        <v>10346</v>
      </c>
      <c r="E554" s="45">
        <v>0</v>
      </c>
      <c r="F554" s="45">
        <v>5275</v>
      </c>
      <c r="G554" s="45">
        <v>0</v>
      </c>
      <c r="H554" s="45">
        <v>1696</v>
      </c>
      <c r="I554" s="45">
        <v>0</v>
      </c>
      <c r="J554" s="45">
        <v>281</v>
      </c>
      <c r="K554" s="45">
        <v>0</v>
      </c>
      <c r="L554" s="45">
        <v>49</v>
      </c>
      <c r="M554" s="45">
        <v>0</v>
      </c>
      <c r="N554" s="45">
        <v>0</v>
      </c>
      <c r="O554" s="45">
        <v>0</v>
      </c>
      <c r="P554" s="45">
        <v>0</v>
      </c>
      <c r="Q554" s="45">
        <v>0</v>
      </c>
      <c r="R554" s="45">
        <v>0</v>
      </c>
      <c r="S554" s="45">
        <v>0</v>
      </c>
      <c r="T554" s="45">
        <v>0</v>
      </c>
      <c r="U554" s="45">
        <v>5046</v>
      </c>
    </row>
    <row r="555" spans="1:21" ht="16.05" customHeight="1">
      <c r="A555" s="58" t="s">
        <v>2023</v>
      </c>
      <c r="B555" s="58" t="s">
        <v>1947</v>
      </c>
      <c r="C555" s="45">
        <v>20</v>
      </c>
      <c r="D555" s="45">
        <v>7397</v>
      </c>
      <c r="E555" s="45">
        <v>0</v>
      </c>
      <c r="F555" s="45">
        <v>3756</v>
      </c>
      <c r="G555" s="45">
        <v>0</v>
      </c>
      <c r="H555" s="45">
        <v>1885</v>
      </c>
      <c r="I555" s="45">
        <v>0</v>
      </c>
      <c r="J555" s="45">
        <v>327</v>
      </c>
      <c r="K555" s="45">
        <v>0</v>
      </c>
      <c r="L555" s="45">
        <v>0</v>
      </c>
      <c r="M555" s="45">
        <v>0</v>
      </c>
      <c r="N555" s="45">
        <v>0</v>
      </c>
      <c r="O555" s="45">
        <v>0</v>
      </c>
      <c r="P555" s="45">
        <v>0</v>
      </c>
      <c r="Q555" s="45">
        <v>0</v>
      </c>
      <c r="R555" s="45">
        <v>0</v>
      </c>
      <c r="S555" s="45">
        <v>0</v>
      </c>
      <c r="T555" s="45">
        <v>0</v>
      </c>
      <c r="U555" s="45">
        <v>3616</v>
      </c>
    </row>
    <row r="556" spans="1:21" ht="16.05" customHeight="1">
      <c r="A556" s="58" t="s">
        <v>2023</v>
      </c>
      <c r="B556" s="58" t="s">
        <v>1948</v>
      </c>
      <c r="C556" s="45">
        <v>42</v>
      </c>
      <c r="D556" s="45">
        <v>20025</v>
      </c>
      <c r="E556" s="45">
        <v>0</v>
      </c>
      <c r="F556" s="45">
        <v>14485</v>
      </c>
      <c r="G556" s="45">
        <v>0</v>
      </c>
      <c r="H556" s="45">
        <v>9670</v>
      </c>
      <c r="I556" s="45">
        <v>0</v>
      </c>
      <c r="J556" s="45">
        <v>6326</v>
      </c>
      <c r="K556" s="45">
        <v>0</v>
      </c>
      <c r="L556" s="45">
        <v>3536</v>
      </c>
      <c r="M556" s="45">
        <v>0</v>
      </c>
      <c r="N556" s="45">
        <v>1829</v>
      </c>
      <c r="O556" s="45">
        <v>0</v>
      </c>
      <c r="P556" s="45">
        <v>892</v>
      </c>
      <c r="Q556" s="45">
        <v>0</v>
      </c>
      <c r="R556" s="45">
        <v>172</v>
      </c>
      <c r="S556" s="45">
        <v>0</v>
      </c>
      <c r="T556" s="45">
        <v>53</v>
      </c>
      <c r="U556" s="45">
        <v>5432</v>
      </c>
    </row>
    <row r="557" spans="1:21" ht="16.05" customHeight="1">
      <c r="A557" s="58" t="s">
        <v>2023</v>
      </c>
      <c r="B557" s="58" t="s">
        <v>1949</v>
      </c>
      <c r="C557" s="45">
        <v>79</v>
      </c>
      <c r="D557" s="45">
        <v>29486</v>
      </c>
      <c r="E557" s="45">
        <v>0</v>
      </c>
      <c r="F557" s="45">
        <v>22704</v>
      </c>
      <c r="G557" s="45">
        <v>0</v>
      </c>
      <c r="H557" s="45">
        <v>16478</v>
      </c>
      <c r="I557" s="45">
        <v>0</v>
      </c>
      <c r="J557" s="45">
        <v>10812</v>
      </c>
      <c r="K557" s="45">
        <v>0</v>
      </c>
      <c r="L557" s="45">
        <v>5845</v>
      </c>
      <c r="M557" s="45">
        <v>0</v>
      </c>
      <c r="N557" s="45">
        <v>1736</v>
      </c>
      <c r="O557" s="45">
        <v>0</v>
      </c>
      <c r="P557" s="45">
        <v>1037</v>
      </c>
      <c r="Q557" s="45">
        <v>0</v>
      </c>
      <c r="R557" s="45">
        <v>612</v>
      </c>
      <c r="S557" s="45">
        <v>0</v>
      </c>
      <c r="T557" s="45">
        <v>420</v>
      </c>
      <c r="U557" s="45">
        <v>6666</v>
      </c>
    </row>
    <row r="558" spans="1:21" ht="16.05" customHeight="1">
      <c r="A558" s="58" t="s">
        <v>2023</v>
      </c>
      <c r="B558" s="58" t="s">
        <v>1950</v>
      </c>
      <c r="C558" s="45">
        <v>121</v>
      </c>
      <c r="D558" s="45">
        <v>48801</v>
      </c>
      <c r="E558" s="45">
        <v>0</v>
      </c>
      <c r="F558" s="45">
        <v>39462</v>
      </c>
      <c r="G558" s="45">
        <v>0</v>
      </c>
      <c r="H558" s="45">
        <v>31213</v>
      </c>
      <c r="I558" s="45">
        <v>0</v>
      </c>
      <c r="J558" s="45">
        <v>23915</v>
      </c>
      <c r="K558" s="45">
        <v>0</v>
      </c>
      <c r="L558" s="45">
        <v>17871</v>
      </c>
      <c r="M558" s="45">
        <v>0</v>
      </c>
      <c r="N558" s="45">
        <v>12926</v>
      </c>
      <c r="O558" s="45">
        <v>0</v>
      </c>
      <c r="P558" s="45">
        <v>8723</v>
      </c>
      <c r="Q558" s="45">
        <v>0</v>
      </c>
      <c r="R558" s="45">
        <v>5474</v>
      </c>
      <c r="S558" s="45">
        <v>0</v>
      </c>
      <c r="T558" s="45">
        <v>5632</v>
      </c>
      <c r="U558" s="45">
        <v>9185</v>
      </c>
    </row>
    <row r="559" spans="1:21" ht="16.05" customHeight="1">
      <c r="A559" s="58" t="s">
        <v>2023</v>
      </c>
      <c r="B559" s="58" t="s">
        <v>1951</v>
      </c>
      <c r="C559" s="45">
        <v>108</v>
      </c>
      <c r="D559" s="45">
        <v>51376</v>
      </c>
      <c r="E559" s="45">
        <v>0</v>
      </c>
      <c r="F559" s="45">
        <v>42657</v>
      </c>
      <c r="G559" s="45">
        <v>0</v>
      </c>
      <c r="H559" s="45">
        <v>34598</v>
      </c>
      <c r="I559" s="45">
        <v>0</v>
      </c>
      <c r="J559" s="45">
        <v>27805</v>
      </c>
      <c r="K559" s="45">
        <v>0</v>
      </c>
      <c r="L559" s="45">
        <v>21532</v>
      </c>
      <c r="M559" s="45">
        <v>0</v>
      </c>
      <c r="N559" s="45">
        <v>16083</v>
      </c>
      <c r="O559" s="45">
        <v>0</v>
      </c>
      <c r="P559" s="45">
        <v>11623</v>
      </c>
      <c r="Q559" s="45">
        <v>0</v>
      </c>
      <c r="R559" s="45">
        <v>8159</v>
      </c>
      <c r="S559" s="45">
        <v>0</v>
      </c>
      <c r="T559" s="45">
        <v>11461</v>
      </c>
      <c r="U559" s="45">
        <v>8505</v>
      </c>
    </row>
    <row r="560" spans="1:21" ht="16.05" customHeight="1">
      <c r="A560" s="58" t="s">
        <v>2023</v>
      </c>
      <c r="B560" s="58" t="s">
        <v>1952</v>
      </c>
      <c r="C560" s="45">
        <v>92</v>
      </c>
      <c r="D560" s="45">
        <v>42349</v>
      </c>
      <c r="E560" s="45">
        <v>0</v>
      </c>
      <c r="F560" s="45">
        <v>34447</v>
      </c>
      <c r="G560" s="45">
        <v>0</v>
      </c>
      <c r="H560" s="45">
        <v>27220</v>
      </c>
      <c r="I560" s="45">
        <v>0</v>
      </c>
      <c r="J560" s="45">
        <v>20537</v>
      </c>
      <c r="K560" s="45">
        <v>0</v>
      </c>
      <c r="L560" s="45">
        <v>14455</v>
      </c>
      <c r="M560" s="45">
        <v>0</v>
      </c>
      <c r="N560" s="45">
        <v>9534</v>
      </c>
      <c r="O560" s="45">
        <v>0</v>
      </c>
      <c r="P560" s="45">
        <v>5769</v>
      </c>
      <c r="Q560" s="45">
        <v>0</v>
      </c>
      <c r="R560" s="45">
        <v>3278</v>
      </c>
      <c r="S560" s="45">
        <v>0</v>
      </c>
      <c r="T560" s="45">
        <v>3810</v>
      </c>
      <c r="U560" s="45">
        <v>7686</v>
      </c>
    </row>
    <row r="561" spans="1:21" ht="16.05" customHeight="1">
      <c r="A561" s="58" t="s">
        <v>2023</v>
      </c>
      <c r="B561" s="58" t="s">
        <v>1953</v>
      </c>
      <c r="C561" s="45">
        <v>95</v>
      </c>
      <c r="D561" s="45">
        <v>38429</v>
      </c>
      <c r="E561" s="45">
        <v>1</v>
      </c>
      <c r="F561" s="45">
        <v>31384</v>
      </c>
      <c r="G561" s="45">
        <v>0</v>
      </c>
      <c r="H561" s="45">
        <v>24714</v>
      </c>
      <c r="I561" s="45">
        <v>0</v>
      </c>
      <c r="J561" s="45">
        <v>18660</v>
      </c>
      <c r="K561" s="45">
        <v>0</v>
      </c>
      <c r="L561" s="45">
        <v>13868</v>
      </c>
      <c r="M561" s="45">
        <v>0</v>
      </c>
      <c r="N561" s="45">
        <v>9682</v>
      </c>
      <c r="O561" s="45">
        <v>0</v>
      </c>
      <c r="P561" s="45">
        <v>6298</v>
      </c>
      <c r="Q561" s="45">
        <v>0</v>
      </c>
      <c r="R561" s="45">
        <v>3733</v>
      </c>
      <c r="S561" s="45">
        <v>0</v>
      </c>
      <c r="T561" s="45">
        <v>4517</v>
      </c>
      <c r="U561" s="45">
        <v>6938</v>
      </c>
    </row>
    <row r="562" spans="1:21" ht="16.05" customHeight="1">
      <c r="A562" s="58" t="s">
        <v>2023</v>
      </c>
      <c r="B562" s="58" t="s">
        <v>1954</v>
      </c>
      <c r="C562" s="45">
        <v>98</v>
      </c>
      <c r="D562" s="45">
        <v>47795</v>
      </c>
      <c r="E562" s="45">
        <v>1</v>
      </c>
      <c r="F562" s="45">
        <v>40061</v>
      </c>
      <c r="G562" s="45">
        <v>0</v>
      </c>
      <c r="H562" s="45">
        <v>33002</v>
      </c>
      <c r="I562" s="45">
        <v>0</v>
      </c>
      <c r="J562" s="45">
        <v>27039</v>
      </c>
      <c r="K562" s="45">
        <v>0</v>
      </c>
      <c r="L562" s="45">
        <v>21763</v>
      </c>
      <c r="M562" s="45">
        <v>0</v>
      </c>
      <c r="N562" s="45">
        <v>17003</v>
      </c>
      <c r="O562" s="45">
        <v>0</v>
      </c>
      <c r="P562" s="45">
        <v>13021</v>
      </c>
      <c r="Q562" s="45">
        <v>0</v>
      </c>
      <c r="R562" s="45">
        <v>9410</v>
      </c>
      <c r="S562" s="45">
        <v>0</v>
      </c>
      <c r="T562" s="45">
        <v>16021</v>
      </c>
      <c r="U562" s="45">
        <v>7464</v>
      </c>
    </row>
    <row r="563" spans="1:21" ht="16.05" customHeight="1">
      <c r="A563" s="58" t="s">
        <v>2023</v>
      </c>
      <c r="B563" s="58" t="s">
        <v>1955</v>
      </c>
      <c r="C563" s="45">
        <v>46</v>
      </c>
      <c r="D563" s="45">
        <v>20195</v>
      </c>
      <c r="E563" s="45">
        <v>0</v>
      </c>
      <c r="F563" s="45">
        <v>14516</v>
      </c>
      <c r="G563" s="45">
        <v>0</v>
      </c>
      <c r="H563" s="45">
        <v>9957</v>
      </c>
      <c r="I563" s="45">
        <v>0</v>
      </c>
      <c r="J563" s="45">
        <v>6431</v>
      </c>
      <c r="K563" s="45">
        <v>0</v>
      </c>
      <c r="L563" s="45">
        <v>3652</v>
      </c>
      <c r="M563" s="45">
        <v>0</v>
      </c>
      <c r="N563" s="45">
        <v>1693</v>
      </c>
      <c r="O563" s="45">
        <v>0</v>
      </c>
      <c r="P563" s="45">
        <v>591</v>
      </c>
      <c r="Q563" s="45">
        <v>0</v>
      </c>
      <c r="R563" s="45">
        <v>139</v>
      </c>
      <c r="S563" s="45">
        <v>0</v>
      </c>
      <c r="T563" s="45">
        <v>0</v>
      </c>
      <c r="U563" s="45">
        <v>5617</v>
      </c>
    </row>
    <row r="564" spans="1:21" ht="16.05" customHeight="1">
      <c r="A564" s="58" t="s">
        <v>2023</v>
      </c>
      <c r="B564" s="58" t="s">
        <v>1956</v>
      </c>
      <c r="C564" s="45">
        <v>111</v>
      </c>
      <c r="D564" s="45">
        <v>50176</v>
      </c>
      <c r="E564" s="45">
        <v>0</v>
      </c>
      <c r="F564" s="45">
        <v>42460</v>
      </c>
      <c r="G564" s="45">
        <v>0</v>
      </c>
      <c r="H564" s="45">
        <v>35403</v>
      </c>
      <c r="I564" s="45">
        <v>0</v>
      </c>
      <c r="J564" s="45">
        <v>28720</v>
      </c>
      <c r="K564" s="45">
        <v>0</v>
      </c>
      <c r="L564" s="45">
        <v>22416</v>
      </c>
      <c r="M564" s="45">
        <v>0</v>
      </c>
      <c r="N564" s="45">
        <v>16933</v>
      </c>
      <c r="O564" s="45">
        <v>0</v>
      </c>
      <c r="P564" s="45">
        <v>11767</v>
      </c>
      <c r="Q564" s="45">
        <v>0</v>
      </c>
      <c r="R564" s="45">
        <v>7829</v>
      </c>
      <c r="S564" s="45">
        <v>0</v>
      </c>
      <c r="T564" s="45">
        <v>12810</v>
      </c>
      <c r="U564" s="45">
        <v>7502</v>
      </c>
    </row>
    <row r="565" spans="1:21" ht="16.05" customHeight="1">
      <c r="A565" s="58" t="s">
        <v>2023</v>
      </c>
      <c r="B565" s="58" t="s">
        <v>1957</v>
      </c>
      <c r="C565" s="45">
        <v>69</v>
      </c>
      <c r="D565" s="45">
        <v>26260</v>
      </c>
      <c r="E565" s="45">
        <v>0</v>
      </c>
      <c r="F565" s="45">
        <v>21000</v>
      </c>
      <c r="G565" s="45">
        <v>0</v>
      </c>
      <c r="H565" s="45">
        <v>16816</v>
      </c>
      <c r="I565" s="45">
        <v>0</v>
      </c>
      <c r="J565" s="45">
        <v>13080</v>
      </c>
      <c r="K565" s="45">
        <v>0</v>
      </c>
      <c r="L565" s="45">
        <v>9583</v>
      </c>
      <c r="M565" s="45">
        <v>0</v>
      </c>
      <c r="N565" s="45">
        <v>6604</v>
      </c>
      <c r="O565" s="45">
        <v>0</v>
      </c>
      <c r="P565" s="45">
        <v>4137</v>
      </c>
      <c r="Q565" s="45">
        <v>0</v>
      </c>
      <c r="R565" s="45">
        <v>2057</v>
      </c>
      <c r="S565" s="45">
        <v>0</v>
      </c>
      <c r="T565" s="45">
        <v>437</v>
      </c>
      <c r="U565" s="45">
        <v>5198</v>
      </c>
    </row>
    <row r="566" spans="1:21" ht="16.05" customHeight="1">
      <c r="A566" s="58" t="s">
        <v>2023</v>
      </c>
      <c r="B566" s="58" t="s">
        <v>1958</v>
      </c>
      <c r="C566" s="45">
        <v>106</v>
      </c>
      <c r="D566" s="45">
        <v>47571</v>
      </c>
      <c r="E566" s="45">
        <v>0</v>
      </c>
      <c r="F566" s="45">
        <v>38961</v>
      </c>
      <c r="G566" s="45">
        <v>0</v>
      </c>
      <c r="H566" s="45">
        <v>31197</v>
      </c>
      <c r="I566" s="45">
        <v>0</v>
      </c>
      <c r="J566" s="45">
        <v>23852</v>
      </c>
      <c r="K566" s="45">
        <v>0</v>
      </c>
      <c r="L566" s="45">
        <v>17775</v>
      </c>
      <c r="M566" s="45">
        <v>0</v>
      </c>
      <c r="N566" s="45">
        <v>12122</v>
      </c>
      <c r="O566" s="45">
        <v>0</v>
      </c>
      <c r="P566" s="45">
        <v>7539</v>
      </c>
      <c r="Q566" s="45">
        <v>0</v>
      </c>
      <c r="R566" s="45">
        <v>4405</v>
      </c>
      <c r="S566" s="45">
        <v>0</v>
      </c>
      <c r="T566" s="45">
        <v>5437</v>
      </c>
      <c r="U566" s="45">
        <v>8428</v>
      </c>
    </row>
    <row r="567" spans="1:21" ht="16.05" customHeight="1">
      <c r="A567" s="58" t="s">
        <v>2023</v>
      </c>
      <c r="B567" s="58" t="s">
        <v>1959</v>
      </c>
      <c r="C567" s="45">
        <v>45</v>
      </c>
      <c r="D567" s="45">
        <v>18334</v>
      </c>
      <c r="E567" s="45">
        <v>1</v>
      </c>
      <c r="F567" s="45">
        <v>13057</v>
      </c>
      <c r="G567" s="45">
        <v>0</v>
      </c>
      <c r="H567" s="45">
        <v>8817</v>
      </c>
      <c r="I567" s="45">
        <v>0</v>
      </c>
      <c r="J567" s="45">
        <v>5341</v>
      </c>
      <c r="K567" s="45">
        <v>0</v>
      </c>
      <c r="L567" s="45">
        <v>3037</v>
      </c>
      <c r="M567" s="45">
        <v>0</v>
      </c>
      <c r="N567" s="45">
        <v>1298</v>
      </c>
      <c r="O567" s="45">
        <v>0</v>
      </c>
      <c r="P567" s="45">
        <v>482</v>
      </c>
      <c r="Q567" s="45">
        <v>0</v>
      </c>
      <c r="R567" s="45">
        <v>111</v>
      </c>
      <c r="S567" s="45">
        <v>0</v>
      </c>
      <c r="T567" s="45">
        <v>0</v>
      </c>
      <c r="U567" s="45">
        <v>5175</v>
      </c>
    </row>
    <row r="568" spans="1:21" ht="16.05" customHeight="1">
      <c r="A568" s="58" t="s">
        <v>2023</v>
      </c>
      <c r="B568" s="58" t="s">
        <v>1960</v>
      </c>
      <c r="C568" s="45">
        <v>44</v>
      </c>
      <c r="D568" s="45">
        <v>16105</v>
      </c>
      <c r="E568" s="45">
        <v>0</v>
      </c>
      <c r="F568" s="45">
        <v>11231</v>
      </c>
      <c r="G568" s="45">
        <v>0</v>
      </c>
      <c r="H568" s="45">
        <v>7973</v>
      </c>
      <c r="I568" s="45">
        <v>0</v>
      </c>
      <c r="J568" s="45">
        <v>5641</v>
      </c>
      <c r="K568" s="45">
        <v>0</v>
      </c>
      <c r="L568" s="45">
        <v>3575</v>
      </c>
      <c r="M568" s="45">
        <v>0</v>
      </c>
      <c r="N568" s="45">
        <v>1647</v>
      </c>
      <c r="O568" s="45">
        <v>0</v>
      </c>
      <c r="P568" s="45">
        <v>597</v>
      </c>
      <c r="Q568" s="45">
        <v>0</v>
      </c>
      <c r="R568" s="45">
        <v>37</v>
      </c>
      <c r="S568" s="45">
        <v>0</v>
      </c>
      <c r="T568" s="45">
        <v>0</v>
      </c>
      <c r="U568" s="45">
        <v>4824</v>
      </c>
    </row>
    <row r="569" spans="1:21" ht="16.05" customHeight="1">
      <c r="A569" s="58" t="s">
        <v>2023</v>
      </c>
      <c r="B569" s="58" t="s">
        <v>1961</v>
      </c>
      <c r="C569" s="45">
        <v>48</v>
      </c>
      <c r="D569" s="45">
        <v>19548</v>
      </c>
      <c r="E569" s="45">
        <v>0</v>
      </c>
      <c r="F569" s="45">
        <v>14910</v>
      </c>
      <c r="G569" s="45">
        <v>0</v>
      </c>
      <c r="H569" s="45">
        <v>10807</v>
      </c>
      <c r="I569" s="45">
        <v>0</v>
      </c>
      <c r="J569" s="45">
        <v>7816</v>
      </c>
      <c r="K569" s="45">
        <v>0</v>
      </c>
      <c r="L569" s="45">
        <v>5297</v>
      </c>
      <c r="M569" s="45">
        <v>0</v>
      </c>
      <c r="N569" s="45">
        <v>3228</v>
      </c>
      <c r="O569" s="45">
        <v>0</v>
      </c>
      <c r="P569" s="45">
        <v>1670</v>
      </c>
      <c r="Q569" s="45">
        <v>0</v>
      </c>
      <c r="R569" s="45">
        <v>737</v>
      </c>
      <c r="S569" s="45">
        <v>0</v>
      </c>
      <c r="T569" s="45">
        <v>400</v>
      </c>
      <c r="U569" s="45">
        <v>4578</v>
      </c>
    </row>
    <row r="570" spans="1:21" ht="16.05" customHeight="1">
      <c r="A570" s="58" t="s">
        <v>2023</v>
      </c>
      <c r="B570" s="58" t="s">
        <v>1962</v>
      </c>
      <c r="C570" s="45">
        <v>192</v>
      </c>
      <c r="D570" s="45">
        <v>74084</v>
      </c>
      <c r="E570" s="45">
        <v>0</v>
      </c>
      <c r="F570" s="45">
        <v>64699</v>
      </c>
      <c r="G570" s="45">
        <v>0</v>
      </c>
      <c r="H570" s="45">
        <v>56043</v>
      </c>
      <c r="I570" s="45">
        <v>0</v>
      </c>
      <c r="J570" s="45">
        <v>48496</v>
      </c>
      <c r="K570" s="45">
        <v>0</v>
      </c>
      <c r="L570" s="45">
        <v>41183</v>
      </c>
      <c r="M570" s="45">
        <v>0</v>
      </c>
      <c r="N570" s="45">
        <v>34652</v>
      </c>
      <c r="O570" s="45">
        <v>0</v>
      </c>
      <c r="P570" s="45">
        <v>28531</v>
      </c>
      <c r="Q570" s="45">
        <v>0</v>
      </c>
      <c r="R570" s="45">
        <v>22681</v>
      </c>
      <c r="S570" s="45">
        <v>0</v>
      </c>
      <c r="T570" s="45">
        <v>59002</v>
      </c>
      <c r="U570" s="45">
        <v>9084</v>
      </c>
    </row>
    <row r="571" spans="1:21" ht="16.05" customHeight="1">
      <c r="A571" s="58" t="s">
        <v>2023</v>
      </c>
      <c r="B571" s="58" t="s">
        <v>1963</v>
      </c>
      <c r="C571" s="45">
        <v>69</v>
      </c>
      <c r="D571" s="45">
        <v>42020</v>
      </c>
      <c r="E571" s="45">
        <v>0</v>
      </c>
      <c r="F571" s="45">
        <v>32873</v>
      </c>
      <c r="G571" s="45">
        <v>0</v>
      </c>
      <c r="H571" s="45">
        <v>24727</v>
      </c>
      <c r="I571" s="45">
        <v>0</v>
      </c>
      <c r="J571" s="45">
        <v>17776</v>
      </c>
      <c r="K571" s="45">
        <v>0</v>
      </c>
      <c r="L571" s="45">
        <v>11621</v>
      </c>
      <c r="M571" s="45">
        <v>0</v>
      </c>
      <c r="N571" s="45">
        <v>7596</v>
      </c>
      <c r="O571" s="45">
        <v>0</v>
      </c>
      <c r="P571" s="45">
        <v>4210</v>
      </c>
      <c r="Q571" s="45">
        <v>0</v>
      </c>
      <c r="R571" s="45">
        <v>2193</v>
      </c>
      <c r="S571" s="45">
        <v>0</v>
      </c>
      <c r="T571" s="45">
        <v>1581</v>
      </c>
      <c r="U571" s="45">
        <v>8961</v>
      </c>
    </row>
    <row r="572" spans="1:21" ht="16.05" customHeight="1">
      <c r="A572" s="58" t="s">
        <v>2023</v>
      </c>
      <c r="B572" s="58" t="s">
        <v>1964</v>
      </c>
      <c r="C572" s="45">
        <v>127</v>
      </c>
      <c r="D572" s="45">
        <v>53444</v>
      </c>
      <c r="E572" s="45">
        <v>0</v>
      </c>
      <c r="F572" s="45">
        <v>44976</v>
      </c>
      <c r="G572" s="45">
        <v>0</v>
      </c>
      <c r="H572" s="45">
        <v>36977</v>
      </c>
      <c r="I572" s="45">
        <v>0</v>
      </c>
      <c r="J572" s="45">
        <v>29687</v>
      </c>
      <c r="K572" s="45">
        <v>0</v>
      </c>
      <c r="L572" s="45">
        <v>23193</v>
      </c>
      <c r="M572" s="45">
        <v>0</v>
      </c>
      <c r="N572" s="45">
        <v>17093</v>
      </c>
      <c r="O572" s="45">
        <v>0</v>
      </c>
      <c r="P572" s="45">
        <v>12474</v>
      </c>
      <c r="Q572" s="45">
        <v>0</v>
      </c>
      <c r="R572" s="45">
        <v>8373</v>
      </c>
      <c r="S572" s="45">
        <v>0</v>
      </c>
      <c r="T572" s="45">
        <v>12553</v>
      </c>
      <c r="U572" s="45">
        <v>8307</v>
      </c>
    </row>
    <row r="573" spans="1:21" ht="16.05" customHeight="1">
      <c r="A573" s="58" t="s">
        <v>2023</v>
      </c>
      <c r="B573" s="58" t="s">
        <v>1965</v>
      </c>
      <c r="C573" s="45">
        <v>140</v>
      </c>
      <c r="D573" s="45">
        <v>59277</v>
      </c>
      <c r="E573" s="45">
        <v>3</v>
      </c>
      <c r="F573" s="45">
        <v>50047</v>
      </c>
      <c r="G573" s="45">
        <v>0</v>
      </c>
      <c r="H573" s="45">
        <v>42324</v>
      </c>
      <c r="I573" s="45">
        <v>0</v>
      </c>
      <c r="J573" s="45">
        <v>35739</v>
      </c>
      <c r="K573" s="45">
        <v>0</v>
      </c>
      <c r="L573" s="45">
        <v>29993</v>
      </c>
      <c r="M573" s="45">
        <v>0</v>
      </c>
      <c r="N573" s="45">
        <v>24917</v>
      </c>
      <c r="O573" s="45">
        <v>0</v>
      </c>
      <c r="P573" s="45">
        <v>20389</v>
      </c>
      <c r="Q573" s="45">
        <v>0</v>
      </c>
      <c r="R573" s="45">
        <v>16156</v>
      </c>
      <c r="S573" s="45">
        <v>0</v>
      </c>
      <c r="T573" s="45">
        <v>34885</v>
      </c>
      <c r="U573" s="45">
        <v>9040</v>
      </c>
    </row>
    <row r="574" spans="1:21" ht="16.05" customHeight="1">
      <c r="A574" s="58" t="s">
        <v>2023</v>
      </c>
      <c r="B574" s="58" t="s">
        <v>1966</v>
      </c>
      <c r="C574" s="45">
        <v>177</v>
      </c>
      <c r="D574" s="45">
        <v>72783</v>
      </c>
      <c r="E574" s="45">
        <v>0</v>
      </c>
      <c r="F574" s="45">
        <v>62678</v>
      </c>
      <c r="G574" s="45">
        <v>0</v>
      </c>
      <c r="H574" s="45">
        <v>53084</v>
      </c>
      <c r="I574" s="45">
        <v>0</v>
      </c>
      <c r="J574" s="45">
        <v>44113</v>
      </c>
      <c r="K574" s="45">
        <v>0</v>
      </c>
      <c r="L574" s="45">
        <v>35681</v>
      </c>
      <c r="M574" s="45">
        <v>0</v>
      </c>
      <c r="N574" s="45">
        <v>27982</v>
      </c>
      <c r="O574" s="45">
        <v>0</v>
      </c>
      <c r="P574" s="45">
        <v>20856</v>
      </c>
      <c r="Q574" s="45">
        <v>0</v>
      </c>
      <c r="R574" s="45">
        <v>15441</v>
      </c>
      <c r="S574" s="45">
        <v>0</v>
      </c>
      <c r="T574" s="45">
        <v>31803</v>
      </c>
      <c r="U574" s="45">
        <v>9805</v>
      </c>
    </row>
    <row r="575" spans="1:21" ht="16.05" customHeight="1">
      <c r="A575" s="58" t="s">
        <v>2023</v>
      </c>
      <c r="B575" s="58" t="s">
        <v>1967</v>
      </c>
      <c r="C575" s="45">
        <v>151</v>
      </c>
      <c r="D575" s="45">
        <v>56371</v>
      </c>
      <c r="E575" s="45">
        <v>2</v>
      </c>
      <c r="F575" s="45">
        <v>46997</v>
      </c>
      <c r="G575" s="45">
        <v>0</v>
      </c>
      <c r="H575" s="45">
        <v>38282</v>
      </c>
      <c r="I575" s="45">
        <v>0</v>
      </c>
      <c r="J575" s="45">
        <v>30643</v>
      </c>
      <c r="K575" s="45">
        <v>0</v>
      </c>
      <c r="L575" s="45">
        <v>24328</v>
      </c>
      <c r="M575" s="45">
        <v>0</v>
      </c>
      <c r="N575" s="45">
        <v>18459</v>
      </c>
      <c r="O575" s="45">
        <v>0</v>
      </c>
      <c r="P575" s="45">
        <v>13082</v>
      </c>
      <c r="Q575" s="45">
        <v>0</v>
      </c>
      <c r="R575" s="45">
        <v>8469</v>
      </c>
      <c r="S575" s="45">
        <v>0</v>
      </c>
      <c r="T575" s="45">
        <v>13394</v>
      </c>
      <c r="U575" s="45">
        <v>9128</v>
      </c>
    </row>
    <row r="576" spans="1:21" ht="16.05" customHeight="1">
      <c r="A576" s="58" t="s">
        <v>2023</v>
      </c>
      <c r="B576" s="58" t="s">
        <v>1968</v>
      </c>
      <c r="C576" s="45">
        <v>116</v>
      </c>
      <c r="D576" s="45">
        <v>47495</v>
      </c>
      <c r="E576" s="45">
        <v>0</v>
      </c>
      <c r="F576" s="45">
        <v>37643</v>
      </c>
      <c r="G576" s="45">
        <v>0</v>
      </c>
      <c r="H576" s="45">
        <v>28871</v>
      </c>
      <c r="I576" s="45">
        <v>0</v>
      </c>
      <c r="J576" s="45">
        <v>22250</v>
      </c>
      <c r="K576" s="45">
        <v>0</v>
      </c>
      <c r="L576" s="45">
        <v>16960</v>
      </c>
      <c r="M576" s="45">
        <v>0</v>
      </c>
      <c r="N576" s="45">
        <v>12198</v>
      </c>
      <c r="O576" s="45">
        <v>0</v>
      </c>
      <c r="P576" s="45">
        <v>8182</v>
      </c>
      <c r="Q576" s="45">
        <v>0</v>
      </c>
      <c r="R576" s="45">
        <v>4744</v>
      </c>
      <c r="S576" s="45">
        <v>0</v>
      </c>
      <c r="T576" s="45">
        <v>3708</v>
      </c>
      <c r="U576" s="45">
        <v>9720</v>
      </c>
    </row>
    <row r="577" spans="1:21" ht="16.05" customHeight="1">
      <c r="A577" s="58" t="s">
        <v>2023</v>
      </c>
      <c r="B577" s="58" t="s">
        <v>1969</v>
      </c>
      <c r="C577" s="45">
        <v>139</v>
      </c>
      <c r="D577" s="45">
        <v>56836</v>
      </c>
      <c r="E577" s="45">
        <v>0</v>
      </c>
      <c r="F577" s="45">
        <v>48432</v>
      </c>
      <c r="G577" s="45">
        <v>0</v>
      </c>
      <c r="H577" s="45">
        <v>41452</v>
      </c>
      <c r="I577" s="45">
        <v>0</v>
      </c>
      <c r="J577" s="45">
        <v>34959</v>
      </c>
      <c r="K577" s="45">
        <v>0</v>
      </c>
      <c r="L577" s="45">
        <v>29036</v>
      </c>
      <c r="M577" s="45">
        <v>0</v>
      </c>
      <c r="N577" s="45">
        <v>23689</v>
      </c>
      <c r="O577" s="45">
        <v>0</v>
      </c>
      <c r="P577" s="45">
        <v>18855</v>
      </c>
      <c r="Q577" s="45">
        <v>0</v>
      </c>
      <c r="R577" s="45">
        <v>14478</v>
      </c>
      <c r="S577" s="45">
        <v>0</v>
      </c>
      <c r="T577" s="45">
        <v>31755</v>
      </c>
      <c r="U577" s="45">
        <v>8140</v>
      </c>
    </row>
    <row r="578" spans="1:21" ht="16.05" customHeight="1">
      <c r="A578" s="58" t="s">
        <v>2023</v>
      </c>
      <c r="B578" s="58" t="s">
        <v>1970</v>
      </c>
      <c r="C578" s="45">
        <v>131</v>
      </c>
      <c r="D578" s="45">
        <v>63561</v>
      </c>
      <c r="E578" s="45">
        <v>0</v>
      </c>
      <c r="F578" s="45">
        <v>53706</v>
      </c>
      <c r="G578" s="45">
        <v>0</v>
      </c>
      <c r="H578" s="45">
        <v>44828</v>
      </c>
      <c r="I578" s="45">
        <v>0</v>
      </c>
      <c r="J578" s="45">
        <v>36554</v>
      </c>
      <c r="K578" s="45">
        <v>0</v>
      </c>
      <c r="L578" s="45">
        <v>29686</v>
      </c>
      <c r="M578" s="45">
        <v>0</v>
      </c>
      <c r="N578" s="45">
        <v>23799</v>
      </c>
      <c r="O578" s="45">
        <v>0</v>
      </c>
      <c r="P578" s="45">
        <v>18828</v>
      </c>
      <c r="Q578" s="45">
        <v>0</v>
      </c>
      <c r="R578" s="45">
        <v>14173</v>
      </c>
      <c r="S578" s="45">
        <v>0</v>
      </c>
      <c r="T578" s="45">
        <v>26324</v>
      </c>
      <c r="U578" s="45">
        <v>9609</v>
      </c>
    </row>
    <row r="579" spans="1:21" ht="16.05" customHeight="1">
      <c r="A579" s="58" t="s">
        <v>2023</v>
      </c>
      <c r="B579" s="58" t="s">
        <v>1971</v>
      </c>
      <c r="C579" s="45">
        <v>203</v>
      </c>
      <c r="D579" s="45">
        <v>77267</v>
      </c>
      <c r="E579" s="45">
        <v>2</v>
      </c>
      <c r="F579" s="45">
        <v>66700</v>
      </c>
      <c r="G579" s="45">
        <v>0</v>
      </c>
      <c r="H579" s="45">
        <v>57005</v>
      </c>
      <c r="I579" s="45">
        <v>0</v>
      </c>
      <c r="J579" s="45">
        <v>47922</v>
      </c>
      <c r="K579" s="45">
        <v>0</v>
      </c>
      <c r="L579" s="45">
        <v>39466</v>
      </c>
      <c r="M579" s="45">
        <v>0</v>
      </c>
      <c r="N579" s="45">
        <v>31993</v>
      </c>
      <c r="O579" s="45">
        <v>0</v>
      </c>
      <c r="P579" s="45">
        <v>25835</v>
      </c>
      <c r="Q579" s="45">
        <v>0</v>
      </c>
      <c r="R579" s="45">
        <v>20154</v>
      </c>
      <c r="S579" s="45">
        <v>0</v>
      </c>
      <c r="T579" s="45">
        <v>47706</v>
      </c>
      <c r="U579" s="45">
        <v>10261</v>
      </c>
    </row>
    <row r="580" spans="1:21" ht="16.05" customHeight="1">
      <c r="A580" s="58" t="s">
        <v>2023</v>
      </c>
      <c r="B580" s="58" t="s">
        <v>1972</v>
      </c>
      <c r="C580" s="45">
        <v>142</v>
      </c>
      <c r="D580" s="45">
        <v>53177</v>
      </c>
      <c r="E580" s="45">
        <v>1</v>
      </c>
      <c r="F580" s="45">
        <v>44640</v>
      </c>
      <c r="G580" s="45">
        <v>0</v>
      </c>
      <c r="H580" s="45">
        <v>37239</v>
      </c>
      <c r="I580" s="45">
        <v>0</v>
      </c>
      <c r="J580" s="45">
        <v>30657</v>
      </c>
      <c r="K580" s="45">
        <v>0</v>
      </c>
      <c r="L580" s="45">
        <v>25143</v>
      </c>
      <c r="M580" s="45">
        <v>0</v>
      </c>
      <c r="N580" s="45">
        <v>20413</v>
      </c>
      <c r="O580" s="45">
        <v>0</v>
      </c>
      <c r="P580" s="45">
        <v>15931</v>
      </c>
      <c r="Q580" s="45">
        <v>0</v>
      </c>
      <c r="R580" s="45">
        <v>12265</v>
      </c>
      <c r="S580" s="45">
        <v>0</v>
      </c>
      <c r="T580" s="45">
        <v>22187</v>
      </c>
      <c r="U580" s="45">
        <v>8358</v>
      </c>
    </row>
    <row r="581" spans="1:21" ht="16.05" customHeight="1">
      <c r="A581" s="58" t="s">
        <v>2023</v>
      </c>
      <c r="B581" s="58" t="s">
        <v>1973</v>
      </c>
      <c r="C581" s="45">
        <v>229</v>
      </c>
      <c r="D581" s="45">
        <v>85206</v>
      </c>
      <c r="E581" s="45">
        <v>4</v>
      </c>
      <c r="F581" s="45">
        <v>74729</v>
      </c>
      <c r="G581" s="45">
        <v>1</v>
      </c>
      <c r="H581" s="45">
        <v>64845</v>
      </c>
      <c r="I581" s="45">
        <v>0</v>
      </c>
      <c r="J581" s="45">
        <v>56024</v>
      </c>
      <c r="K581" s="45">
        <v>0</v>
      </c>
      <c r="L581" s="45">
        <v>47890</v>
      </c>
      <c r="M581" s="45">
        <v>0</v>
      </c>
      <c r="N581" s="45">
        <v>40538</v>
      </c>
      <c r="O581" s="45">
        <v>0</v>
      </c>
      <c r="P581" s="45">
        <v>33804</v>
      </c>
      <c r="Q581" s="45">
        <v>0</v>
      </c>
      <c r="R581" s="45">
        <v>27565</v>
      </c>
      <c r="S581" s="45">
        <v>0</v>
      </c>
      <c r="T581" s="45">
        <v>82367</v>
      </c>
      <c r="U581" s="45">
        <v>10190</v>
      </c>
    </row>
    <row r="582" spans="1:21" ht="16.05" customHeight="1">
      <c r="A582" s="58" t="s">
        <v>2023</v>
      </c>
      <c r="B582" s="58" t="s">
        <v>1974</v>
      </c>
      <c r="C582" s="45">
        <v>117</v>
      </c>
      <c r="D582" s="45">
        <v>50797</v>
      </c>
      <c r="E582" s="45">
        <v>2</v>
      </c>
      <c r="F582" s="45">
        <v>41889</v>
      </c>
      <c r="G582" s="45">
        <v>0</v>
      </c>
      <c r="H582" s="45">
        <v>33933</v>
      </c>
      <c r="I582" s="45">
        <v>0</v>
      </c>
      <c r="J582" s="45">
        <v>27901</v>
      </c>
      <c r="K582" s="45">
        <v>0</v>
      </c>
      <c r="L582" s="45">
        <v>22149</v>
      </c>
      <c r="M582" s="45">
        <v>0</v>
      </c>
      <c r="N582" s="45">
        <v>16952</v>
      </c>
      <c r="O582" s="45">
        <v>0</v>
      </c>
      <c r="P582" s="45">
        <v>12328</v>
      </c>
      <c r="Q582" s="45">
        <v>0</v>
      </c>
      <c r="R582" s="45">
        <v>8966</v>
      </c>
      <c r="S582" s="45">
        <v>0</v>
      </c>
      <c r="T582" s="45">
        <v>13768</v>
      </c>
      <c r="U582" s="45">
        <v>8648</v>
      </c>
    </row>
    <row r="583" spans="1:21" ht="16.05" customHeight="1">
      <c r="A583" s="58" t="s">
        <v>2023</v>
      </c>
      <c r="B583" s="58" t="s">
        <v>1975</v>
      </c>
      <c r="C583" s="45">
        <v>136</v>
      </c>
      <c r="D583" s="45">
        <v>51513</v>
      </c>
      <c r="E583" s="45">
        <v>0</v>
      </c>
      <c r="F583" s="45">
        <v>41968</v>
      </c>
      <c r="G583" s="45">
        <v>0</v>
      </c>
      <c r="H583" s="45">
        <v>34468</v>
      </c>
      <c r="I583" s="45">
        <v>0</v>
      </c>
      <c r="J583" s="45">
        <v>28112</v>
      </c>
      <c r="K583" s="45">
        <v>0</v>
      </c>
      <c r="L583" s="45">
        <v>22801</v>
      </c>
      <c r="M583" s="45">
        <v>0</v>
      </c>
      <c r="N583" s="45">
        <v>17918</v>
      </c>
      <c r="O583" s="45">
        <v>0</v>
      </c>
      <c r="P583" s="45">
        <v>13599</v>
      </c>
      <c r="Q583" s="45">
        <v>0</v>
      </c>
      <c r="R583" s="45">
        <v>9981</v>
      </c>
      <c r="S583" s="45">
        <v>0</v>
      </c>
      <c r="T583" s="45">
        <v>15342</v>
      </c>
      <c r="U583" s="45">
        <v>9332</v>
      </c>
    </row>
    <row r="584" spans="1:21" ht="16.05" customHeight="1">
      <c r="A584" s="58" t="s">
        <v>2023</v>
      </c>
      <c r="B584" s="58" t="s">
        <v>1976</v>
      </c>
      <c r="C584" s="45">
        <v>193</v>
      </c>
      <c r="D584" s="45">
        <v>75807</v>
      </c>
      <c r="E584" s="45">
        <v>2</v>
      </c>
      <c r="F584" s="45">
        <v>66450</v>
      </c>
      <c r="G584" s="45">
        <v>0</v>
      </c>
      <c r="H584" s="45">
        <v>57619</v>
      </c>
      <c r="I584" s="45">
        <v>0</v>
      </c>
      <c r="J584" s="45">
        <v>49359</v>
      </c>
      <c r="K584" s="45">
        <v>0</v>
      </c>
      <c r="L584" s="45">
        <v>41625</v>
      </c>
      <c r="M584" s="45">
        <v>0</v>
      </c>
      <c r="N584" s="45">
        <v>34502</v>
      </c>
      <c r="O584" s="45">
        <v>0</v>
      </c>
      <c r="P584" s="45">
        <v>27770</v>
      </c>
      <c r="Q584" s="45">
        <v>0</v>
      </c>
      <c r="R584" s="45">
        <v>21811</v>
      </c>
      <c r="S584" s="45">
        <v>0</v>
      </c>
      <c r="T584" s="45">
        <v>55917</v>
      </c>
      <c r="U584" s="45">
        <v>8987</v>
      </c>
    </row>
    <row r="585" spans="1:21" ht="16.05" customHeight="1">
      <c r="A585" s="58" t="s">
        <v>2023</v>
      </c>
      <c r="B585" s="58" t="s">
        <v>1977</v>
      </c>
      <c r="C585" s="45">
        <v>108</v>
      </c>
      <c r="D585" s="45">
        <v>53407</v>
      </c>
      <c r="E585" s="45">
        <v>1</v>
      </c>
      <c r="F585" s="45">
        <v>43909</v>
      </c>
      <c r="G585" s="45">
        <v>0</v>
      </c>
      <c r="H585" s="45">
        <v>35225</v>
      </c>
      <c r="I585" s="45">
        <v>0</v>
      </c>
      <c r="J585" s="45">
        <v>26971</v>
      </c>
      <c r="K585" s="45">
        <v>0</v>
      </c>
      <c r="L585" s="45">
        <v>20032</v>
      </c>
      <c r="M585" s="45">
        <v>0</v>
      </c>
      <c r="N585" s="45">
        <v>14177</v>
      </c>
      <c r="O585" s="45">
        <v>0</v>
      </c>
      <c r="P585" s="45">
        <v>8907</v>
      </c>
      <c r="Q585" s="45">
        <v>0</v>
      </c>
      <c r="R585" s="45">
        <v>5201</v>
      </c>
      <c r="S585" s="45">
        <v>0</v>
      </c>
      <c r="T585" s="45">
        <v>6898</v>
      </c>
      <c r="U585" s="45">
        <v>9263</v>
      </c>
    </row>
    <row r="586" spans="1:21" ht="16.05" customHeight="1">
      <c r="A586" s="58" t="s">
        <v>2023</v>
      </c>
      <c r="B586" s="58" t="s">
        <v>1978</v>
      </c>
      <c r="C586" s="45">
        <v>164</v>
      </c>
      <c r="D586" s="45">
        <v>62825</v>
      </c>
      <c r="E586" s="45">
        <v>0</v>
      </c>
      <c r="F586" s="45">
        <v>53163</v>
      </c>
      <c r="G586" s="45">
        <v>0</v>
      </c>
      <c r="H586" s="45">
        <v>44800</v>
      </c>
      <c r="I586" s="45">
        <v>0</v>
      </c>
      <c r="J586" s="45">
        <v>37171</v>
      </c>
      <c r="K586" s="45">
        <v>0</v>
      </c>
      <c r="L586" s="45">
        <v>29829</v>
      </c>
      <c r="M586" s="45">
        <v>0</v>
      </c>
      <c r="N586" s="45">
        <v>23081</v>
      </c>
      <c r="O586" s="45">
        <v>0</v>
      </c>
      <c r="P586" s="45">
        <v>17077</v>
      </c>
      <c r="Q586" s="45">
        <v>0</v>
      </c>
      <c r="R586" s="45">
        <v>12276</v>
      </c>
      <c r="S586" s="45">
        <v>0</v>
      </c>
      <c r="T586" s="45">
        <v>23211</v>
      </c>
      <c r="U586" s="45">
        <v>9362</v>
      </c>
    </row>
    <row r="587" spans="1:21" ht="16.05" customHeight="1">
      <c r="A587" s="58" t="s">
        <v>2023</v>
      </c>
      <c r="B587" s="58" t="s">
        <v>1979</v>
      </c>
      <c r="C587" s="45">
        <v>146</v>
      </c>
      <c r="D587" s="45">
        <v>69728</v>
      </c>
      <c r="E587" s="45">
        <v>1</v>
      </c>
      <c r="F587" s="45">
        <v>60515</v>
      </c>
      <c r="G587" s="45">
        <v>0</v>
      </c>
      <c r="H587" s="45">
        <v>51860</v>
      </c>
      <c r="I587" s="45">
        <v>0</v>
      </c>
      <c r="J587" s="45">
        <v>43704</v>
      </c>
      <c r="K587" s="45">
        <v>0</v>
      </c>
      <c r="L587" s="45">
        <v>36491</v>
      </c>
      <c r="M587" s="45">
        <v>0</v>
      </c>
      <c r="N587" s="45">
        <v>29861</v>
      </c>
      <c r="O587" s="45">
        <v>0</v>
      </c>
      <c r="P587" s="45">
        <v>23760</v>
      </c>
      <c r="Q587" s="45">
        <v>0</v>
      </c>
      <c r="R587" s="45">
        <v>18119</v>
      </c>
      <c r="S587" s="45">
        <v>0</v>
      </c>
      <c r="T587" s="45">
        <v>40009</v>
      </c>
      <c r="U587" s="45">
        <v>8894</v>
      </c>
    </row>
    <row r="588" spans="1:21" ht="16.05" customHeight="1">
      <c r="A588" s="58" t="s">
        <v>2023</v>
      </c>
      <c r="B588" s="58" t="s">
        <v>1980</v>
      </c>
      <c r="C588" s="45">
        <v>222</v>
      </c>
      <c r="D588" s="45">
        <v>100405</v>
      </c>
      <c r="E588" s="45">
        <v>0</v>
      </c>
      <c r="F588" s="45">
        <v>90004</v>
      </c>
      <c r="G588" s="45">
        <v>0</v>
      </c>
      <c r="H588" s="45">
        <v>80153</v>
      </c>
      <c r="I588" s="45">
        <v>0</v>
      </c>
      <c r="J588" s="45">
        <v>70843</v>
      </c>
      <c r="K588" s="45">
        <v>0</v>
      </c>
      <c r="L588" s="45">
        <v>61775</v>
      </c>
      <c r="M588" s="45">
        <v>0</v>
      </c>
      <c r="N588" s="45">
        <v>53422</v>
      </c>
      <c r="O588" s="45">
        <v>0</v>
      </c>
      <c r="P588" s="45">
        <v>45588</v>
      </c>
      <c r="Q588" s="45">
        <v>0</v>
      </c>
      <c r="R588" s="45">
        <v>38251</v>
      </c>
      <c r="S588" s="45">
        <v>0</v>
      </c>
      <c r="T588" s="45">
        <v>132407</v>
      </c>
      <c r="U588" s="45">
        <v>10095</v>
      </c>
    </row>
    <row r="589" spans="1:21" ht="16.05" customHeight="1">
      <c r="A589" s="58" t="s">
        <v>2023</v>
      </c>
      <c r="B589" s="58" t="s">
        <v>1981</v>
      </c>
      <c r="C589" s="45">
        <v>167</v>
      </c>
      <c r="D589" s="45">
        <v>59396</v>
      </c>
      <c r="E589" s="45">
        <v>2</v>
      </c>
      <c r="F589" s="45">
        <v>49927</v>
      </c>
      <c r="G589" s="45">
        <v>0</v>
      </c>
      <c r="H589" s="45">
        <v>41148</v>
      </c>
      <c r="I589" s="45">
        <v>0</v>
      </c>
      <c r="J589" s="45">
        <v>33387</v>
      </c>
      <c r="K589" s="45">
        <v>0</v>
      </c>
      <c r="L589" s="45">
        <v>26548</v>
      </c>
      <c r="M589" s="45">
        <v>0</v>
      </c>
      <c r="N589" s="45">
        <v>20094</v>
      </c>
      <c r="O589" s="45">
        <v>0</v>
      </c>
      <c r="P589" s="45">
        <v>14793</v>
      </c>
      <c r="Q589" s="45">
        <v>0</v>
      </c>
      <c r="R589" s="45">
        <v>10385</v>
      </c>
      <c r="S589" s="45">
        <v>0</v>
      </c>
      <c r="T589" s="45">
        <v>17118</v>
      </c>
      <c r="U589" s="45">
        <v>9212</v>
      </c>
    </row>
    <row r="590" spans="1:21" ht="16.05" customHeight="1">
      <c r="A590" s="58" t="s">
        <v>2023</v>
      </c>
      <c r="B590" s="58" t="s">
        <v>1982</v>
      </c>
      <c r="C590" s="45">
        <v>272</v>
      </c>
      <c r="D590" s="45">
        <v>101513</v>
      </c>
      <c r="E590" s="45">
        <v>1</v>
      </c>
      <c r="F590" s="45">
        <v>90725</v>
      </c>
      <c r="G590" s="45">
        <v>0</v>
      </c>
      <c r="H590" s="45">
        <v>80701</v>
      </c>
      <c r="I590" s="45">
        <v>0</v>
      </c>
      <c r="J590" s="45">
        <v>71198</v>
      </c>
      <c r="K590" s="45">
        <v>0</v>
      </c>
      <c r="L590" s="45">
        <v>62493</v>
      </c>
      <c r="M590" s="45">
        <v>0</v>
      </c>
      <c r="N590" s="45">
        <v>54044</v>
      </c>
      <c r="O590" s="45">
        <v>0</v>
      </c>
      <c r="P590" s="45">
        <v>46058</v>
      </c>
      <c r="Q590" s="45">
        <v>0</v>
      </c>
      <c r="R590" s="45">
        <v>38591</v>
      </c>
      <c r="S590" s="45">
        <v>0</v>
      </c>
      <c r="T590" s="45">
        <v>131635</v>
      </c>
      <c r="U590" s="45">
        <v>10507</v>
      </c>
    </row>
    <row r="591" spans="1:21" ht="16.05" customHeight="1">
      <c r="A591" s="58" t="s">
        <v>2023</v>
      </c>
      <c r="B591" s="58" t="s">
        <v>1983</v>
      </c>
      <c r="C591" s="45">
        <v>236</v>
      </c>
      <c r="D591" s="45">
        <v>102125</v>
      </c>
      <c r="E591" s="45">
        <v>1</v>
      </c>
      <c r="F591" s="45">
        <v>90878</v>
      </c>
      <c r="G591" s="45">
        <v>0</v>
      </c>
      <c r="H591" s="45">
        <v>80804</v>
      </c>
      <c r="I591" s="45">
        <v>0</v>
      </c>
      <c r="J591" s="45">
        <v>71494</v>
      </c>
      <c r="K591" s="45">
        <v>0</v>
      </c>
      <c r="L591" s="45">
        <v>62673</v>
      </c>
      <c r="M591" s="45">
        <v>0</v>
      </c>
      <c r="N591" s="45">
        <v>54171</v>
      </c>
      <c r="O591" s="45">
        <v>0</v>
      </c>
      <c r="P591" s="45">
        <v>46438</v>
      </c>
      <c r="Q591" s="45">
        <v>0</v>
      </c>
      <c r="R591" s="45">
        <v>39469</v>
      </c>
      <c r="S591" s="45">
        <v>0</v>
      </c>
      <c r="T591" s="45">
        <v>140916</v>
      </c>
      <c r="U591" s="45">
        <v>10872</v>
      </c>
    </row>
    <row r="592" spans="1:21" ht="16.05" customHeight="1">
      <c r="A592" s="58" t="s">
        <v>2023</v>
      </c>
      <c r="B592" s="58" t="s">
        <v>1984</v>
      </c>
      <c r="C592" s="45">
        <v>75</v>
      </c>
      <c r="D592" s="45">
        <v>28532</v>
      </c>
      <c r="E592" s="45">
        <v>1</v>
      </c>
      <c r="F592" s="45">
        <v>20526</v>
      </c>
      <c r="G592" s="45">
        <v>0</v>
      </c>
      <c r="H592" s="45">
        <v>13790</v>
      </c>
      <c r="I592" s="45">
        <v>0</v>
      </c>
      <c r="J592" s="45">
        <v>8195</v>
      </c>
      <c r="K592" s="45">
        <v>0</v>
      </c>
      <c r="L592" s="45">
        <v>3560</v>
      </c>
      <c r="M592" s="45">
        <v>0</v>
      </c>
      <c r="N592" s="45">
        <v>1434</v>
      </c>
      <c r="O592" s="45">
        <v>0</v>
      </c>
      <c r="P592" s="45">
        <v>744</v>
      </c>
      <c r="Q592" s="45">
        <v>0</v>
      </c>
      <c r="R592" s="45">
        <v>274</v>
      </c>
      <c r="S592" s="45">
        <v>0</v>
      </c>
      <c r="T592" s="45">
        <v>72</v>
      </c>
      <c r="U592" s="45">
        <v>7844</v>
      </c>
    </row>
    <row r="593" spans="1:21" ht="16.05" customHeight="1">
      <c r="A593" s="58" t="s">
        <v>2023</v>
      </c>
      <c r="B593" s="58" t="s">
        <v>1985</v>
      </c>
      <c r="C593" s="45">
        <v>132</v>
      </c>
      <c r="D593" s="45">
        <v>61227</v>
      </c>
      <c r="E593" s="45">
        <v>0</v>
      </c>
      <c r="F593" s="45">
        <v>51919</v>
      </c>
      <c r="G593" s="45">
        <v>0</v>
      </c>
      <c r="H593" s="45">
        <v>43430</v>
      </c>
      <c r="I593" s="45">
        <v>0</v>
      </c>
      <c r="J593" s="45">
        <v>35623</v>
      </c>
      <c r="K593" s="45">
        <v>0</v>
      </c>
      <c r="L593" s="45">
        <v>28355</v>
      </c>
      <c r="M593" s="45">
        <v>0</v>
      </c>
      <c r="N593" s="45">
        <v>22078</v>
      </c>
      <c r="O593" s="45">
        <v>0</v>
      </c>
      <c r="P593" s="45">
        <v>16234</v>
      </c>
      <c r="Q593" s="45">
        <v>0</v>
      </c>
      <c r="R593" s="45">
        <v>11162</v>
      </c>
      <c r="S593" s="45">
        <v>0</v>
      </c>
      <c r="T593" s="45">
        <v>19799</v>
      </c>
      <c r="U593" s="45">
        <v>9104</v>
      </c>
    </row>
    <row r="594" spans="1:21" ht="16.05" customHeight="1">
      <c r="A594" s="58" t="s">
        <v>2023</v>
      </c>
      <c r="B594" s="58" t="s">
        <v>1986</v>
      </c>
      <c r="C594" s="45">
        <v>116</v>
      </c>
      <c r="D594" s="45">
        <v>39270</v>
      </c>
      <c r="E594" s="45">
        <v>0</v>
      </c>
      <c r="F594" s="45">
        <v>30853</v>
      </c>
      <c r="G594" s="45">
        <v>0</v>
      </c>
      <c r="H594" s="45">
        <v>22815</v>
      </c>
      <c r="I594" s="45">
        <v>0</v>
      </c>
      <c r="J594" s="45">
        <v>15400</v>
      </c>
      <c r="K594" s="45">
        <v>0</v>
      </c>
      <c r="L594" s="45">
        <v>9996</v>
      </c>
      <c r="M594" s="45">
        <v>0</v>
      </c>
      <c r="N594" s="45">
        <v>5646</v>
      </c>
      <c r="O594" s="45">
        <v>0</v>
      </c>
      <c r="P594" s="45">
        <v>2830</v>
      </c>
      <c r="Q594" s="45">
        <v>0</v>
      </c>
      <c r="R594" s="45">
        <v>1394</v>
      </c>
      <c r="S594" s="45">
        <v>0</v>
      </c>
      <c r="T594" s="45">
        <v>854</v>
      </c>
      <c r="U594" s="45">
        <v>8297</v>
      </c>
    </row>
    <row r="595" spans="1:21" ht="16.05" customHeight="1">
      <c r="A595" s="58" t="s">
        <v>2023</v>
      </c>
      <c r="B595" s="58" t="s">
        <v>1987</v>
      </c>
      <c r="C595" s="45">
        <v>237</v>
      </c>
      <c r="D595" s="45">
        <v>97523</v>
      </c>
      <c r="E595" s="45">
        <v>2</v>
      </c>
      <c r="F595" s="45">
        <v>87364</v>
      </c>
      <c r="G595" s="45">
        <v>0</v>
      </c>
      <c r="H595" s="45">
        <v>77974</v>
      </c>
      <c r="I595" s="45">
        <v>0</v>
      </c>
      <c r="J595" s="45">
        <v>69230</v>
      </c>
      <c r="K595" s="45">
        <v>0</v>
      </c>
      <c r="L595" s="45">
        <v>60840</v>
      </c>
      <c r="M595" s="45">
        <v>0</v>
      </c>
      <c r="N595" s="45">
        <v>53069</v>
      </c>
      <c r="O595" s="45">
        <v>0</v>
      </c>
      <c r="P595" s="45">
        <v>45787</v>
      </c>
      <c r="Q595" s="45">
        <v>0</v>
      </c>
      <c r="R595" s="45">
        <v>38741</v>
      </c>
      <c r="S595" s="45">
        <v>0</v>
      </c>
      <c r="T595" s="45">
        <v>147363</v>
      </c>
      <c r="U595" s="45">
        <v>9830</v>
      </c>
    </row>
    <row r="596" spans="1:21" ht="16.05" customHeight="1">
      <c r="A596" s="58" t="s">
        <v>2023</v>
      </c>
      <c r="B596" s="58" t="s">
        <v>1988</v>
      </c>
      <c r="C596" s="45">
        <v>143</v>
      </c>
      <c r="D596" s="45">
        <v>54551</v>
      </c>
      <c r="E596" s="45">
        <v>0</v>
      </c>
      <c r="F596" s="45">
        <v>45832</v>
      </c>
      <c r="G596" s="45">
        <v>0</v>
      </c>
      <c r="H596" s="45">
        <v>38252</v>
      </c>
      <c r="I596" s="45">
        <v>0</v>
      </c>
      <c r="J596" s="45">
        <v>31461</v>
      </c>
      <c r="K596" s="45">
        <v>0</v>
      </c>
      <c r="L596" s="45">
        <v>25203</v>
      </c>
      <c r="M596" s="45">
        <v>0</v>
      </c>
      <c r="N596" s="45">
        <v>19275</v>
      </c>
      <c r="O596" s="45">
        <v>0</v>
      </c>
      <c r="P596" s="45">
        <v>14470</v>
      </c>
      <c r="Q596" s="45">
        <v>0</v>
      </c>
      <c r="R596" s="45">
        <v>10624</v>
      </c>
      <c r="S596" s="45">
        <v>0</v>
      </c>
      <c r="T596" s="45">
        <v>17862</v>
      </c>
      <c r="U596" s="45">
        <v>8535</v>
      </c>
    </row>
    <row r="597" spans="1:21" ht="16.05" customHeight="1">
      <c r="A597" s="58" t="s">
        <v>2023</v>
      </c>
      <c r="B597" s="58" t="s">
        <v>1989</v>
      </c>
      <c r="C597" s="45">
        <v>82</v>
      </c>
      <c r="D597" s="45">
        <v>34116</v>
      </c>
      <c r="E597" s="45">
        <v>0</v>
      </c>
      <c r="F597" s="45">
        <v>27042</v>
      </c>
      <c r="G597" s="45">
        <v>0</v>
      </c>
      <c r="H597" s="45">
        <v>20873</v>
      </c>
      <c r="I597" s="45">
        <v>0</v>
      </c>
      <c r="J597" s="45">
        <v>15592</v>
      </c>
      <c r="K597" s="45">
        <v>0</v>
      </c>
      <c r="L597" s="45">
        <v>10783</v>
      </c>
      <c r="M597" s="45">
        <v>0</v>
      </c>
      <c r="N597" s="45">
        <v>7186</v>
      </c>
      <c r="O597" s="45">
        <v>0</v>
      </c>
      <c r="P597" s="45">
        <v>4330</v>
      </c>
      <c r="Q597" s="45">
        <v>0</v>
      </c>
      <c r="R597" s="45">
        <v>2222</v>
      </c>
      <c r="S597" s="45">
        <v>0</v>
      </c>
      <c r="T597" s="45">
        <v>1994</v>
      </c>
      <c r="U597" s="45">
        <v>6977</v>
      </c>
    </row>
    <row r="598" spans="1:21" ht="16.05" customHeight="1">
      <c r="A598" s="58" t="s">
        <v>2023</v>
      </c>
      <c r="B598" s="58" t="s">
        <v>1990</v>
      </c>
      <c r="C598" s="45">
        <v>4</v>
      </c>
      <c r="D598" s="45">
        <v>3481</v>
      </c>
      <c r="E598" s="45">
        <v>0</v>
      </c>
      <c r="F598" s="45">
        <v>14</v>
      </c>
      <c r="G598" s="45">
        <v>0</v>
      </c>
      <c r="H598" s="45">
        <v>0</v>
      </c>
      <c r="I598" s="45">
        <v>0</v>
      </c>
      <c r="J598" s="45">
        <v>0</v>
      </c>
      <c r="K598" s="45">
        <v>0</v>
      </c>
      <c r="L598" s="45">
        <v>0</v>
      </c>
      <c r="M598" s="45">
        <v>0</v>
      </c>
      <c r="N598" s="45">
        <v>0</v>
      </c>
      <c r="O598" s="45">
        <v>0</v>
      </c>
      <c r="P598" s="45">
        <v>0</v>
      </c>
      <c r="Q598" s="45">
        <v>0</v>
      </c>
      <c r="R598" s="45">
        <v>0</v>
      </c>
      <c r="S598" s="45">
        <v>0</v>
      </c>
      <c r="T598" s="45">
        <v>0</v>
      </c>
      <c r="U598" s="45">
        <v>3467</v>
      </c>
    </row>
    <row r="599" spans="1:21" ht="16.05" customHeight="1">
      <c r="A599" s="58" t="s">
        <v>2023</v>
      </c>
      <c r="B599" s="58" t="s">
        <v>1991</v>
      </c>
      <c r="C599" s="45">
        <v>26</v>
      </c>
      <c r="D599" s="45">
        <v>8329</v>
      </c>
      <c r="E599" s="45">
        <v>0</v>
      </c>
      <c r="F599" s="45">
        <v>4637</v>
      </c>
      <c r="G599" s="45">
        <v>0</v>
      </c>
      <c r="H599" s="45">
        <v>2717</v>
      </c>
      <c r="I599" s="45">
        <v>0</v>
      </c>
      <c r="J599" s="45">
        <v>1194</v>
      </c>
      <c r="K599" s="45">
        <v>0</v>
      </c>
      <c r="L599" s="45">
        <v>48</v>
      </c>
      <c r="M599" s="45">
        <v>0</v>
      </c>
      <c r="N599" s="45">
        <v>0</v>
      </c>
      <c r="O599" s="45">
        <v>0</v>
      </c>
      <c r="P599" s="45">
        <v>0</v>
      </c>
      <c r="Q599" s="45">
        <v>0</v>
      </c>
      <c r="R599" s="45">
        <v>0</v>
      </c>
      <c r="S599" s="45">
        <v>0</v>
      </c>
      <c r="T599" s="45">
        <v>0</v>
      </c>
      <c r="U599" s="45">
        <v>3669</v>
      </c>
    </row>
    <row r="600" spans="1:21" ht="16.05" customHeight="1">
      <c r="A600" s="58" t="s">
        <v>2023</v>
      </c>
      <c r="B600" s="58" t="s">
        <v>1992</v>
      </c>
      <c r="C600" s="45">
        <v>30</v>
      </c>
      <c r="D600" s="45">
        <v>11860</v>
      </c>
      <c r="E600" s="45">
        <v>0</v>
      </c>
      <c r="F600" s="45">
        <v>8014</v>
      </c>
      <c r="G600" s="45">
        <v>0</v>
      </c>
      <c r="H600" s="45">
        <v>5676</v>
      </c>
      <c r="I600" s="45">
        <v>0</v>
      </c>
      <c r="J600" s="45">
        <v>3642</v>
      </c>
      <c r="K600" s="45">
        <v>0</v>
      </c>
      <c r="L600" s="45">
        <v>1873</v>
      </c>
      <c r="M600" s="45">
        <v>0</v>
      </c>
      <c r="N600" s="45">
        <v>369</v>
      </c>
      <c r="O600" s="45">
        <v>0</v>
      </c>
      <c r="P600" s="45">
        <v>0</v>
      </c>
      <c r="Q600" s="45">
        <v>0</v>
      </c>
      <c r="R600" s="45">
        <v>0</v>
      </c>
      <c r="S600" s="45">
        <v>0</v>
      </c>
      <c r="T600" s="45">
        <v>0</v>
      </c>
      <c r="U600" s="45">
        <v>3760</v>
      </c>
    </row>
    <row r="601" spans="1:21" ht="16.05" customHeight="1">
      <c r="A601" s="58" t="s">
        <v>2023</v>
      </c>
      <c r="B601" s="58" t="s">
        <v>1993</v>
      </c>
      <c r="C601" s="45">
        <v>20</v>
      </c>
      <c r="D601" s="45">
        <v>8953</v>
      </c>
      <c r="E601" s="45">
        <v>0</v>
      </c>
      <c r="F601" s="45">
        <v>5138</v>
      </c>
      <c r="G601" s="45">
        <v>0</v>
      </c>
      <c r="H601" s="45">
        <v>1887</v>
      </c>
      <c r="I601" s="45">
        <v>0</v>
      </c>
      <c r="J601" s="45">
        <v>421</v>
      </c>
      <c r="K601" s="45">
        <v>0</v>
      </c>
      <c r="L601" s="45">
        <v>126</v>
      </c>
      <c r="M601" s="45">
        <v>0</v>
      </c>
      <c r="N601" s="45">
        <v>0</v>
      </c>
      <c r="O601" s="45">
        <v>0</v>
      </c>
      <c r="P601" s="45">
        <v>0</v>
      </c>
      <c r="Q601" s="45">
        <v>0</v>
      </c>
      <c r="R601" s="45">
        <v>0</v>
      </c>
      <c r="S601" s="45">
        <v>0</v>
      </c>
      <c r="T601" s="45">
        <v>0</v>
      </c>
      <c r="U601" s="45">
        <v>3803</v>
      </c>
    </row>
    <row r="602" spans="1:21" ht="16.05" customHeight="1">
      <c r="A602" s="58" t="s">
        <v>2023</v>
      </c>
      <c r="B602" s="58" t="s">
        <v>1994</v>
      </c>
      <c r="C602" s="45">
        <v>15</v>
      </c>
      <c r="D602" s="45">
        <v>3660</v>
      </c>
      <c r="E602" s="45">
        <v>1</v>
      </c>
      <c r="F602" s="45">
        <v>1730</v>
      </c>
      <c r="G602" s="45">
        <v>0</v>
      </c>
      <c r="H602" s="45">
        <v>0</v>
      </c>
      <c r="I602" s="45">
        <v>0</v>
      </c>
      <c r="J602" s="45">
        <v>0</v>
      </c>
      <c r="K602" s="45">
        <v>0</v>
      </c>
      <c r="L602" s="45">
        <v>0</v>
      </c>
      <c r="M602" s="45">
        <v>0</v>
      </c>
      <c r="N602" s="45">
        <v>0</v>
      </c>
      <c r="O602" s="45">
        <v>0</v>
      </c>
      <c r="P602" s="45">
        <v>0</v>
      </c>
      <c r="Q602" s="45">
        <v>0</v>
      </c>
      <c r="R602" s="45">
        <v>0</v>
      </c>
      <c r="S602" s="45">
        <v>0</v>
      </c>
      <c r="T602" s="45">
        <v>0</v>
      </c>
      <c r="U602" s="45">
        <v>1940</v>
      </c>
    </row>
    <row r="603" spans="1:21" ht="16.05" customHeight="1">
      <c r="A603" s="58" t="s">
        <v>2023</v>
      </c>
      <c r="B603" s="58" t="s">
        <v>1995</v>
      </c>
      <c r="C603" s="45">
        <v>26</v>
      </c>
      <c r="D603" s="45">
        <v>6680</v>
      </c>
      <c r="E603" s="45">
        <v>0</v>
      </c>
      <c r="F603" s="45">
        <v>3461</v>
      </c>
      <c r="G603" s="45">
        <v>0</v>
      </c>
      <c r="H603" s="45">
        <v>918</v>
      </c>
      <c r="I603" s="45">
        <v>0</v>
      </c>
      <c r="J603" s="45">
        <v>236</v>
      </c>
      <c r="K603" s="45">
        <v>0</v>
      </c>
      <c r="L603" s="45">
        <v>0</v>
      </c>
      <c r="M603" s="45">
        <v>0</v>
      </c>
      <c r="N603" s="45">
        <v>0</v>
      </c>
      <c r="O603" s="45">
        <v>0</v>
      </c>
      <c r="P603" s="45">
        <v>0</v>
      </c>
      <c r="Q603" s="45">
        <v>0</v>
      </c>
      <c r="R603" s="45">
        <v>0</v>
      </c>
      <c r="S603" s="45">
        <v>0</v>
      </c>
      <c r="T603" s="45">
        <v>0</v>
      </c>
      <c r="U603" s="45">
        <v>3211</v>
      </c>
    </row>
    <row r="604" spans="1:21" ht="16.05" customHeight="1">
      <c r="A604" s="58" t="s">
        <v>2023</v>
      </c>
      <c r="B604" s="58" t="s">
        <v>1996</v>
      </c>
      <c r="C604" s="45">
        <v>10</v>
      </c>
      <c r="D604" s="45">
        <v>5148</v>
      </c>
      <c r="E604" s="45">
        <v>0</v>
      </c>
      <c r="F604" s="45">
        <v>2531</v>
      </c>
      <c r="G604" s="45">
        <v>0</v>
      </c>
      <c r="H604" s="45">
        <v>863</v>
      </c>
      <c r="I604" s="45">
        <v>0</v>
      </c>
      <c r="J604" s="45">
        <v>0</v>
      </c>
      <c r="K604" s="45">
        <v>0</v>
      </c>
      <c r="L604" s="45">
        <v>0</v>
      </c>
      <c r="M604" s="45">
        <v>0</v>
      </c>
      <c r="N604" s="45">
        <v>0</v>
      </c>
      <c r="O604" s="45">
        <v>0</v>
      </c>
      <c r="P604" s="45">
        <v>0</v>
      </c>
      <c r="Q604" s="45">
        <v>0</v>
      </c>
      <c r="R604" s="45">
        <v>0</v>
      </c>
      <c r="S604" s="45">
        <v>0</v>
      </c>
      <c r="T604" s="45">
        <v>0</v>
      </c>
      <c r="U604" s="45">
        <v>2613</v>
      </c>
    </row>
    <row r="605" spans="1:21" ht="16.05" customHeight="1">
      <c r="A605" s="58" t="s">
        <v>2023</v>
      </c>
      <c r="B605" s="58" t="s">
        <v>1997</v>
      </c>
      <c r="C605" s="45">
        <v>42</v>
      </c>
      <c r="D605" s="45">
        <v>16083</v>
      </c>
      <c r="E605" s="45">
        <v>0</v>
      </c>
      <c r="F605" s="45">
        <v>11687</v>
      </c>
      <c r="G605" s="45">
        <v>0</v>
      </c>
      <c r="H605" s="45">
        <v>8080</v>
      </c>
      <c r="I605" s="45">
        <v>0</v>
      </c>
      <c r="J605" s="45">
        <v>5332</v>
      </c>
      <c r="K605" s="45">
        <v>0</v>
      </c>
      <c r="L605" s="45">
        <v>2762</v>
      </c>
      <c r="M605" s="45">
        <v>0</v>
      </c>
      <c r="N605" s="45">
        <v>1011</v>
      </c>
      <c r="O605" s="45">
        <v>0</v>
      </c>
      <c r="P605" s="45">
        <v>0</v>
      </c>
      <c r="Q605" s="45">
        <v>0</v>
      </c>
      <c r="R605" s="45">
        <v>0</v>
      </c>
      <c r="S605" s="45">
        <v>0</v>
      </c>
      <c r="T605" s="45">
        <v>0</v>
      </c>
      <c r="U605" s="45">
        <v>4305</v>
      </c>
    </row>
    <row r="606" spans="1:21" ht="16.05" customHeight="1">
      <c r="A606" s="58" t="s">
        <v>2023</v>
      </c>
      <c r="B606" s="58" t="s">
        <v>1998</v>
      </c>
      <c r="C606" s="45">
        <v>75</v>
      </c>
      <c r="D606" s="45">
        <v>27834</v>
      </c>
      <c r="E606" s="45">
        <v>0</v>
      </c>
      <c r="F606" s="45">
        <v>22339</v>
      </c>
      <c r="G606" s="45">
        <v>0</v>
      </c>
      <c r="H606" s="45">
        <v>17213</v>
      </c>
      <c r="I606" s="45">
        <v>0</v>
      </c>
      <c r="J606" s="45">
        <v>12477</v>
      </c>
      <c r="K606" s="45">
        <v>0</v>
      </c>
      <c r="L606" s="45">
        <v>8301</v>
      </c>
      <c r="M606" s="45">
        <v>0</v>
      </c>
      <c r="N606" s="45">
        <v>5249</v>
      </c>
      <c r="O606" s="45">
        <v>0</v>
      </c>
      <c r="P606" s="45">
        <v>3027</v>
      </c>
      <c r="Q606" s="45">
        <v>0</v>
      </c>
      <c r="R606" s="45">
        <v>1561</v>
      </c>
      <c r="S606" s="45">
        <v>0</v>
      </c>
      <c r="T606" s="45">
        <v>1600</v>
      </c>
      <c r="U606" s="45">
        <v>5408</v>
      </c>
    </row>
    <row r="607" spans="1:21" ht="16.05" customHeight="1">
      <c r="A607" s="58" t="s">
        <v>2023</v>
      </c>
      <c r="B607" s="58" t="s">
        <v>1999</v>
      </c>
      <c r="C607" s="45">
        <v>64</v>
      </c>
      <c r="D607" s="45">
        <v>30276</v>
      </c>
      <c r="E607" s="45">
        <v>0</v>
      </c>
      <c r="F607" s="45">
        <v>23893</v>
      </c>
      <c r="G607" s="45">
        <v>0</v>
      </c>
      <c r="H607" s="45">
        <v>18864</v>
      </c>
      <c r="I607" s="45">
        <v>0</v>
      </c>
      <c r="J607" s="45">
        <v>14228</v>
      </c>
      <c r="K607" s="45">
        <v>0</v>
      </c>
      <c r="L607" s="45">
        <v>10043</v>
      </c>
      <c r="M607" s="45">
        <v>0</v>
      </c>
      <c r="N607" s="45">
        <v>6805</v>
      </c>
      <c r="O607" s="45">
        <v>0</v>
      </c>
      <c r="P607" s="45">
        <v>4246</v>
      </c>
      <c r="Q607" s="45">
        <v>0</v>
      </c>
      <c r="R607" s="45">
        <v>2470</v>
      </c>
      <c r="S607" s="45">
        <v>0</v>
      </c>
      <c r="T607" s="45">
        <v>1404</v>
      </c>
      <c r="U607" s="45">
        <v>6275</v>
      </c>
    </row>
    <row r="608" spans="1:21" ht="16.05" customHeight="1">
      <c r="A608" s="58" t="s">
        <v>2023</v>
      </c>
      <c r="B608" s="58" t="s">
        <v>2000</v>
      </c>
      <c r="C608" s="45">
        <v>89</v>
      </c>
      <c r="D608" s="45">
        <v>31467</v>
      </c>
      <c r="E608" s="45">
        <v>0</v>
      </c>
      <c r="F608" s="45">
        <v>24425</v>
      </c>
      <c r="G608" s="45">
        <v>0</v>
      </c>
      <c r="H608" s="45">
        <v>18058</v>
      </c>
      <c r="I608" s="45">
        <v>0</v>
      </c>
      <c r="J608" s="45">
        <v>12749</v>
      </c>
      <c r="K608" s="45">
        <v>0</v>
      </c>
      <c r="L608" s="45">
        <v>8403</v>
      </c>
      <c r="M608" s="45">
        <v>0</v>
      </c>
      <c r="N608" s="45">
        <v>4778</v>
      </c>
      <c r="O608" s="45">
        <v>0</v>
      </c>
      <c r="P608" s="45">
        <v>2717</v>
      </c>
      <c r="Q608" s="45">
        <v>0</v>
      </c>
      <c r="R608" s="45">
        <v>1515</v>
      </c>
      <c r="S608" s="45">
        <v>0</v>
      </c>
      <c r="T608" s="45">
        <v>879</v>
      </c>
      <c r="U608" s="45">
        <v>6943</v>
      </c>
    </row>
    <row r="609" spans="1:21" ht="16.05" customHeight="1">
      <c r="A609" s="58" t="s">
        <v>2023</v>
      </c>
      <c r="B609" s="58" t="s">
        <v>2001</v>
      </c>
      <c r="C609" s="45">
        <v>136</v>
      </c>
      <c r="D609" s="45">
        <v>58022</v>
      </c>
      <c r="E609" s="45">
        <v>0</v>
      </c>
      <c r="F609" s="45">
        <v>49849</v>
      </c>
      <c r="G609" s="45">
        <v>0</v>
      </c>
      <c r="H609" s="45">
        <v>42482</v>
      </c>
      <c r="I609" s="45">
        <v>0</v>
      </c>
      <c r="J609" s="45">
        <v>35565</v>
      </c>
      <c r="K609" s="45">
        <v>0</v>
      </c>
      <c r="L609" s="45">
        <v>29770</v>
      </c>
      <c r="M609" s="45">
        <v>0</v>
      </c>
      <c r="N609" s="45">
        <v>24250</v>
      </c>
      <c r="O609" s="45">
        <v>0</v>
      </c>
      <c r="P609" s="45">
        <v>19748</v>
      </c>
      <c r="Q609" s="45">
        <v>0</v>
      </c>
      <c r="R609" s="45">
        <v>15833</v>
      </c>
      <c r="S609" s="45">
        <v>0</v>
      </c>
      <c r="T609" s="45">
        <v>36067</v>
      </c>
      <c r="U609" s="45">
        <v>7921</v>
      </c>
    </row>
    <row r="610" spans="1:21" ht="16.05" customHeight="1">
      <c r="A610" s="58" t="s">
        <v>2023</v>
      </c>
      <c r="B610" s="58" t="s">
        <v>2002</v>
      </c>
      <c r="C610" s="45">
        <v>127</v>
      </c>
      <c r="D610" s="45">
        <v>49354</v>
      </c>
      <c r="E610" s="45">
        <v>0</v>
      </c>
      <c r="F610" s="45">
        <v>41174</v>
      </c>
      <c r="G610" s="45">
        <v>0</v>
      </c>
      <c r="H610" s="45">
        <v>33364</v>
      </c>
      <c r="I610" s="45">
        <v>0</v>
      </c>
      <c r="J610" s="45">
        <v>26303</v>
      </c>
      <c r="K610" s="45">
        <v>0</v>
      </c>
      <c r="L610" s="45">
        <v>19846</v>
      </c>
      <c r="M610" s="45">
        <v>0</v>
      </c>
      <c r="N610" s="45">
        <v>15268</v>
      </c>
      <c r="O610" s="45">
        <v>0</v>
      </c>
      <c r="P610" s="45">
        <v>11530</v>
      </c>
      <c r="Q610" s="45">
        <v>0</v>
      </c>
      <c r="R610" s="45">
        <v>8430</v>
      </c>
      <c r="S610" s="45">
        <v>0</v>
      </c>
      <c r="T610" s="45">
        <v>12856</v>
      </c>
      <c r="U610" s="45">
        <v>8061</v>
      </c>
    </row>
    <row r="611" spans="1:21" ht="16.05" customHeight="1">
      <c r="A611" s="58" t="s">
        <v>2023</v>
      </c>
      <c r="B611" s="58" t="s">
        <v>2003</v>
      </c>
      <c r="C611" s="45">
        <v>68</v>
      </c>
      <c r="D611" s="45">
        <v>28500</v>
      </c>
      <c r="E611" s="45">
        <v>0</v>
      </c>
      <c r="F611" s="45">
        <v>23077</v>
      </c>
      <c r="G611" s="45">
        <v>0</v>
      </c>
      <c r="H611" s="45">
        <v>18040</v>
      </c>
      <c r="I611" s="45">
        <v>0</v>
      </c>
      <c r="J611" s="45">
        <v>13366</v>
      </c>
      <c r="K611" s="45">
        <v>0</v>
      </c>
      <c r="L611" s="45">
        <v>9035</v>
      </c>
      <c r="M611" s="45">
        <v>0</v>
      </c>
      <c r="N611" s="45">
        <v>5331</v>
      </c>
      <c r="O611" s="45">
        <v>0</v>
      </c>
      <c r="P611" s="45">
        <v>2228</v>
      </c>
      <c r="Q611" s="45">
        <v>0</v>
      </c>
      <c r="R611" s="45">
        <v>1462</v>
      </c>
      <c r="S611" s="45">
        <v>0</v>
      </c>
      <c r="T611" s="45">
        <v>2012</v>
      </c>
      <c r="U611" s="45">
        <v>5323</v>
      </c>
    </row>
    <row r="612" spans="1:21" ht="16.05" customHeight="1">
      <c r="A612" s="58" t="s">
        <v>2023</v>
      </c>
      <c r="B612" s="58" t="s">
        <v>2004</v>
      </c>
      <c r="C612" s="45">
        <v>33</v>
      </c>
      <c r="D612" s="45">
        <v>15767</v>
      </c>
      <c r="E612" s="45">
        <v>1</v>
      </c>
      <c r="F612" s="45">
        <v>10824</v>
      </c>
      <c r="G612" s="45">
        <v>0</v>
      </c>
      <c r="H612" s="45">
        <v>6465</v>
      </c>
      <c r="I612" s="45">
        <v>0</v>
      </c>
      <c r="J612" s="45">
        <v>2643</v>
      </c>
      <c r="K612" s="45">
        <v>0</v>
      </c>
      <c r="L612" s="45">
        <v>722</v>
      </c>
      <c r="M612" s="45">
        <v>0</v>
      </c>
      <c r="N612" s="45">
        <v>382</v>
      </c>
      <c r="O612" s="45">
        <v>0</v>
      </c>
      <c r="P612" s="45">
        <v>126</v>
      </c>
      <c r="Q612" s="45">
        <v>0</v>
      </c>
      <c r="R612" s="45">
        <v>0</v>
      </c>
      <c r="S612" s="45">
        <v>0</v>
      </c>
      <c r="T612" s="45">
        <v>0</v>
      </c>
      <c r="U612" s="45">
        <v>4884</v>
      </c>
    </row>
    <row r="613" spans="1:21" ht="16.05" customHeight="1">
      <c r="A613" s="58" t="s">
        <v>2023</v>
      </c>
      <c r="B613" s="58" t="s">
        <v>2005</v>
      </c>
      <c r="C613" s="45">
        <v>11</v>
      </c>
      <c r="D613" s="45">
        <v>3693</v>
      </c>
      <c r="E613" s="45">
        <v>0</v>
      </c>
      <c r="F613" s="45">
        <v>510</v>
      </c>
      <c r="G613" s="45">
        <v>0</v>
      </c>
      <c r="H613" s="45">
        <v>0</v>
      </c>
      <c r="I613" s="45">
        <v>0</v>
      </c>
      <c r="J613" s="45">
        <v>0</v>
      </c>
      <c r="K613" s="45">
        <v>0</v>
      </c>
      <c r="L613" s="45">
        <v>0</v>
      </c>
      <c r="M613" s="45">
        <v>0</v>
      </c>
      <c r="N613" s="45">
        <v>0</v>
      </c>
      <c r="O613" s="45">
        <v>0</v>
      </c>
      <c r="P613" s="45">
        <v>0</v>
      </c>
      <c r="Q613" s="45">
        <v>0</v>
      </c>
      <c r="R613" s="45">
        <v>0</v>
      </c>
      <c r="S613" s="45">
        <v>0</v>
      </c>
      <c r="T613" s="45">
        <v>0</v>
      </c>
      <c r="U613" s="45">
        <v>3184</v>
      </c>
    </row>
    <row r="614" spans="1:21" ht="16.05" customHeight="1">
      <c r="A614" s="58" t="s">
        <v>2023</v>
      </c>
      <c r="B614" s="58" t="s">
        <v>2006</v>
      </c>
      <c r="C614" s="45">
        <v>15</v>
      </c>
      <c r="D614" s="45">
        <v>7814</v>
      </c>
      <c r="E614" s="45">
        <v>0</v>
      </c>
      <c r="F614" s="45">
        <v>3602</v>
      </c>
      <c r="G614" s="45">
        <v>0</v>
      </c>
      <c r="H614" s="45">
        <v>176</v>
      </c>
      <c r="I614" s="45">
        <v>0</v>
      </c>
      <c r="J614" s="45">
        <v>52</v>
      </c>
      <c r="K614" s="45">
        <v>0</v>
      </c>
      <c r="L614" s="45">
        <v>0</v>
      </c>
      <c r="M614" s="45">
        <v>0</v>
      </c>
      <c r="N614" s="45">
        <v>0</v>
      </c>
      <c r="O614" s="45">
        <v>0</v>
      </c>
      <c r="P614" s="45">
        <v>0</v>
      </c>
      <c r="Q614" s="45">
        <v>0</v>
      </c>
      <c r="R614" s="45">
        <v>0</v>
      </c>
      <c r="S614" s="45">
        <v>0</v>
      </c>
      <c r="T614" s="45">
        <v>0</v>
      </c>
      <c r="U614" s="45">
        <v>4220</v>
      </c>
    </row>
    <row r="615" spans="1:21" ht="16.05" customHeight="1">
      <c r="A615" s="58" t="s">
        <v>2023</v>
      </c>
      <c r="B615" s="58" t="s">
        <v>2007</v>
      </c>
      <c r="C615" s="45">
        <v>9</v>
      </c>
      <c r="D615" s="45">
        <v>5699</v>
      </c>
      <c r="E615" s="45">
        <v>0</v>
      </c>
      <c r="F615" s="45">
        <v>3078</v>
      </c>
      <c r="G615" s="45">
        <v>0</v>
      </c>
      <c r="H615" s="45">
        <v>1169</v>
      </c>
      <c r="I615" s="45">
        <v>0</v>
      </c>
      <c r="J615" s="45">
        <v>0</v>
      </c>
      <c r="K615" s="45">
        <v>0</v>
      </c>
      <c r="L615" s="45">
        <v>0</v>
      </c>
      <c r="M615" s="45">
        <v>0</v>
      </c>
      <c r="N615" s="45">
        <v>0</v>
      </c>
      <c r="O615" s="45">
        <v>0</v>
      </c>
      <c r="P615" s="45">
        <v>0</v>
      </c>
      <c r="Q615" s="45">
        <v>0</v>
      </c>
      <c r="R615" s="45">
        <v>0</v>
      </c>
      <c r="S615" s="45">
        <v>0</v>
      </c>
      <c r="T615" s="45">
        <v>0</v>
      </c>
      <c r="U615" s="45">
        <v>2604</v>
      </c>
    </row>
    <row r="616" spans="1:21" ht="16.05" customHeight="1">
      <c r="A616" s="58" t="s">
        <v>2023</v>
      </c>
      <c r="B616" s="58" t="s">
        <v>2008</v>
      </c>
      <c r="C616" s="45">
        <v>39</v>
      </c>
      <c r="D616" s="45">
        <v>18140</v>
      </c>
      <c r="E616" s="45">
        <v>0</v>
      </c>
      <c r="F616" s="45">
        <v>12805</v>
      </c>
      <c r="G616" s="45">
        <v>0</v>
      </c>
      <c r="H616" s="45">
        <v>8956</v>
      </c>
      <c r="I616" s="45">
        <v>0</v>
      </c>
      <c r="J616" s="45">
        <v>5755</v>
      </c>
      <c r="K616" s="45">
        <v>0</v>
      </c>
      <c r="L616" s="45">
        <v>3199</v>
      </c>
      <c r="M616" s="45">
        <v>0</v>
      </c>
      <c r="N616" s="45">
        <v>1465</v>
      </c>
      <c r="O616" s="45">
        <v>0</v>
      </c>
      <c r="P616" s="45">
        <v>263</v>
      </c>
      <c r="Q616" s="45">
        <v>0</v>
      </c>
      <c r="R616" s="45">
        <v>0</v>
      </c>
      <c r="S616" s="45">
        <v>0</v>
      </c>
      <c r="T616" s="45">
        <v>0</v>
      </c>
      <c r="U616" s="45">
        <v>5260</v>
      </c>
    </row>
    <row r="617" spans="1:21" ht="16.05" customHeight="1">
      <c r="A617" s="58" t="s">
        <v>2023</v>
      </c>
      <c r="B617" s="58" t="s">
        <v>2009</v>
      </c>
      <c r="C617" s="45">
        <v>60</v>
      </c>
      <c r="D617" s="45">
        <v>24649</v>
      </c>
      <c r="E617" s="45">
        <v>0</v>
      </c>
      <c r="F617" s="45">
        <v>19119</v>
      </c>
      <c r="G617" s="45">
        <v>0</v>
      </c>
      <c r="H617" s="45">
        <v>14537</v>
      </c>
      <c r="I617" s="45">
        <v>0</v>
      </c>
      <c r="J617" s="45">
        <v>10696</v>
      </c>
      <c r="K617" s="45">
        <v>0</v>
      </c>
      <c r="L617" s="45">
        <v>7732</v>
      </c>
      <c r="M617" s="45">
        <v>0</v>
      </c>
      <c r="N617" s="45">
        <v>5267</v>
      </c>
      <c r="O617" s="45">
        <v>0</v>
      </c>
      <c r="P617" s="45">
        <v>3143</v>
      </c>
      <c r="Q617" s="45">
        <v>0</v>
      </c>
      <c r="R617" s="45">
        <v>1589</v>
      </c>
      <c r="S617" s="45">
        <v>0</v>
      </c>
      <c r="T617" s="45">
        <v>847</v>
      </c>
      <c r="U617" s="45">
        <v>5455</v>
      </c>
    </row>
    <row r="618" spans="1:21" ht="16.05" customHeight="1">
      <c r="A618" s="58" t="s">
        <v>2023</v>
      </c>
      <c r="B618" s="58" t="s">
        <v>2010</v>
      </c>
      <c r="C618" s="45">
        <v>57</v>
      </c>
      <c r="D618" s="45">
        <v>21875</v>
      </c>
      <c r="E618" s="45">
        <v>0</v>
      </c>
      <c r="F618" s="45">
        <v>16033</v>
      </c>
      <c r="G618" s="45">
        <v>0</v>
      </c>
      <c r="H618" s="45">
        <v>10747</v>
      </c>
      <c r="I618" s="45">
        <v>0</v>
      </c>
      <c r="J618" s="45">
        <v>6324</v>
      </c>
      <c r="K618" s="45">
        <v>0</v>
      </c>
      <c r="L618" s="45">
        <v>3172</v>
      </c>
      <c r="M618" s="45">
        <v>0</v>
      </c>
      <c r="N618" s="45">
        <v>1456</v>
      </c>
      <c r="O618" s="45">
        <v>0</v>
      </c>
      <c r="P618" s="45">
        <v>620</v>
      </c>
      <c r="Q618" s="45">
        <v>0</v>
      </c>
      <c r="R618" s="45">
        <v>227</v>
      </c>
      <c r="S618" s="45">
        <v>0</v>
      </c>
      <c r="T618" s="45">
        <v>53</v>
      </c>
      <c r="U618" s="45">
        <v>5774</v>
      </c>
    </row>
    <row r="619" spans="1:21" ht="16.05" customHeight="1">
      <c r="A619" s="58" t="s">
        <v>2023</v>
      </c>
      <c r="B619" s="58" t="s">
        <v>2011</v>
      </c>
      <c r="C619" s="45">
        <v>183</v>
      </c>
      <c r="D619" s="45">
        <v>67105</v>
      </c>
      <c r="E619" s="45">
        <v>2</v>
      </c>
      <c r="F619" s="45">
        <v>57910</v>
      </c>
      <c r="G619" s="45">
        <v>0</v>
      </c>
      <c r="H619" s="45">
        <v>49368</v>
      </c>
      <c r="I619" s="45">
        <v>0</v>
      </c>
      <c r="J619" s="45">
        <v>41198</v>
      </c>
      <c r="K619" s="45">
        <v>0</v>
      </c>
      <c r="L619" s="45">
        <v>33485</v>
      </c>
      <c r="M619" s="45">
        <v>0</v>
      </c>
      <c r="N619" s="45">
        <v>26656</v>
      </c>
      <c r="O619" s="45">
        <v>0</v>
      </c>
      <c r="P619" s="45">
        <v>20625</v>
      </c>
      <c r="Q619" s="45">
        <v>0</v>
      </c>
      <c r="R619" s="45">
        <v>15013</v>
      </c>
      <c r="S619" s="45">
        <v>0</v>
      </c>
      <c r="T619" s="45">
        <v>30368</v>
      </c>
      <c r="U619" s="45">
        <v>8935</v>
      </c>
    </row>
    <row r="620" spans="1:21" ht="16.05" customHeight="1">
      <c r="A620" s="58" t="s">
        <v>2023</v>
      </c>
      <c r="B620" s="58" t="s">
        <v>2012</v>
      </c>
      <c r="C620" s="45">
        <v>103</v>
      </c>
      <c r="D620" s="45">
        <v>35238</v>
      </c>
      <c r="E620" s="45">
        <v>2</v>
      </c>
      <c r="F620" s="45">
        <v>28730</v>
      </c>
      <c r="G620" s="45">
        <v>0</v>
      </c>
      <c r="H620" s="45">
        <v>23126</v>
      </c>
      <c r="I620" s="45">
        <v>0</v>
      </c>
      <c r="J620" s="45">
        <v>18096</v>
      </c>
      <c r="K620" s="45">
        <v>0</v>
      </c>
      <c r="L620" s="45">
        <v>13276</v>
      </c>
      <c r="M620" s="45">
        <v>0</v>
      </c>
      <c r="N620" s="45">
        <v>9080</v>
      </c>
      <c r="O620" s="45">
        <v>0</v>
      </c>
      <c r="P620" s="45">
        <v>6044</v>
      </c>
      <c r="Q620" s="45">
        <v>0</v>
      </c>
      <c r="R620" s="45">
        <v>3894</v>
      </c>
      <c r="S620" s="45">
        <v>0</v>
      </c>
      <c r="T620" s="45">
        <v>5128</v>
      </c>
      <c r="U620" s="45">
        <v>6334</v>
      </c>
    </row>
    <row r="621" spans="1:21" ht="16.05" customHeight="1">
      <c r="A621" s="58" t="s">
        <v>2023</v>
      </c>
      <c r="B621" s="58" t="s">
        <v>2013</v>
      </c>
      <c r="C621" s="45">
        <v>77</v>
      </c>
      <c r="D621" s="45">
        <v>31403</v>
      </c>
      <c r="E621" s="45">
        <v>0</v>
      </c>
      <c r="F621" s="45">
        <v>24313</v>
      </c>
      <c r="G621" s="45">
        <v>0</v>
      </c>
      <c r="H621" s="45">
        <v>18287</v>
      </c>
      <c r="I621" s="45">
        <v>0</v>
      </c>
      <c r="J621" s="45">
        <v>12558</v>
      </c>
      <c r="K621" s="45">
        <v>0</v>
      </c>
      <c r="L621" s="45">
        <v>8119</v>
      </c>
      <c r="M621" s="45">
        <v>0</v>
      </c>
      <c r="N621" s="45">
        <v>5038</v>
      </c>
      <c r="O621" s="45">
        <v>0</v>
      </c>
      <c r="P621" s="45">
        <v>2680</v>
      </c>
      <c r="Q621" s="45">
        <v>0</v>
      </c>
      <c r="R621" s="45">
        <v>1245</v>
      </c>
      <c r="S621" s="45">
        <v>0</v>
      </c>
      <c r="T621" s="45">
        <v>971</v>
      </c>
      <c r="U621" s="45">
        <v>6940</v>
      </c>
    </row>
    <row r="622" spans="1:21" ht="16.05" customHeight="1">
      <c r="A622" s="58" t="s">
        <v>2023</v>
      </c>
      <c r="B622" s="58" t="s">
        <v>2014</v>
      </c>
      <c r="C622" s="45">
        <v>104</v>
      </c>
      <c r="D622" s="45">
        <v>38878</v>
      </c>
      <c r="E622" s="45">
        <v>0</v>
      </c>
      <c r="F622" s="45">
        <v>30919</v>
      </c>
      <c r="G622" s="45">
        <v>0</v>
      </c>
      <c r="H622" s="45">
        <v>24829</v>
      </c>
      <c r="I622" s="45">
        <v>0</v>
      </c>
      <c r="J622" s="45">
        <v>19215</v>
      </c>
      <c r="K622" s="45">
        <v>0</v>
      </c>
      <c r="L622" s="45">
        <v>14970</v>
      </c>
      <c r="M622" s="45">
        <v>0</v>
      </c>
      <c r="N622" s="45">
        <v>11347</v>
      </c>
      <c r="O622" s="45">
        <v>0</v>
      </c>
      <c r="P622" s="45">
        <v>8174</v>
      </c>
      <c r="Q622" s="45">
        <v>0</v>
      </c>
      <c r="R622" s="45">
        <v>5369</v>
      </c>
      <c r="S622" s="45">
        <v>0</v>
      </c>
      <c r="T622" s="45">
        <v>5475</v>
      </c>
      <c r="U622" s="45">
        <v>7815</v>
      </c>
    </row>
    <row r="623" spans="1:21" ht="16.05" customHeight="1">
      <c r="A623" s="58" t="s">
        <v>2023</v>
      </c>
      <c r="B623" s="58" t="s">
        <v>2015</v>
      </c>
      <c r="C623" s="45">
        <v>118</v>
      </c>
      <c r="D623" s="45">
        <v>56514</v>
      </c>
      <c r="E623" s="45">
        <v>0</v>
      </c>
      <c r="F623" s="45">
        <v>48813</v>
      </c>
      <c r="G623" s="45">
        <v>0</v>
      </c>
      <c r="H623" s="45">
        <v>41854</v>
      </c>
      <c r="I623" s="45">
        <v>0</v>
      </c>
      <c r="J623" s="45">
        <v>35742</v>
      </c>
      <c r="K623" s="45">
        <v>0</v>
      </c>
      <c r="L623" s="45">
        <v>30406</v>
      </c>
      <c r="M623" s="45">
        <v>0</v>
      </c>
      <c r="N623" s="45">
        <v>25631</v>
      </c>
      <c r="O623" s="45">
        <v>0</v>
      </c>
      <c r="P623" s="45">
        <v>21125</v>
      </c>
      <c r="Q623" s="45">
        <v>0</v>
      </c>
      <c r="R623" s="45">
        <v>17191</v>
      </c>
      <c r="S623" s="45">
        <v>0</v>
      </c>
      <c r="T623" s="45">
        <v>42629</v>
      </c>
      <c r="U623" s="45">
        <v>7560</v>
      </c>
    </row>
    <row r="624" spans="1:21" ht="16.05" customHeight="1">
      <c r="A624" s="58" t="s">
        <v>2023</v>
      </c>
      <c r="B624" s="58" t="s">
        <v>2016</v>
      </c>
      <c r="C624" s="45">
        <v>86</v>
      </c>
      <c r="D624" s="45">
        <v>38474</v>
      </c>
      <c r="E624" s="45">
        <v>0</v>
      </c>
      <c r="F624" s="45">
        <v>31806</v>
      </c>
      <c r="G624" s="45">
        <v>0</v>
      </c>
      <c r="H624" s="45">
        <v>26430</v>
      </c>
      <c r="I624" s="45">
        <v>0</v>
      </c>
      <c r="J624" s="45">
        <v>21358</v>
      </c>
      <c r="K624" s="45">
        <v>0</v>
      </c>
      <c r="L624" s="45">
        <v>16642</v>
      </c>
      <c r="M624" s="45">
        <v>0</v>
      </c>
      <c r="N624" s="45">
        <v>12527</v>
      </c>
      <c r="O624" s="45">
        <v>0</v>
      </c>
      <c r="P624" s="45">
        <v>9262</v>
      </c>
      <c r="Q624" s="45">
        <v>0</v>
      </c>
      <c r="R624" s="45">
        <v>6533</v>
      </c>
      <c r="S624" s="45">
        <v>0</v>
      </c>
      <c r="T624" s="45">
        <v>9250</v>
      </c>
      <c r="U624" s="45">
        <v>6467</v>
      </c>
    </row>
    <row r="625" spans="1:21" ht="16.05" customHeight="1">
      <c r="A625" s="58" t="s">
        <v>2023</v>
      </c>
      <c r="B625" s="58" t="s">
        <v>2017</v>
      </c>
      <c r="C625" s="45">
        <v>81</v>
      </c>
      <c r="D625" s="45">
        <v>29101</v>
      </c>
      <c r="E625" s="45">
        <v>0</v>
      </c>
      <c r="F625" s="45">
        <v>21839</v>
      </c>
      <c r="G625" s="45">
        <v>0</v>
      </c>
      <c r="H625" s="45">
        <v>15345</v>
      </c>
      <c r="I625" s="45">
        <v>0</v>
      </c>
      <c r="J625" s="45">
        <v>10274</v>
      </c>
      <c r="K625" s="45">
        <v>0</v>
      </c>
      <c r="L625" s="45">
        <v>6480</v>
      </c>
      <c r="M625" s="45">
        <v>0</v>
      </c>
      <c r="N625" s="45">
        <v>3705</v>
      </c>
      <c r="O625" s="45">
        <v>0</v>
      </c>
      <c r="P625" s="45">
        <v>1725</v>
      </c>
      <c r="Q625" s="45">
        <v>0</v>
      </c>
      <c r="R625" s="45">
        <v>663</v>
      </c>
      <c r="S625" s="45">
        <v>0</v>
      </c>
      <c r="T625" s="45">
        <v>253</v>
      </c>
      <c r="U625" s="45">
        <v>7145</v>
      </c>
    </row>
    <row r="626" spans="1:21" ht="16.05" customHeight="1">
      <c r="A626" s="58" t="s">
        <v>2023</v>
      </c>
      <c r="B626" s="58" t="s">
        <v>2018</v>
      </c>
      <c r="C626" s="45">
        <v>150</v>
      </c>
      <c r="D626" s="45">
        <v>61066</v>
      </c>
      <c r="E626" s="45">
        <v>1</v>
      </c>
      <c r="F626" s="45">
        <v>53765</v>
      </c>
      <c r="G626" s="45">
        <v>0</v>
      </c>
      <c r="H626" s="45">
        <v>47275</v>
      </c>
      <c r="I626" s="45">
        <v>0</v>
      </c>
      <c r="J626" s="45">
        <v>40944</v>
      </c>
      <c r="K626" s="45">
        <v>0</v>
      </c>
      <c r="L626" s="45">
        <v>35060</v>
      </c>
      <c r="M626" s="45">
        <v>0</v>
      </c>
      <c r="N626" s="45">
        <v>29630</v>
      </c>
      <c r="O626" s="45">
        <v>0</v>
      </c>
      <c r="P626" s="45">
        <v>24719</v>
      </c>
      <c r="Q626" s="45">
        <v>0</v>
      </c>
      <c r="R626" s="45">
        <v>20273</v>
      </c>
      <c r="S626" s="45">
        <v>0</v>
      </c>
      <c r="T626" s="45">
        <v>59324</v>
      </c>
      <c r="U626" s="45">
        <v>7096</v>
      </c>
    </row>
    <row r="627" spans="1:21" ht="16.05" customHeight="1">
      <c r="A627" s="58" t="s">
        <v>2023</v>
      </c>
      <c r="B627" s="58" t="s">
        <v>2019</v>
      </c>
      <c r="C627" s="45">
        <v>96</v>
      </c>
      <c r="D627" s="45">
        <v>45647</v>
      </c>
      <c r="E627" s="45">
        <v>0</v>
      </c>
      <c r="F627" s="45">
        <v>37834</v>
      </c>
      <c r="G627" s="45">
        <v>0</v>
      </c>
      <c r="H627" s="45">
        <v>31368</v>
      </c>
      <c r="I627" s="45">
        <v>0</v>
      </c>
      <c r="J627" s="45">
        <v>25217</v>
      </c>
      <c r="K627" s="45">
        <v>0</v>
      </c>
      <c r="L627" s="45">
        <v>19885</v>
      </c>
      <c r="M627" s="45">
        <v>0</v>
      </c>
      <c r="N627" s="45">
        <v>14885</v>
      </c>
      <c r="O627" s="45">
        <v>0</v>
      </c>
      <c r="P627" s="45">
        <v>11199</v>
      </c>
      <c r="Q627" s="45">
        <v>0</v>
      </c>
      <c r="R627" s="45">
        <v>7729</v>
      </c>
      <c r="S627" s="45">
        <v>0</v>
      </c>
      <c r="T627" s="45">
        <v>9972</v>
      </c>
      <c r="U627" s="45">
        <v>7654</v>
      </c>
    </row>
    <row r="628" spans="1:21" ht="16.05" customHeight="1">
      <c r="A628" s="58" t="s">
        <v>2023</v>
      </c>
      <c r="B628" s="58" t="s">
        <v>2020</v>
      </c>
      <c r="C628" s="45">
        <v>55</v>
      </c>
      <c r="D628" s="45">
        <v>23063</v>
      </c>
      <c r="E628" s="45">
        <v>0</v>
      </c>
      <c r="F628" s="45">
        <v>18838</v>
      </c>
      <c r="G628" s="45">
        <v>0</v>
      </c>
      <c r="H628" s="45">
        <v>14882</v>
      </c>
      <c r="I628" s="45">
        <v>0</v>
      </c>
      <c r="J628" s="45">
        <v>11181</v>
      </c>
      <c r="K628" s="45">
        <v>0</v>
      </c>
      <c r="L628" s="45">
        <v>8224</v>
      </c>
      <c r="M628" s="45">
        <v>0</v>
      </c>
      <c r="N628" s="45">
        <v>5770</v>
      </c>
      <c r="O628" s="45">
        <v>0</v>
      </c>
      <c r="P628" s="45">
        <v>3653</v>
      </c>
      <c r="Q628" s="45">
        <v>0</v>
      </c>
      <c r="R628" s="45">
        <v>2038</v>
      </c>
      <c r="S628" s="45">
        <v>0</v>
      </c>
      <c r="T628" s="45">
        <v>1603</v>
      </c>
      <c r="U628" s="45">
        <v>4137</v>
      </c>
    </row>
    <row r="629" spans="1:21" ht="16.05" customHeight="1">
      <c r="A629" s="58" t="s">
        <v>2023</v>
      </c>
      <c r="B629" s="58" t="s">
        <v>2021</v>
      </c>
      <c r="C629" s="45">
        <v>42</v>
      </c>
      <c r="D629" s="45">
        <v>16912</v>
      </c>
      <c r="E629" s="45">
        <v>0</v>
      </c>
      <c r="F629" s="45">
        <v>11924</v>
      </c>
      <c r="G629" s="45">
        <v>0</v>
      </c>
      <c r="H629" s="45">
        <v>7696</v>
      </c>
      <c r="I629" s="45">
        <v>0</v>
      </c>
      <c r="J629" s="45">
        <v>4410</v>
      </c>
      <c r="K629" s="45">
        <v>0</v>
      </c>
      <c r="L629" s="45">
        <v>2194</v>
      </c>
      <c r="M629" s="45">
        <v>0</v>
      </c>
      <c r="N629" s="45">
        <v>804</v>
      </c>
      <c r="O629" s="45">
        <v>0</v>
      </c>
      <c r="P629" s="45">
        <v>279</v>
      </c>
      <c r="Q629" s="45">
        <v>0</v>
      </c>
      <c r="R629" s="45">
        <v>70</v>
      </c>
      <c r="S629" s="45">
        <v>0</v>
      </c>
      <c r="T629" s="45">
        <v>0</v>
      </c>
      <c r="U629" s="45">
        <v>4914</v>
      </c>
    </row>
    <row r="630" spans="1:21" ht="16.05" customHeight="1">
      <c r="A630" s="58" t="s">
        <v>2023</v>
      </c>
      <c r="B630" s="58" t="s">
        <v>2022</v>
      </c>
      <c r="C630" s="45">
        <v>15</v>
      </c>
      <c r="D630" s="45">
        <v>5115</v>
      </c>
      <c r="E630" s="45">
        <v>0</v>
      </c>
      <c r="F630" s="45">
        <v>3863</v>
      </c>
      <c r="G630" s="45">
        <v>0</v>
      </c>
      <c r="H630" s="45">
        <v>2818</v>
      </c>
      <c r="I630" s="45">
        <v>0</v>
      </c>
      <c r="J630" s="45">
        <v>1824</v>
      </c>
      <c r="K630" s="45">
        <v>0</v>
      </c>
      <c r="L630" s="45">
        <v>1098</v>
      </c>
      <c r="M630" s="45">
        <v>0</v>
      </c>
      <c r="N630" s="45">
        <v>479</v>
      </c>
      <c r="O630" s="45">
        <v>0</v>
      </c>
      <c r="P630" s="45">
        <v>0</v>
      </c>
      <c r="Q630" s="45">
        <v>0</v>
      </c>
      <c r="R630" s="45">
        <v>0</v>
      </c>
      <c r="S630" s="45">
        <v>0</v>
      </c>
      <c r="T630" s="45">
        <v>0</v>
      </c>
      <c r="U630" s="45">
        <v>1231</v>
      </c>
    </row>
    <row r="631" spans="1:21" ht="16.05" customHeight="1">
      <c r="A631" s="218"/>
      <c r="B631" s="218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18D88-0861-4F61-AADD-FDE29508835D}">
  <dimension ref="A1:P410"/>
  <sheetViews>
    <sheetView topLeftCell="A163" workbookViewId="0">
      <selection activeCell="I134" sqref="I134"/>
    </sheetView>
  </sheetViews>
  <sheetFormatPr defaultRowHeight="13.2"/>
  <cols>
    <col min="1" max="1" width="18.88671875" style="22" customWidth="1"/>
    <col min="2" max="2" width="10.21875" style="22" customWidth="1"/>
    <col min="3" max="3" width="9.109375" style="22" customWidth="1"/>
    <col min="4" max="4" width="14.77734375" style="22" customWidth="1"/>
    <col min="5" max="5" width="10.21875" style="22" customWidth="1"/>
    <col min="6" max="6" width="10.109375" style="22" customWidth="1"/>
    <col min="7" max="7" width="10" style="22" customWidth="1"/>
    <col min="8" max="8" width="9.5546875" style="22" bestFit="1" customWidth="1"/>
    <col min="9" max="9" width="12.21875" style="22" customWidth="1"/>
    <col min="10" max="10" width="11" style="22" customWidth="1"/>
    <col min="11" max="12" width="9" style="22" bestFit="1" customWidth="1"/>
    <col min="13" max="13" width="7" style="22" customWidth="1"/>
    <col min="14" max="14" width="19.88671875" style="22" customWidth="1"/>
    <col min="15" max="15" width="5.77734375" style="22" customWidth="1"/>
    <col min="16" max="16" width="6" style="22" customWidth="1"/>
    <col min="17" max="16384" width="8.88671875" style="95"/>
  </cols>
  <sheetData>
    <row r="1" spans="1:16" ht="16.05" customHeight="1">
      <c r="A1" s="100" t="s">
        <v>2028</v>
      </c>
    </row>
    <row r="2" spans="1:16" ht="16.05" customHeight="1">
      <c r="A2" s="91" t="s">
        <v>306</v>
      </c>
      <c r="B2" s="91" t="s">
        <v>307</v>
      </c>
      <c r="C2" s="91" t="s">
        <v>308</v>
      </c>
      <c r="D2" s="91" t="s">
        <v>309</v>
      </c>
      <c r="E2" s="91" t="s">
        <v>310</v>
      </c>
      <c r="F2" s="91" t="s">
        <v>311</v>
      </c>
      <c r="G2" s="91" t="s">
        <v>312</v>
      </c>
      <c r="H2" s="91" t="s">
        <v>313</v>
      </c>
      <c r="I2" s="91" t="s">
        <v>314</v>
      </c>
      <c r="J2" s="91" t="s">
        <v>315</v>
      </c>
      <c r="K2" s="91" t="s">
        <v>316</v>
      </c>
      <c r="L2" s="91" t="s">
        <v>317</v>
      </c>
      <c r="M2" s="91" t="s">
        <v>318</v>
      </c>
      <c r="N2" s="91" t="s">
        <v>319</v>
      </c>
      <c r="O2" s="91" t="s">
        <v>320</v>
      </c>
      <c r="P2" s="101" t="s">
        <v>321</v>
      </c>
    </row>
    <row r="3" spans="1:16" ht="16.05" customHeight="1">
      <c r="A3" s="58" t="s">
        <v>322</v>
      </c>
      <c r="B3" s="58">
        <v>100</v>
      </c>
      <c r="C3" s="58" t="s">
        <v>323</v>
      </c>
      <c r="D3" s="58" t="s">
        <v>324</v>
      </c>
      <c r="E3" s="58">
        <v>18</v>
      </c>
      <c r="F3" s="58" t="s">
        <v>325</v>
      </c>
      <c r="G3" s="58">
        <v>2580</v>
      </c>
      <c r="H3" s="58">
        <v>5020</v>
      </c>
      <c r="I3" s="58">
        <v>15589</v>
      </c>
      <c r="J3" s="58">
        <v>7600</v>
      </c>
      <c r="K3" s="102">
        <v>0.33947368421052632</v>
      </c>
      <c r="L3" s="196">
        <f>(G3+G4)/(H3+H4+G3+G4)</f>
        <v>0.33674775928297057</v>
      </c>
      <c r="M3" s="58">
        <v>7</v>
      </c>
      <c r="N3" s="58" t="s">
        <v>326</v>
      </c>
      <c r="O3" s="58" t="s">
        <v>327</v>
      </c>
      <c r="P3" s="103" t="s">
        <v>328</v>
      </c>
    </row>
    <row r="4" spans="1:16" ht="16.05" customHeight="1">
      <c r="A4" s="58" t="s">
        <v>329</v>
      </c>
      <c r="B4" s="58">
        <v>100</v>
      </c>
      <c r="C4" s="58" t="s">
        <v>323</v>
      </c>
      <c r="D4" s="58" t="s">
        <v>324</v>
      </c>
      <c r="E4" s="58">
        <v>18</v>
      </c>
      <c r="F4" s="58" t="s">
        <v>325</v>
      </c>
      <c r="G4" s="58">
        <v>2680</v>
      </c>
      <c r="H4" s="58">
        <v>5340</v>
      </c>
      <c r="I4" s="58">
        <v>11747</v>
      </c>
      <c r="J4" s="58">
        <v>8020</v>
      </c>
      <c r="K4" s="102">
        <v>0.33416458852867831</v>
      </c>
      <c r="L4" s="196"/>
      <c r="M4" s="58">
        <v>7</v>
      </c>
      <c r="N4" s="58" t="s">
        <v>326</v>
      </c>
      <c r="O4" s="58" t="s">
        <v>327</v>
      </c>
      <c r="P4" s="103" t="s">
        <v>328</v>
      </c>
    </row>
    <row r="5" spans="1:16" ht="16.05" customHeight="1">
      <c r="A5" s="58" t="s">
        <v>330</v>
      </c>
      <c r="B5" s="58">
        <v>10</v>
      </c>
      <c r="C5" s="58" t="s">
        <v>323</v>
      </c>
      <c r="D5" s="58" t="s">
        <v>324</v>
      </c>
      <c r="E5" s="58">
        <v>18</v>
      </c>
      <c r="F5" s="58" t="s">
        <v>325</v>
      </c>
      <c r="G5" s="58">
        <v>270</v>
      </c>
      <c r="H5" s="58">
        <v>5620</v>
      </c>
      <c r="I5" s="58">
        <v>15218</v>
      </c>
      <c r="J5" s="58">
        <v>5890</v>
      </c>
      <c r="K5" s="102">
        <v>4.5840407470288627E-2</v>
      </c>
      <c r="L5" s="196">
        <f t="shared" ref="L5" si="0">(G5+G6)/(H5+H6+G5+G6)</f>
        <v>4.3183742591024553E-2</v>
      </c>
      <c r="M5" s="58">
        <v>7</v>
      </c>
      <c r="N5" s="58" t="s">
        <v>331</v>
      </c>
      <c r="O5" s="58" t="s">
        <v>327</v>
      </c>
      <c r="P5" s="103" t="s">
        <v>328</v>
      </c>
    </row>
    <row r="6" spans="1:16" ht="16.05" customHeight="1">
      <c r="A6" s="58" t="s">
        <v>332</v>
      </c>
      <c r="B6" s="58">
        <v>10</v>
      </c>
      <c r="C6" s="58" t="s">
        <v>323</v>
      </c>
      <c r="D6" s="58" t="s">
        <v>324</v>
      </c>
      <c r="E6" s="58">
        <v>18</v>
      </c>
      <c r="F6" s="58" t="s">
        <v>325</v>
      </c>
      <c r="G6" s="58">
        <v>240</v>
      </c>
      <c r="H6" s="58">
        <v>5680</v>
      </c>
      <c r="I6" s="58">
        <v>11545</v>
      </c>
      <c r="J6" s="58">
        <v>5920</v>
      </c>
      <c r="K6" s="102">
        <v>4.0540540540540543E-2</v>
      </c>
      <c r="L6" s="196"/>
      <c r="M6" s="58">
        <v>7</v>
      </c>
      <c r="N6" s="58" t="s">
        <v>331</v>
      </c>
      <c r="O6" s="58" t="s">
        <v>327</v>
      </c>
      <c r="P6" s="103" t="s">
        <v>328</v>
      </c>
    </row>
    <row r="7" spans="1:16" ht="16.05" customHeight="1">
      <c r="A7" s="58" t="s">
        <v>333</v>
      </c>
      <c r="B7" s="58">
        <v>1</v>
      </c>
      <c r="C7" s="58" t="s">
        <v>323</v>
      </c>
      <c r="D7" s="58" t="s">
        <v>324</v>
      </c>
      <c r="E7" s="58">
        <v>18</v>
      </c>
      <c r="F7" s="58" t="s">
        <v>325</v>
      </c>
      <c r="G7" s="58">
        <v>32</v>
      </c>
      <c r="H7" s="58">
        <v>5880</v>
      </c>
      <c r="I7" s="58">
        <v>13168</v>
      </c>
      <c r="J7" s="58">
        <v>5912</v>
      </c>
      <c r="K7" s="102">
        <v>5.4127198917456026E-3</v>
      </c>
      <c r="L7" s="196">
        <f t="shared" ref="L7" si="1">(G7+G8)/(H7+H8+G7+G8)</f>
        <v>5.599864245715255E-3</v>
      </c>
      <c r="M7" s="58">
        <v>7</v>
      </c>
      <c r="N7" s="58" t="s">
        <v>331</v>
      </c>
      <c r="O7" s="58" t="s">
        <v>327</v>
      </c>
      <c r="P7" s="103" t="s">
        <v>328</v>
      </c>
    </row>
    <row r="8" spans="1:16" ht="16.05" customHeight="1">
      <c r="A8" s="58" t="s">
        <v>334</v>
      </c>
      <c r="B8" s="58">
        <v>1</v>
      </c>
      <c r="C8" s="58" t="s">
        <v>323</v>
      </c>
      <c r="D8" s="58" t="s">
        <v>324</v>
      </c>
      <c r="E8" s="58">
        <v>18</v>
      </c>
      <c r="F8" s="58" t="s">
        <v>325</v>
      </c>
      <c r="G8" s="58">
        <v>34</v>
      </c>
      <c r="H8" s="58">
        <v>5840</v>
      </c>
      <c r="I8" s="58">
        <v>15118</v>
      </c>
      <c r="J8" s="58">
        <v>5874</v>
      </c>
      <c r="K8" s="102">
        <v>5.7882192713653398E-3</v>
      </c>
      <c r="L8" s="196"/>
      <c r="M8" s="58">
        <v>7</v>
      </c>
      <c r="N8" s="58" t="s">
        <v>331</v>
      </c>
      <c r="O8" s="58" t="s">
        <v>327</v>
      </c>
      <c r="P8" s="103" t="s">
        <v>328</v>
      </c>
    </row>
    <row r="9" spans="1:16" ht="16.05" customHeight="1">
      <c r="A9" s="58" t="s">
        <v>335</v>
      </c>
      <c r="B9" s="58">
        <v>0.1</v>
      </c>
      <c r="C9" s="58" t="s">
        <v>323</v>
      </c>
      <c r="D9" s="58" t="s">
        <v>324</v>
      </c>
      <c r="E9" s="58">
        <v>18</v>
      </c>
      <c r="F9" s="58" t="s">
        <v>325</v>
      </c>
      <c r="G9" s="58">
        <v>1.8</v>
      </c>
      <c r="H9" s="58">
        <v>5560</v>
      </c>
      <c r="I9" s="58">
        <v>13337</v>
      </c>
      <c r="J9" s="58">
        <v>5561.8</v>
      </c>
      <c r="K9" s="104">
        <v>3.2357805421730001E-4</v>
      </c>
      <c r="L9" s="196">
        <f t="shared" ref="L9" si="2">(G9+G10)/(H9+H10+G9+G10)</f>
        <v>6.7811128163032237E-4</v>
      </c>
      <c r="M9" s="58">
        <v>7</v>
      </c>
      <c r="N9" s="58" t="s">
        <v>331</v>
      </c>
      <c r="O9" s="58" t="s">
        <v>327</v>
      </c>
      <c r="P9" s="103" t="s">
        <v>328</v>
      </c>
    </row>
    <row r="10" spans="1:16" ht="16.05" customHeight="1">
      <c r="A10" s="58" t="s">
        <v>336</v>
      </c>
      <c r="B10" s="58">
        <v>0.1</v>
      </c>
      <c r="C10" s="58" t="s">
        <v>323</v>
      </c>
      <c r="D10" s="58" t="s">
        <v>324</v>
      </c>
      <c r="E10" s="58">
        <v>18</v>
      </c>
      <c r="F10" s="58" t="s">
        <v>325</v>
      </c>
      <c r="G10" s="58">
        <v>5.8</v>
      </c>
      <c r="H10" s="58">
        <v>5640</v>
      </c>
      <c r="I10" s="58">
        <v>16148</v>
      </c>
      <c r="J10" s="58">
        <v>5645.8</v>
      </c>
      <c r="K10" s="104">
        <v>1.0273123383754299E-3</v>
      </c>
      <c r="L10" s="196"/>
      <c r="M10" s="58">
        <v>7</v>
      </c>
      <c r="N10" s="58" t="s">
        <v>331</v>
      </c>
      <c r="O10" s="58" t="s">
        <v>327</v>
      </c>
      <c r="P10" s="103" t="s">
        <v>328</v>
      </c>
    </row>
    <row r="11" spans="1:16" ht="16.05" customHeight="1">
      <c r="A11" s="58" t="s">
        <v>337</v>
      </c>
      <c r="B11" s="58">
        <v>0.05</v>
      </c>
      <c r="C11" s="58" t="s">
        <v>323</v>
      </c>
      <c r="D11" s="58" t="s">
        <v>324</v>
      </c>
      <c r="E11" s="58">
        <v>18</v>
      </c>
      <c r="F11" s="58" t="s">
        <v>325</v>
      </c>
      <c r="G11" s="58">
        <v>0</v>
      </c>
      <c r="H11" s="58">
        <v>5660</v>
      </c>
      <c r="I11" s="58">
        <v>12740</v>
      </c>
      <c r="J11" s="58">
        <v>5660</v>
      </c>
      <c r="K11" s="105">
        <v>0</v>
      </c>
      <c r="L11" s="196">
        <f t="shared" ref="L11" si="3">(G11+G12)/(H11+H12+G11+G12)</f>
        <v>0</v>
      </c>
      <c r="M11" s="58">
        <v>7</v>
      </c>
      <c r="N11" s="58" t="s">
        <v>331</v>
      </c>
      <c r="O11" s="58" t="s">
        <v>327</v>
      </c>
      <c r="P11" s="103" t="s">
        <v>328</v>
      </c>
    </row>
    <row r="12" spans="1:16" ht="16.05" customHeight="1">
      <c r="A12" s="58" t="s">
        <v>338</v>
      </c>
      <c r="B12" s="58">
        <v>0.05</v>
      </c>
      <c r="C12" s="58" t="s">
        <v>323</v>
      </c>
      <c r="D12" s="58" t="s">
        <v>324</v>
      </c>
      <c r="E12" s="58">
        <v>18</v>
      </c>
      <c r="F12" s="58" t="s">
        <v>325</v>
      </c>
      <c r="G12" s="58">
        <v>0</v>
      </c>
      <c r="H12" s="58">
        <v>5600</v>
      </c>
      <c r="I12" s="58">
        <v>13686</v>
      </c>
      <c r="J12" s="58">
        <v>5600</v>
      </c>
      <c r="K12" s="105">
        <v>0</v>
      </c>
      <c r="L12" s="196"/>
      <c r="M12" s="58">
        <v>7</v>
      </c>
      <c r="N12" s="58" t="s">
        <v>331</v>
      </c>
      <c r="O12" s="58" t="s">
        <v>327</v>
      </c>
      <c r="P12" s="103" t="s">
        <v>328</v>
      </c>
    </row>
    <row r="13" spans="1:16" ht="16.05" customHeight="1">
      <c r="A13" s="58" t="s">
        <v>339</v>
      </c>
      <c r="B13" s="58">
        <v>0.01</v>
      </c>
      <c r="C13" s="58" t="s">
        <v>323</v>
      </c>
      <c r="D13" s="58" t="s">
        <v>324</v>
      </c>
      <c r="E13" s="58">
        <v>18</v>
      </c>
      <c r="F13" s="58" t="s">
        <v>325</v>
      </c>
      <c r="G13" s="58">
        <v>0</v>
      </c>
      <c r="H13" s="58">
        <v>5640</v>
      </c>
      <c r="I13" s="58">
        <v>14368</v>
      </c>
      <c r="J13" s="58">
        <v>5640</v>
      </c>
      <c r="K13" s="105">
        <v>0</v>
      </c>
      <c r="L13" s="196">
        <f t="shared" ref="L13" si="4">(G13+G14)/(H13+H14+G13+G14)</f>
        <v>0</v>
      </c>
      <c r="M13" s="58">
        <v>7</v>
      </c>
      <c r="N13" s="58" t="s">
        <v>331</v>
      </c>
      <c r="O13" s="58" t="s">
        <v>327</v>
      </c>
      <c r="P13" s="103" t="s">
        <v>328</v>
      </c>
    </row>
    <row r="14" spans="1:16" ht="16.05" customHeight="1">
      <c r="A14" s="58" t="s">
        <v>340</v>
      </c>
      <c r="B14" s="58">
        <v>0.01</v>
      </c>
      <c r="C14" s="58" t="s">
        <v>323</v>
      </c>
      <c r="D14" s="58" t="s">
        <v>324</v>
      </c>
      <c r="E14" s="58">
        <v>18</v>
      </c>
      <c r="F14" s="58" t="s">
        <v>325</v>
      </c>
      <c r="G14" s="58">
        <v>0</v>
      </c>
      <c r="H14" s="58">
        <v>5460</v>
      </c>
      <c r="I14" s="58">
        <v>14897</v>
      </c>
      <c r="J14" s="58">
        <v>5460</v>
      </c>
      <c r="K14" s="105">
        <v>0</v>
      </c>
      <c r="L14" s="196"/>
      <c r="M14" s="58">
        <v>7</v>
      </c>
      <c r="N14" s="58" t="s">
        <v>331</v>
      </c>
      <c r="O14" s="58" t="s">
        <v>327</v>
      </c>
      <c r="P14" s="103" t="s">
        <v>328</v>
      </c>
    </row>
    <row r="15" spans="1:16" ht="16.05" customHeight="1">
      <c r="A15" s="58" t="s">
        <v>341</v>
      </c>
      <c r="B15" s="58">
        <v>0</v>
      </c>
      <c r="C15" s="58" t="s">
        <v>323</v>
      </c>
      <c r="D15" s="58" t="s">
        <v>324</v>
      </c>
      <c r="E15" s="58">
        <v>18</v>
      </c>
      <c r="F15" s="58" t="s">
        <v>325</v>
      </c>
      <c r="G15" s="58">
        <v>0</v>
      </c>
      <c r="H15" s="58">
        <v>5840</v>
      </c>
      <c r="I15" s="58">
        <v>12826</v>
      </c>
      <c r="J15" s="58">
        <v>5840</v>
      </c>
      <c r="K15" s="105">
        <v>0</v>
      </c>
      <c r="L15" s="196">
        <f t="shared" ref="L15" si="5">(G15+G16)/(H15+H16+G15+G16)</f>
        <v>0</v>
      </c>
      <c r="M15" s="58">
        <v>7</v>
      </c>
      <c r="N15" s="58" t="s">
        <v>331</v>
      </c>
      <c r="O15" s="58" t="s">
        <v>327</v>
      </c>
      <c r="P15" s="103" t="s">
        <v>328</v>
      </c>
    </row>
    <row r="16" spans="1:16" ht="16.05" customHeight="1">
      <c r="A16" s="58" t="s">
        <v>342</v>
      </c>
      <c r="B16" s="58">
        <v>0</v>
      </c>
      <c r="C16" s="58" t="s">
        <v>323</v>
      </c>
      <c r="D16" s="58" t="s">
        <v>324</v>
      </c>
      <c r="E16" s="58">
        <v>18</v>
      </c>
      <c r="F16" s="58" t="s">
        <v>325</v>
      </c>
      <c r="G16" s="58">
        <v>0</v>
      </c>
      <c r="H16" s="58">
        <v>6000</v>
      </c>
      <c r="I16" s="58">
        <v>14453</v>
      </c>
      <c r="J16" s="58">
        <v>6000</v>
      </c>
      <c r="K16" s="105">
        <v>0</v>
      </c>
      <c r="L16" s="196"/>
      <c r="M16" s="58">
        <v>7</v>
      </c>
      <c r="N16" s="58" t="s">
        <v>331</v>
      </c>
      <c r="O16" s="58" t="s">
        <v>327</v>
      </c>
      <c r="P16" s="103" t="s">
        <v>328</v>
      </c>
    </row>
    <row r="17" spans="1:16" ht="16.05" customHeight="1">
      <c r="A17" s="58" t="s">
        <v>343</v>
      </c>
      <c r="B17" s="58">
        <v>100</v>
      </c>
      <c r="C17" s="58" t="s">
        <v>344</v>
      </c>
      <c r="D17" s="58" t="s">
        <v>345</v>
      </c>
      <c r="E17" s="58" t="s">
        <v>346</v>
      </c>
      <c r="F17" s="58" t="s">
        <v>347</v>
      </c>
      <c r="G17" s="58">
        <v>1014</v>
      </c>
      <c r="H17" s="58">
        <v>1960</v>
      </c>
      <c r="I17" s="58">
        <v>11359</v>
      </c>
      <c r="J17" s="58">
        <v>2974</v>
      </c>
      <c r="K17" s="102">
        <v>0.34095494283792871</v>
      </c>
      <c r="L17" s="196">
        <f t="shared" ref="L17" si="6">(G17+G18)/(H17+H18+G17+G18)</f>
        <v>0.343989343989344</v>
      </c>
      <c r="M17" s="58">
        <v>2</v>
      </c>
      <c r="N17" s="58" t="s">
        <v>348</v>
      </c>
      <c r="O17" s="58" t="s">
        <v>349</v>
      </c>
      <c r="P17" s="103" t="s">
        <v>349</v>
      </c>
    </row>
    <row r="18" spans="1:16" ht="16.05" customHeight="1">
      <c r="A18" s="58" t="s">
        <v>350</v>
      </c>
      <c r="B18" s="58">
        <v>100</v>
      </c>
      <c r="C18" s="58" t="s">
        <v>344</v>
      </c>
      <c r="D18" s="58" t="s">
        <v>345</v>
      </c>
      <c r="E18" s="58" t="s">
        <v>346</v>
      </c>
      <c r="F18" s="58" t="s">
        <v>347</v>
      </c>
      <c r="G18" s="58">
        <v>1052</v>
      </c>
      <c r="H18" s="58">
        <v>1980</v>
      </c>
      <c r="I18" s="58">
        <v>10961</v>
      </c>
      <c r="J18" s="58">
        <v>3032</v>
      </c>
      <c r="K18" s="102">
        <v>0.34696569920844328</v>
      </c>
      <c r="L18" s="196"/>
      <c r="M18" s="58">
        <v>2</v>
      </c>
      <c r="N18" s="58" t="s">
        <v>348</v>
      </c>
      <c r="O18" s="58" t="s">
        <v>349</v>
      </c>
      <c r="P18" s="103" t="s">
        <v>349</v>
      </c>
    </row>
    <row r="19" spans="1:16" ht="16.05" customHeight="1">
      <c r="A19" s="58" t="s">
        <v>351</v>
      </c>
      <c r="B19" s="58">
        <v>10</v>
      </c>
      <c r="C19" s="58" t="s">
        <v>344</v>
      </c>
      <c r="D19" s="58" t="s">
        <v>345</v>
      </c>
      <c r="E19" s="58" t="s">
        <v>346</v>
      </c>
      <c r="F19" s="58" t="s">
        <v>347</v>
      </c>
      <c r="G19" s="58">
        <v>104</v>
      </c>
      <c r="H19" s="58">
        <v>5900</v>
      </c>
      <c r="I19" s="58">
        <v>14388</v>
      </c>
      <c r="J19" s="58">
        <v>6004</v>
      </c>
      <c r="K19" s="102">
        <v>1.7321785476349102E-2</v>
      </c>
      <c r="L19" s="196">
        <f t="shared" ref="L19" si="7">(G19+G20)/(H19+H20+G19+G20)</f>
        <v>1.704451431408241E-2</v>
      </c>
      <c r="M19" s="58">
        <v>2</v>
      </c>
      <c r="N19" s="58" t="s">
        <v>352</v>
      </c>
      <c r="O19" s="58" t="s">
        <v>349</v>
      </c>
      <c r="P19" s="103" t="s">
        <v>349</v>
      </c>
    </row>
    <row r="20" spans="1:16" ht="16.05" customHeight="1">
      <c r="A20" s="58" t="s">
        <v>353</v>
      </c>
      <c r="B20" s="58">
        <v>10</v>
      </c>
      <c r="C20" s="58" t="s">
        <v>344</v>
      </c>
      <c r="D20" s="58" t="s">
        <v>345</v>
      </c>
      <c r="E20" s="58" t="s">
        <v>346</v>
      </c>
      <c r="F20" s="58" t="s">
        <v>347</v>
      </c>
      <c r="G20" s="58">
        <v>102</v>
      </c>
      <c r="H20" s="58">
        <v>5980</v>
      </c>
      <c r="I20" s="58">
        <v>12177</v>
      </c>
      <c r="J20" s="58">
        <v>6082</v>
      </c>
      <c r="K20" s="102">
        <v>1.6770799079250248E-2</v>
      </c>
      <c r="L20" s="196"/>
      <c r="M20" s="58">
        <v>2</v>
      </c>
      <c r="N20" s="58" t="s">
        <v>352</v>
      </c>
      <c r="O20" s="58" t="s">
        <v>349</v>
      </c>
      <c r="P20" s="103" t="s">
        <v>349</v>
      </c>
    </row>
    <row r="21" spans="1:16" ht="16.05" customHeight="1">
      <c r="A21" s="58" t="s">
        <v>354</v>
      </c>
      <c r="B21" s="58">
        <v>1</v>
      </c>
      <c r="C21" s="58" t="s">
        <v>344</v>
      </c>
      <c r="D21" s="58" t="s">
        <v>345</v>
      </c>
      <c r="E21" s="58" t="s">
        <v>346</v>
      </c>
      <c r="F21" s="58" t="s">
        <v>347</v>
      </c>
      <c r="G21" s="58">
        <v>14</v>
      </c>
      <c r="H21" s="58">
        <v>6280</v>
      </c>
      <c r="I21" s="58">
        <v>10916</v>
      </c>
      <c r="J21" s="58">
        <v>6294</v>
      </c>
      <c r="K21" s="102">
        <v>2.2243406418811567E-3</v>
      </c>
      <c r="L21" s="196">
        <f t="shared" ref="L21" si="8">(G21+G22)/(H21+H22+G21+G22)</f>
        <v>1.7524095631493302E-3</v>
      </c>
      <c r="M21" s="58">
        <v>2</v>
      </c>
      <c r="N21" s="58" t="s">
        <v>352</v>
      </c>
      <c r="O21" s="58" t="s">
        <v>349</v>
      </c>
      <c r="P21" s="103" t="s">
        <v>349</v>
      </c>
    </row>
    <row r="22" spans="1:16" ht="16.05" customHeight="1">
      <c r="A22" s="58" t="s">
        <v>355</v>
      </c>
      <c r="B22" s="58">
        <v>1</v>
      </c>
      <c r="C22" s="58" t="s">
        <v>344</v>
      </c>
      <c r="D22" s="58" t="s">
        <v>345</v>
      </c>
      <c r="E22" s="58" t="s">
        <v>346</v>
      </c>
      <c r="F22" s="58" t="s">
        <v>347</v>
      </c>
      <c r="G22" s="58">
        <v>8.4</v>
      </c>
      <c r="H22" s="58">
        <v>6480</v>
      </c>
      <c r="I22" s="58">
        <v>14047</v>
      </c>
      <c r="J22" s="58">
        <v>6488.4</v>
      </c>
      <c r="K22" s="102">
        <v>1.2946180876641392E-3</v>
      </c>
      <c r="L22" s="196"/>
      <c r="M22" s="58">
        <v>2</v>
      </c>
      <c r="N22" s="58" t="s">
        <v>352</v>
      </c>
      <c r="O22" s="58" t="s">
        <v>349</v>
      </c>
      <c r="P22" s="103" t="s">
        <v>349</v>
      </c>
    </row>
    <row r="23" spans="1:16" ht="16.05" customHeight="1">
      <c r="A23" s="58" t="s">
        <v>356</v>
      </c>
      <c r="B23" s="58">
        <v>0.1</v>
      </c>
      <c r="C23" s="58" t="s">
        <v>344</v>
      </c>
      <c r="D23" s="58" t="s">
        <v>345</v>
      </c>
      <c r="E23" s="58" t="s">
        <v>346</v>
      </c>
      <c r="F23" s="58" t="s">
        <v>347</v>
      </c>
      <c r="G23" s="58">
        <v>2</v>
      </c>
      <c r="H23" s="58">
        <v>6420</v>
      </c>
      <c r="I23" s="58">
        <v>12311</v>
      </c>
      <c r="J23" s="58">
        <v>6422</v>
      </c>
      <c r="K23" s="104">
        <v>3.114294612270321E-4</v>
      </c>
      <c r="L23" s="196">
        <f t="shared" ref="L23" si="9">(G23+G24)/(H23+H24+G23+G24)</f>
        <v>2.991230970260867E-4</v>
      </c>
      <c r="M23" s="58">
        <v>2</v>
      </c>
      <c r="N23" s="58" t="s">
        <v>352</v>
      </c>
      <c r="O23" s="58" t="s">
        <v>349</v>
      </c>
      <c r="P23" s="103" t="s">
        <v>349</v>
      </c>
    </row>
    <row r="24" spans="1:16" ht="16.05" customHeight="1">
      <c r="A24" s="58" t="s">
        <v>357</v>
      </c>
      <c r="B24" s="58">
        <v>0.1</v>
      </c>
      <c r="C24" s="58" t="s">
        <v>344</v>
      </c>
      <c r="D24" s="58" t="s">
        <v>345</v>
      </c>
      <c r="E24" s="58" t="s">
        <v>346</v>
      </c>
      <c r="F24" s="58" t="s">
        <v>347</v>
      </c>
      <c r="G24" s="58">
        <v>1.8</v>
      </c>
      <c r="H24" s="58">
        <v>6280</v>
      </c>
      <c r="I24" s="58">
        <v>13119</v>
      </c>
      <c r="J24" s="58">
        <v>6281.8</v>
      </c>
      <c r="K24" s="104">
        <v>2.8654207392785508E-4</v>
      </c>
      <c r="L24" s="196"/>
      <c r="M24" s="58">
        <v>2</v>
      </c>
      <c r="N24" s="58" t="s">
        <v>352</v>
      </c>
      <c r="O24" s="58" t="s">
        <v>349</v>
      </c>
      <c r="P24" s="103" t="s">
        <v>349</v>
      </c>
    </row>
    <row r="25" spans="1:16" ht="16.05" customHeight="1">
      <c r="A25" s="58" t="s">
        <v>358</v>
      </c>
      <c r="B25" s="58">
        <v>0.05</v>
      </c>
      <c r="C25" s="58" t="s">
        <v>344</v>
      </c>
      <c r="D25" s="58" t="s">
        <v>345</v>
      </c>
      <c r="E25" s="58" t="s">
        <v>346</v>
      </c>
      <c r="F25" s="58" t="s">
        <v>347</v>
      </c>
      <c r="G25" s="58">
        <v>0</v>
      </c>
      <c r="H25" s="58">
        <v>6500</v>
      </c>
      <c r="I25" s="58">
        <v>10191</v>
      </c>
      <c r="J25" s="58">
        <v>6500</v>
      </c>
      <c r="K25" s="105">
        <v>0</v>
      </c>
      <c r="L25" s="196">
        <f t="shared" ref="L25" si="10">(G25+G26)/(H25+H26+G25+G26)</f>
        <v>0</v>
      </c>
      <c r="M25" s="58">
        <v>2</v>
      </c>
      <c r="N25" s="58" t="s">
        <v>352</v>
      </c>
      <c r="O25" s="58" t="s">
        <v>349</v>
      </c>
      <c r="P25" s="103" t="s">
        <v>349</v>
      </c>
    </row>
    <row r="26" spans="1:16" ht="16.05" customHeight="1">
      <c r="A26" s="58" t="s">
        <v>359</v>
      </c>
      <c r="B26" s="58">
        <v>0.05</v>
      </c>
      <c r="C26" s="58" t="s">
        <v>344</v>
      </c>
      <c r="D26" s="58" t="s">
        <v>345</v>
      </c>
      <c r="E26" s="58" t="s">
        <v>346</v>
      </c>
      <c r="F26" s="58" t="s">
        <v>347</v>
      </c>
      <c r="G26" s="58">
        <v>0</v>
      </c>
      <c r="H26" s="58">
        <v>6300</v>
      </c>
      <c r="I26" s="58">
        <v>14368</v>
      </c>
      <c r="J26" s="58">
        <v>6300</v>
      </c>
      <c r="K26" s="105">
        <v>0</v>
      </c>
      <c r="L26" s="196"/>
      <c r="M26" s="58">
        <v>2</v>
      </c>
      <c r="N26" s="58" t="s">
        <v>352</v>
      </c>
      <c r="O26" s="58" t="s">
        <v>349</v>
      </c>
      <c r="P26" s="103" t="s">
        <v>349</v>
      </c>
    </row>
    <row r="27" spans="1:16" ht="16.05" customHeight="1">
      <c r="A27" s="58" t="s">
        <v>360</v>
      </c>
      <c r="B27" s="58">
        <v>0.01</v>
      </c>
      <c r="C27" s="58" t="s">
        <v>344</v>
      </c>
      <c r="D27" s="58" t="s">
        <v>345</v>
      </c>
      <c r="E27" s="58" t="s">
        <v>346</v>
      </c>
      <c r="F27" s="58" t="s">
        <v>347</v>
      </c>
      <c r="G27" s="58">
        <v>0</v>
      </c>
      <c r="H27" s="58">
        <v>6380</v>
      </c>
      <c r="I27" s="58">
        <v>10948</v>
      </c>
      <c r="J27" s="58">
        <v>6380</v>
      </c>
      <c r="K27" s="105">
        <v>0</v>
      </c>
      <c r="L27" s="196">
        <f t="shared" ref="L27" si="11">(G27+G28)/(H27+H28+G27+G28)</f>
        <v>0</v>
      </c>
      <c r="M27" s="58">
        <v>2</v>
      </c>
      <c r="N27" s="58" t="s">
        <v>352</v>
      </c>
      <c r="O27" s="58" t="s">
        <v>349</v>
      </c>
      <c r="P27" s="103" t="s">
        <v>349</v>
      </c>
    </row>
    <row r="28" spans="1:16" ht="16.05" customHeight="1">
      <c r="A28" s="58" t="s">
        <v>361</v>
      </c>
      <c r="B28" s="58">
        <v>0.01</v>
      </c>
      <c r="C28" s="58" t="s">
        <v>344</v>
      </c>
      <c r="D28" s="58" t="s">
        <v>345</v>
      </c>
      <c r="E28" s="58" t="s">
        <v>346</v>
      </c>
      <c r="F28" s="58" t="s">
        <v>347</v>
      </c>
      <c r="G28" s="58">
        <v>0</v>
      </c>
      <c r="H28" s="58">
        <v>6100</v>
      </c>
      <c r="I28" s="58">
        <v>13317</v>
      </c>
      <c r="J28" s="58">
        <v>6100</v>
      </c>
      <c r="K28" s="105">
        <v>0</v>
      </c>
      <c r="L28" s="196"/>
      <c r="M28" s="58">
        <v>2</v>
      </c>
      <c r="N28" s="58" t="s">
        <v>352</v>
      </c>
      <c r="O28" s="58" t="s">
        <v>349</v>
      </c>
      <c r="P28" s="103" t="s">
        <v>349</v>
      </c>
    </row>
    <row r="29" spans="1:16" ht="16.05" customHeight="1">
      <c r="A29" s="58" t="s">
        <v>341</v>
      </c>
      <c r="B29" s="58">
        <v>0</v>
      </c>
      <c r="C29" s="58" t="s">
        <v>344</v>
      </c>
      <c r="D29" s="58" t="s">
        <v>345</v>
      </c>
      <c r="E29" s="58" t="s">
        <v>346</v>
      </c>
      <c r="F29" s="58" t="s">
        <v>347</v>
      </c>
      <c r="G29" s="58">
        <v>0</v>
      </c>
      <c r="H29" s="58">
        <v>6600</v>
      </c>
      <c r="I29" s="58">
        <v>14584</v>
      </c>
      <c r="J29" s="58">
        <v>6600</v>
      </c>
      <c r="K29" s="105">
        <v>0</v>
      </c>
      <c r="L29" s="196">
        <f t="shared" ref="L29" si="12">(G29+G30)/(H29+H30+G29+G30)</f>
        <v>0</v>
      </c>
      <c r="M29" s="58">
        <v>2</v>
      </c>
      <c r="N29" s="58" t="s">
        <v>352</v>
      </c>
      <c r="O29" s="58" t="s">
        <v>349</v>
      </c>
      <c r="P29" s="103" t="s">
        <v>349</v>
      </c>
    </row>
    <row r="30" spans="1:16" ht="16.05" customHeight="1">
      <c r="A30" s="106" t="s">
        <v>342</v>
      </c>
      <c r="B30" s="106">
        <v>0</v>
      </c>
      <c r="C30" s="106" t="s">
        <v>344</v>
      </c>
      <c r="D30" s="106" t="s">
        <v>345</v>
      </c>
      <c r="E30" s="106" t="s">
        <v>346</v>
      </c>
      <c r="F30" s="106" t="s">
        <v>347</v>
      </c>
      <c r="G30" s="106">
        <v>0</v>
      </c>
      <c r="H30" s="106">
        <v>6520</v>
      </c>
      <c r="I30" s="106">
        <v>14280</v>
      </c>
      <c r="J30" s="106">
        <v>6520</v>
      </c>
      <c r="K30" s="107">
        <v>0</v>
      </c>
      <c r="L30" s="197"/>
      <c r="M30" s="106">
        <v>2</v>
      </c>
      <c r="N30" s="106" t="s">
        <v>352</v>
      </c>
      <c r="O30" s="106" t="s">
        <v>349</v>
      </c>
      <c r="P30" s="108" t="s">
        <v>349</v>
      </c>
    </row>
    <row r="31" spans="1:16" ht="16.05" customHeight="1">
      <c r="A31" s="45"/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</row>
    <row r="32" spans="1:16" ht="16.05" customHeight="1">
      <c r="A32" s="100" t="s">
        <v>2029</v>
      </c>
      <c r="B32" s="100"/>
    </row>
    <row r="33" spans="1:16" ht="16.05" customHeight="1">
      <c r="A33" s="91" t="s">
        <v>306</v>
      </c>
      <c r="B33" s="91" t="s">
        <v>307</v>
      </c>
      <c r="C33" s="91" t="s">
        <v>308</v>
      </c>
      <c r="D33" s="91" t="s">
        <v>309</v>
      </c>
      <c r="E33" s="91" t="s">
        <v>311</v>
      </c>
      <c r="F33" s="91" t="s">
        <v>316</v>
      </c>
      <c r="G33" s="91" t="s">
        <v>318</v>
      </c>
      <c r="H33" s="91" t="s">
        <v>319</v>
      </c>
      <c r="I33" s="91" t="s">
        <v>362</v>
      </c>
      <c r="J33" s="91" t="s">
        <v>363</v>
      </c>
      <c r="K33" s="91" t="s">
        <v>364</v>
      </c>
      <c r="L33" s="91" t="s">
        <v>320</v>
      </c>
      <c r="M33" s="101" t="s">
        <v>321</v>
      </c>
    </row>
    <row r="34" spans="1:16" ht="16.05" customHeight="1">
      <c r="A34" s="58" t="s">
        <v>322</v>
      </c>
      <c r="B34" s="58">
        <v>100</v>
      </c>
      <c r="C34" s="58" t="s">
        <v>323</v>
      </c>
      <c r="D34" s="58" t="s">
        <v>324</v>
      </c>
      <c r="E34" s="58" t="s">
        <v>325</v>
      </c>
      <c r="F34" s="102">
        <v>0.33050000000000002</v>
      </c>
      <c r="G34" s="58">
        <v>7</v>
      </c>
      <c r="H34" s="58">
        <v>55241707</v>
      </c>
      <c r="I34" s="58" t="s">
        <v>365</v>
      </c>
      <c r="J34" s="58" t="s">
        <v>366</v>
      </c>
      <c r="K34" s="58" t="s">
        <v>367</v>
      </c>
      <c r="L34" s="58" t="s">
        <v>327</v>
      </c>
      <c r="M34" s="103" t="s">
        <v>328</v>
      </c>
    </row>
    <row r="35" spans="1:16" ht="16.05" customHeight="1">
      <c r="A35" s="58" t="s">
        <v>329</v>
      </c>
      <c r="B35" s="58">
        <v>100</v>
      </c>
      <c r="C35" s="58" t="s">
        <v>323</v>
      </c>
      <c r="D35" s="58" t="s">
        <v>324</v>
      </c>
      <c r="E35" s="58" t="s">
        <v>325</v>
      </c>
      <c r="F35" s="102">
        <v>0.35289999999999999</v>
      </c>
      <c r="G35" s="58">
        <v>7</v>
      </c>
      <c r="H35" s="58">
        <v>55241707</v>
      </c>
      <c r="I35" s="58" t="s">
        <v>365</v>
      </c>
      <c r="J35" s="58" t="s">
        <v>366</v>
      </c>
      <c r="K35" s="58" t="s">
        <v>367</v>
      </c>
      <c r="L35" s="58" t="s">
        <v>327</v>
      </c>
      <c r="M35" s="103" t="s">
        <v>328</v>
      </c>
    </row>
    <row r="36" spans="1:16" ht="16.05" customHeight="1">
      <c r="A36" s="58" t="s">
        <v>330</v>
      </c>
      <c r="B36" s="58">
        <v>10</v>
      </c>
      <c r="C36" s="58" t="s">
        <v>323</v>
      </c>
      <c r="D36" s="58" t="s">
        <v>324</v>
      </c>
      <c r="E36" s="58" t="s">
        <v>325</v>
      </c>
      <c r="F36" s="102">
        <v>4.2299999999999997E-2</v>
      </c>
      <c r="G36" s="58">
        <v>7</v>
      </c>
      <c r="H36" s="58">
        <v>55241707</v>
      </c>
      <c r="I36" s="58" t="s">
        <v>365</v>
      </c>
      <c r="J36" s="58" t="s">
        <v>366</v>
      </c>
      <c r="K36" s="58" t="s">
        <v>367</v>
      </c>
      <c r="L36" s="58" t="s">
        <v>327</v>
      </c>
      <c r="M36" s="103" t="s">
        <v>328</v>
      </c>
    </row>
    <row r="37" spans="1:16" ht="16.05" customHeight="1">
      <c r="A37" s="58" t="s">
        <v>332</v>
      </c>
      <c r="B37" s="58">
        <v>10</v>
      </c>
      <c r="C37" s="58" t="s">
        <v>323</v>
      </c>
      <c r="D37" s="58" t="s">
        <v>324</v>
      </c>
      <c r="E37" s="58" t="s">
        <v>325</v>
      </c>
      <c r="F37" s="102">
        <v>4.4299999999999999E-2</v>
      </c>
      <c r="G37" s="58">
        <v>7</v>
      </c>
      <c r="H37" s="58">
        <v>55241707</v>
      </c>
      <c r="I37" s="58" t="s">
        <v>365</v>
      </c>
      <c r="J37" s="58" t="s">
        <v>366</v>
      </c>
      <c r="K37" s="58" t="s">
        <v>367</v>
      </c>
      <c r="L37" s="58" t="s">
        <v>327</v>
      </c>
      <c r="M37" s="103" t="s">
        <v>328</v>
      </c>
    </row>
    <row r="38" spans="1:16" ht="16.05" customHeight="1">
      <c r="A38" s="58" t="s">
        <v>333</v>
      </c>
      <c r="B38" s="58">
        <v>1</v>
      </c>
      <c r="C38" s="58" t="s">
        <v>323</v>
      </c>
      <c r="D38" s="58" t="s">
        <v>324</v>
      </c>
      <c r="E38" s="58" t="s">
        <v>325</v>
      </c>
      <c r="F38" s="102">
        <v>4.3E-3</v>
      </c>
      <c r="G38" s="58">
        <v>7</v>
      </c>
      <c r="H38" s="58">
        <v>55241707</v>
      </c>
      <c r="I38" s="58" t="s">
        <v>365</v>
      </c>
      <c r="J38" s="58" t="s">
        <v>366</v>
      </c>
      <c r="K38" s="58" t="s">
        <v>367</v>
      </c>
      <c r="L38" s="58" t="s">
        <v>327</v>
      </c>
      <c r="M38" s="103" t="s">
        <v>328</v>
      </c>
    </row>
    <row r="39" spans="1:16" ht="16.05" customHeight="1">
      <c r="A39" s="58" t="s">
        <v>334</v>
      </c>
      <c r="B39" s="58">
        <v>1</v>
      </c>
      <c r="C39" s="58" t="s">
        <v>323</v>
      </c>
      <c r="D39" s="58" t="s">
        <v>324</v>
      </c>
      <c r="E39" s="58" t="s">
        <v>325</v>
      </c>
      <c r="F39" s="102">
        <v>7.1000000000000004E-3</v>
      </c>
      <c r="G39" s="58">
        <v>7</v>
      </c>
      <c r="H39" s="58">
        <v>55241707</v>
      </c>
      <c r="I39" s="58" t="s">
        <v>365</v>
      </c>
      <c r="J39" s="58" t="s">
        <v>366</v>
      </c>
      <c r="K39" s="58" t="s">
        <v>367</v>
      </c>
      <c r="L39" s="58" t="s">
        <v>327</v>
      </c>
      <c r="M39" s="103" t="s">
        <v>328</v>
      </c>
    </row>
    <row r="40" spans="1:16" s="110" customFormat="1" ht="16.05" customHeight="1">
      <c r="A40" s="58" t="s">
        <v>335</v>
      </c>
      <c r="B40" s="58">
        <v>0.1</v>
      </c>
      <c r="C40" s="58" t="s">
        <v>323</v>
      </c>
      <c r="D40" s="58" t="s">
        <v>324</v>
      </c>
      <c r="E40" s="58" t="s">
        <v>325</v>
      </c>
      <c r="F40" s="104">
        <v>6.9999999999999999E-4</v>
      </c>
      <c r="G40" s="58">
        <v>7</v>
      </c>
      <c r="H40" s="58">
        <v>55241707</v>
      </c>
      <c r="I40" s="58" t="s">
        <v>365</v>
      </c>
      <c r="J40" s="58" t="s">
        <v>366</v>
      </c>
      <c r="K40" s="58" t="s">
        <v>367</v>
      </c>
      <c r="L40" s="58" t="s">
        <v>327</v>
      </c>
      <c r="M40" s="103" t="s">
        <v>328</v>
      </c>
      <c r="N40" s="109"/>
      <c r="O40" s="109"/>
      <c r="P40" s="109"/>
    </row>
    <row r="41" spans="1:16" s="110" customFormat="1" ht="16.05" customHeight="1">
      <c r="A41" s="58" t="s">
        <v>336</v>
      </c>
      <c r="B41" s="111">
        <v>0.1</v>
      </c>
      <c r="C41" s="58" t="s">
        <v>323</v>
      </c>
      <c r="D41" s="58" t="s">
        <v>324</v>
      </c>
      <c r="E41" s="58" t="s">
        <v>325</v>
      </c>
      <c r="F41" s="104">
        <v>1.1000000000000001E-3</v>
      </c>
      <c r="G41" s="58">
        <v>7</v>
      </c>
      <c r="H41" s="58">
        <v>55241707</v>
      </c>
      <c r="I41" s="58" t="s">
        <v>365</v>
      </c>
      <c r="J41" s="58" t="s">
        <v>366</v>
      </c>
      <c r="K41" s="58" t="s">
        <v>367</v>
      </c>
      <c r="L41" s="58" t="s">
        <v>327</v>
      </c>
      <c r="M41" s="103" t="s">
        <v>328</v>
      </c>
      <c r="N41" s="109"/>
      <c r="O41" s="109"/>
      <c r="P41" s="109"/>
    </row>
    <row r="42" spans="1:16" ht="16.05" customHeight="1">
      <c r="A42" s="58" t="s">
        <v>337</v>
      </c>
      <c r="B42" s="58">
        <v>0.05</v>
      </c>
      <c r="C42" s="58" t="s">
        <v>323</v>
      </c>
      <c r="D42" s="58" t="s">
        <v>324</v>
      </c>
      <c r="E42" s="58" t="s">
        <v>325</v>
      </c>
      <c r="F42" s="58" t="s">
        <v>368</v>
      </c>
      <c r="G42" s="58" t="s">
        <v>368</v>
      </c>
      <c r="H42" s="58" t="s">
        <v>368</v>
      </c>
      <c r="I42" s="58" t="s">
        <v>368</v>
      </c>
      <c r="J42" s="58" t="s">
        <v>368</v>
      </c>
      <c r="K42" s="58" t="s">
        <v>368</v>
      </c>
      <c r="L42" s="58" t="s">
        <v>368</v>
      </c>
      <c r="M42" s="103" t="s">
        <v>368</v>
      </c>
    </row>
    <row r="43" spans="1:16" ht="16.05" customHeight="1">
      <c r="A43" s="58" t="s">
        <v>338</v>
      </c>
      <c r="B43" s="58">
        <v>0.05</v>
      </c>
      <c r="C43" s="58" t="s">
        <v>323</v>
      </c>
      <c r="D43" s="58" t="s">
        <v>324</v>
      </c>
      <c r="E43" s="58" t="s">
        <v>325</v>
      </c>
      <c r="F43" s="58" t="s">
        <v>368</v>
      </c>
      <c r="G43" s="58" t="s">
        <v>368</v>
      </c>
      <c r="H43" s="58" t="s">
        <v>368</v>
      </c>
      <c r="I43" s="58" t="s">
        <v>368</v>
      </c>
      <c r="J43" s="58" t="s">
        <v>368</v>
      </c>
      <c r="K43" s="58" t="s">
        <v>368</v>
      </c>
      <c r="L43" s="58" t="s">
        <v>368</v>
      </c>
      <c r="M43" s="103" t="s">
        <v>368</v>
      </c>
    </row>
    <row r="44" spans="1:16" ht="16.05" customHeight="1">
      <c r="A44" s="58" t="s">
        <v>339</v>
      </c>
      <c r="B44" s="58">
        <v>0.01</v>
      </c>
      <c r="C44" s="58" t="s">
        <v>323</v>
      </c>
      <c r="D44" s="58" t="s">
        <v>324</v>
      </c>
      <c r="E44" s="58" t="s">
        <v>325</v>
      </c>
      <c r="F44" s="58" t="s">
        <v>368</v>
      </c>
      <c r="G44" s="58" t="s">
        <v>368</v>
      </c>
      <c r="H44" s="58" t="s">
        <v>368</v>
      </c>
      <c r="I44" s="58" t="s">
        <v>368</v>
      </c>
      <c r="J44" s="58" t="s">
        <v>368</v>
      </c>
      <c r="K44" s="58" t="s">
        <v>368</v>
      </c>
      <c r="L44" s="58" t="s">
        <v>368</v>
      </c>
      <c r="M44" s="103" t="s">
        <v>368</v>
      </c>
    </row>
    <row r="45" spans="1:16" ht="16.05" customHeight="1">
      <c r="A45" s="58" t="s">
        <v>340</v>
      </c>
      <c r="B45" s="58">
        <v>0.01</v>
      </c>
      <c r="C45" s="58" t="s">
        <v>323</v>
      </c>
      <c r="D45" s="58" t="s">
        <v>324</v>
      </c>
      <c r="E45" s="58" t="s">
        <v>325</v>
      </c>
      <c r="F45" s="58" t="s">
        <v>368</v>
      </c>
      <c r="G45" s="58" t="s">
        <v>368</v>
      </c>
      <c r="H45" s="58" t="s">
        <v>368</v>
      </c>
      <c r="I45" s="58" t="s">
        <v>368</v>
      </c>
      <c r="J45" s="58" t="s">
        <v>368</v>
      </c>
      <c r="K45" s="58" t="s">
        <v>368</v>
      </c>
      <c r="L45" s="58" t="s">
        <v>368</v>
      </c>
      <c r="M45" s="103" t="s">
        <v>368</v>
      </c>
    </row>
    <row r="46" spans="1:16" ht="16.05" customHeight="1">
      <c r="A46" s="58" t="s">
        <v>341</v>
      </c>
      <c r="B46" s="58">
        <v>0</v>
      </c>
      <c r="C46" s="58" t="s">
        <v>323</v>
      </c>
      <c r="D46" s="58" t="s">
        <v>324</v>
      </c>
      <c r="E46" s="58" t="s">
        <v>325</v>
      </c>
      <c r="F46" s="58" t="s">
        <v>368</v>
      </c>
      <c r="G46" s="58" t="s">
        <v>368</v>
      </c>
      <c r="H46" s="58" t="s">
        <v>368</v>
      </c>
      <c r="I46" s="58" t="s">
        <v>368</v>
      </c>
      <c r="J46" s="58" t="s">
        <v>368</v>
      </c>
      <c r="K46" s="58" t="s">
        <v>368</v>
      </c>
      <c r="L46" s="58" t="s">
        <v>368</v>
      </c>
      <c r="M46" s="103" t="s">
        <v>368</v>
      </c>
    </row>
    <row r="47" spans="1:16" ht="16.05" customHeight="1">
      <c r="A47" s="58" t="s">
        <v>342</v>
      </c>
      <c r="B47" s="58">
        <v>0</v>
      </c>
      <c r="C47" s="58" t="s">
        <v>323</v>
      </c>
      <c r="D47" s="58" t="s">
        <v>324</v>
      </c>
      <c r="E47" s="58" t="s">
        <v>325</v>
      </c>
      <c r="F47" s="58" t="s">
        <v>368</v>
      </c>
      <c r="G47" s="58" t="s">
        <v>368</v>
      </c>
      <c r="H47" s="58" t="s">
        <v>368</v>
      </c>
      <c r="I47" s="58" t="s">
        <v>368</v>
      </c>
      <c r="J47" s="58" t="s">
        <v>368</v>
      </c>
      <c r="K47" s="58" t="s">
        <v>368</v>
      </c>
      <c r="L47" s="58" t="s">
        <v>368</v>
      </c>
      <c r="M47" s="103" t="s">
        <v>368</v>
      </c>
    </row>
    <row r="48" spans="1:16" ht="16.05" customHeight="1">
      <c r="A48" s="58" t="s">
        <v>343</v>
      </c>
      <c r="B48" s="58">
        <v>100</v>
      </c>
      <c r="C48" s="58" t="s">
        <v>344</v>
      </c>
      <c r="D48" s="58" t="s">
        <v>345</v>
      </c>
      <c r="E48" s="58" t="s">
        <v>347</v>
      </c>
      <c r="F48" s="58">
        <v>0.25009999999999999</v>
      </c>
      <c r="G48" s="58">
        <v>2</v>
      </c>
      <c r="H48" s="58" t="s">
        <v>352</v>
      </c>
      <c r="I48" s="58" t="s">
        <v>349</v>
      </c>
      <c r="J48" s="58" t="s">
        <v>349</v>
      </c>
      <c r="K48" s="58" t="s">
        <v>369</v>
      </c>
      <c r="L48" s="58" t="s">
        <v>349</v>
      </c>
      <c r="M48" s="103" t="s">
        <v>349</v>
      </c>
    </row>
    <row r="49" spans="1:16" ht="16.05" customHeight="1">
      <c r="A49" s="58" t="s">
        <v>350</v>
      </c>
      <c r="B49" s="58">
        <v>100</v>
      </c>
      <c r="C49" s="58" t="s">
        <v>344</v>
      </c>
      <c r="D49" s="58" t="s">
        <v>345</v>
      </c>
      <c r="E49" s="58" t="s">
        <v>347</v>
      </c>
      <c r="F49" s="58">
        <v>0.26869999999999999</v>
      </c>
      <c r="G49" s="58">
        <v>2</v>
      </c>
      <c r="H49" s="58" t="s">
        <v>352</v>
      </c>
      <c r="I49" s="58" t="s">
        <v>349</v>
      </c>
      <c r="J49" s="58" t="s">
        <v>349</v>
      </c>
      <c r="K49" s="58" t="s">
        <v>369</v>
      </c>
      <c r="L49" s="58" t="s">
        <v>349</v>
      </c>
      <c r="M49" s="103" t="s">
        <v>349</v>
      </c>
    </row>
    <row r="50" spans="1:16" ht="16.05" customHeight="1">
      <c r="A50" s="58" t="s">
        <v>351</v>
      </c>
      <c r="B50" s="58">
        <v>10</v>
      </c>
      <c r="C50" s="58" t="s">
        <v>344</v>
      </c>
      <c r="D50" s="58" t="s">
        <v>345</v>
      </c>
      <c r="E50" s="58" t="s">
        <v>347</v>
      </c>
      <c r="F50" s="58">
        <v>1.37E-2</v>
      </c>
      <c r="G50" s="58">
        <v>2</v>
      </c>
      <c r="H50" s="58" t="s">
        <v>352</v>
      </c>
      <c r="I50" s="58" t="s">
        <v>349</v>
      </c>
      <c r="J50" s="58" t="s">
        <v>349</v>
      </c>
      <c r="K50" s="58" t="s">
        <v>369</v>
      </c>
      <c r="L50" s="58" t="s">
        <v>349</v>
      </c>
      <c r="M50" s="103" t="s">
        <v>349</v>
      </c>
    </row>
    <row r="51" spans="1:16" ht="16.05" customHeight="1">
      <c r="A51" s="58" t="s">
        <v>353</v>
      </c>
      <c r="B51" s="58">
        <v>10</v>
      </c>
      <c r="C51" s="58" t="s">
        <v>344</v>
      </c>
      <c r="D51" s="58" t="s">
        <v>345</v>
      </c>
      <c r="E51" s="58" t="s">
        <v>347</v>
      </c>
      <c r="F51" s="58">
        <v>2.1100000000000001E-2</v>
      </c>
      <c r="G51" s="58">
        <v>2</v>
      </c>
      <c r="H51" s="58" t="s">
        <v>352</v>
      </c>
      <c r="I51" s="58" t="s">
        <v>349</v>
      </c>
      <c r="J51" s="58" t="s">
        <v>349</v>
      </c>
      <c r="K51" s="58" t="s">
        <v>369</v>
      </c>
      <c r="L51" s="58" t="s">
        <v>349</v>
      </c>
      <c r="M51" s="103" t="s">
        <v>349</v>
      </c>
    </row>
    <row r="52" spans="1:16" ht="16.05" customHeight="1">
      <c r="A52" s="58" t="s">
        <v>354</v>
      </c>
      <c r="B52" s="58">
        <v>1</v>
      </c>
      <c r="C52" s="58" t="s">
        <v>344</v>
      </c>
      <c r="D52" s="58" t="s">
        <v>345</v>
      </c>
      <c r="E52" s="58" t="s">
        <v>347</v>
      </c>
      <c r="F52" s="111">
        <v>2.2000000000000001E-3</v>
      </c>
      <c r="G52" s="58">
        <v>2</v>
      </c>
      <c r="H52" s="58" t="s">
        <v>352</v>
      </c>
      <c r="I52" s="58" t="s">
        <v>349</v>
      </c>
      <c r="J52" s="58" t="s">
        <v>349</v>
      </c>
      <c r="K52" s="58" t="s">
        <v>369</v>
      </c>
      <c r="L52" s="58" t="s">
        <v>349</v>
      </c>
      <c r="M52" s="103" t="s">
        <v>349</v>
      </c>
    </row>
    <row r="53" spans="1:16" ht="16.05" customHeight="1">
      <c r="A53" s="58" t="s">
        <v>355</v>
      </c>
      <c r="B53" s="58">
        <v>1</v>
      </c>
      <c r="C53" s="58" t="s">
        <v>344</v>
      </c>
      <c r="D53" s="58" t="s">
        <v>345</v>
      </c>
      <c r="E53" s="58" t="s">
        <v>347</v>
      </c>
      <c r="F53" s="111">
        <v>1.9E-3</v>
      </c>
      <c r="G53" s="58">
        <v>2</v>
      </c>
      <c r="H53" s="58" t="s">
        <v>352</v>
      </c>
      <c r="I53" s="58" t="s">
        <v>349</v>
      </c>
      <c r="J53" s="58" t="s">
        <v>349</v>
      </c>
      <c r="K53" s="58" t="s">
        <v>369</v>
      </c>
      <c r="L53" s="58" t="s">
        <v>349</v>
      </c>
      <c r="M53" s="103" t="s">
        <v>349</v>
      </c>
    </row>
    <row r="54" spans="1:16" ht="16.05" customHeight="1">
      <c r="A54" s="58" t="s">
        <v>356</v>
      </c>
      <c r="B54" s="58">
        <v>0.1</v>
      </c>
      <c r="C54" s="58" t="s">
        <v>344</v>
      </c>
      <c r="D54" s="58" t="s">
        <v>345</v>
      </c>
      <c r="E54" s="58" t="s">
        <v>368</v>
      </c>
      <c r="F54" s="58" t="s">
        <v>368</v>
      </c>
      <c r="G54" s="58" t="s">
        <v>368</v>
      </c>
      <c r="H54" s="58" t="s">
        <v>368</v>
      </c>
      <c r="I54" s="58" t="s">
        <v>368</v>
      </c>
      <c r="J54" s="58" t="s">
        <v>368</v>
      </c>
      <c r="K54" s="58" t="s">
        <v>368</v>
      </c>
      <c r="L54" s="58" t="s">
        <v>368</v>
      </c>
      <c r="M54" s="103" t="s">
        <v>368</v>
      </c>
    </row>
    <row r="55" spans="1:16" ht="16.05" customHeight="1">
      <c r="A55" s="58" t="s">
        <v>357</v>
      </c>
      <c r="B55" s="58">
        <v>0.1</v>
      </c>
      <c r="C55" s="58" t="s">
        <v>344</v>
      </c>
      <c r="D55" s="58" t="s">
        <v>345</v>
      </c>
      <c r="E55" s="58" t="s">
        <v>368</v>
      </c>
      <c r="F55" s="58" t="s">
        <v>368</v>
      </c>
      <c r="G55" s="58" t="s">
        <v>368</v>
      </c>
      <c r="H55" s="58" t="s">
        <v>368</v>
      </c>
      <c r="I55" s="58" t="s">
        <v>368</v>
      </c>
      <c r="J55" s="58" t="s">
        <v>368</v>
      </c>
      <c r="K55" s="58" t="s">
        <v>368</v>
      </c>
      <c r="L55" s="58" t="s">
        <v>368</v>
      </c>
      <c r="M55" s="103" t="s">
        <v>368</v>
      </c>
    </row>
    <row r="56" spans="1:16" ht="16.05" customHeight="1">
      <c r="A56" s="58" t="s">
        <v>358</v>
      </c>
      <c r="B56" s="58">
        <v>0.05</v>
      </c>
      <c r="C56" s="58" t="s">
        <v>344</v>
      </c>
      <c r="D56" s="58" t="s">
        <v>345</v>
      </c>
      <c r="E56" s="58" t="s">
        <v>368</v>
      </c>
      <c r="F56" s="58" t="s">
        <v>368</v>
      </c>
      <c r="G56" s="58" t="s">
        <v>368</v>
      </c>
      <c r="H56" s="58" t="s">
        <v>368</v>
      </c>
      <c r="I56" s="58" t="s">
        <v>368</v>
      </c>
      <c r="J56" s="58" t="s">
        <v>368</v>
      </c>
      <c r="K56" s="58" t="s">
        <v>368</v>
      </c>
      <c r="L56" s="58" t="s">
        <v>368</v>
      </c>
      <c r="M56" s="103" t="s">
        <v>368</v>
      </c>
    </row>
    <row r="57" spans="1:16" ht="16.05" customHeight="1">
      <c r="A57" s="58" t="s">
        <v>359</v>
      </c>
      <c r="B57" s="58">
        <v>0.05</v>
      </c>
      <c r="C57" s="58" t="s">
        <v>344</v>
      </c>
      <c r="D57" s="58" t="s">
        <v>345</v>
      </c>
      <c r="E57" s="58" t="s">
        <v>368</v>
      </c>
      <c r="F57" s="58" t="s">
        <v>368</v>
      </c>
      <c r="G57" s="58" t="s">
        <v>368</v>
      </c>
      <c r="H57" s="58" t="s">
        <v>368</v>
      </c>
      <c r="I57" s="58" t="s">
        <v>368</v>
      </c>
      <c r="J57" s="58" t="s">
        <v>368</v>
      </c>
      <c r="K57" s="58" t="s">
        <v>368</v>
      </c>
      <c r="L57" s="58" t="s">
        <v>368</v>
      </c>
      <c r="M57" s="103" t="s">
        <v>368</v>
      </c>
    </row>
    <row r="58" spans="1:16" ht="16.05" customHeight="1">
      <c r="A58" s="58" t="s">
        <v>360</v>
      </c>
      <c r="B58" s="58">
        <v>0.01</v>
      </c>
      <c r="C58" s="58" t="s">
        <v>344</v>
      </c>
      <c r="D58" s="58" t="s">
        <v>345</v>
      </c>
      <c r="E58" s="58" t="s">
        <v>368</v>
      </c>
      <c r="F58" s="58" t="s">
        <v>368</v>
      </c>
      <c r="G58" s="58" t="s">
        <v>368</v>
      </c>
      <c r="H58" s="58" t="s">
        <v>368</v>
      </c>
      <c r="I58" s="58" t="s">
        <v>368</v>
      </c>
      <c r="J58" s="58" t="s">
        <v>368</v>
      </c>
      <c r="K58" s="58" t="s">
        <v>368</v>
      </c>
      <c r="L58" s="58" t="s">
        <v>368</v>
      </c>
      <c r="M58" s="103" t="s">
        <v>368</v>
      </c>
    </row>
    <row r="59" spans="1:16" ht="16.05" customHeight="1">
      <c r="A59" s="58" t="s">
        <v>361</v>
      </c>
      <c r="B59" s="58">
        <v>0.01</v>
      </c>
      <c r="C59" s="58" t="s">
        <v>344</v>
      </c>
      <c r="D59" s="58" t="s">
        <v>345</v>
      </c>
      <c r="E59" s="58" t="s">
        <v>368</v>
      </c>
      <c r="F59" s="58" t="s">
        <v>368</v>
      </c>
      <c r="G59" s="58" t="s">
        <v>368</v>
      </c>
      <c r="H59" s="58" t="s">
        <v>368</v>
      </c>
      <c r="I59" s="58" t="s">
        <v>368</v>
      </c>
      <c r="J59" s="58" t="s">
        <v>368</v>
      </c>
      <c r="K59" s="58" t="s">
        <v>368</v>
      </c>
      <c r="L59" s="58" t="s">
        <v>368</v>
      </c>
      <c r="M59" s="103" t="s">
        <v>368</v>
      </c>
    </row>
    <row r="60" spans="1:16" ht="16.05" customHeight="1">
      <c r="A60" s="58" t="s">
        <v>341</v>
      </c>
      <c r="B60" s="58">
        <v>0</v>
      </c>
      <c r="C60" s="58" t="s">
        <v>344</v>
      </c>
      <c r="D60" s="58" t="s">
        <v>345</v>
      </c>
      <c r="E60" s="58" t="s">
        <v>368</v>
      </c>
      <c r="F60" s="58" t="s">
        <v>368</v>
      </c>
      <c r="G60" s="58" t="s">
        <v>368</v>
      </c>
      <c r="H60" s="58" t="s">
        <v>368</v>
      </c>
      <c r="I60" s="58" t="s">
        <v>368</v>
      </c>
      <c r="J60" s="58" t="s">
        <v>368</v>
      </c>
      <c r="K60" s="58" t="s">
        <v>368</v>
      </c>
      <c r="L60" s="58" t="s">
        <v>368</v>
      </c>
      <c r="M60" s="103" t="s">
        <v>368</v>
      </c>
    </row>
    <row r="61" spans="1:16" ht="16.05" customHeight="1">
      <c r="A61" s="106" t="s">
        <v>342</v>
      </c>
      <c r="B61" s="106">
        <v>0</v>
      </c>
      <c r="C61" s="106" t="s">
        <v>344</v>
      </c>
      <c r="D61" s="106" t="s">
        <v>345</v>
      </c>
      <c r="E61" s="106" t="s">
        <v>368</v>
      </c>
      <c r="F61" s="106" t="s">
        <v>368</v>
      </c>
      <c r="G61" s="106" t="s">
        <v>368</v>
      </c>
      <c r="H61" s="106" t="s">
        <v>368</v>
      </c>
      <c r="I61" s="106" t="s">
        <v>368</v>
      </c>
      <c r="J61" s="106" t="s">
        <v>368</v>
      </c>
      <c r="K61" s="106" t="s">
        <v>368</v>
      </c>
      <c r="L61" s="106" t="s">
        <v>368</v>
      </c>
      <c r="M61" s="108" t="s">
        <v>368</v>
      </c>
    </row>
    <row r="62" spans="1:16" ht="16.05" customHeight="1">
      <c r="A62" s="45"/>
      <c r="B62" s="45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</row>
    <row r="63" spans="1:16" ht="16.05" customHeight="1">
      <c r="A63" s="100" t="s">
        <v>2030</v>
      </c>
      <c r="B63" s="100"/>
    </row>
    <row r="64" spans="1:16" s="112" customFormat="1" ht="16.05" customHeight="1">
      <c r="A64" s="91" t="s">
        <v>306</v>
      </c>
      <c r="B64" s="91" t="s">
        <v>307</v>
      </c>
      <c r="C64" s="91" t="s">
        <v>308</v>
      </c>
      <c r="D64" s="91" t="s">
        <v>309</v>
      </c>
      <c r="E64" s="91" t="s">
        <v>311</v>
      </c>
      <c r="F64" s="101" t="s">
        <v>316</v>
      </c>
      <c r="G64" s="79"/>
      <c r="H64" s="79"/>
      <c r="I64" s="79"/>
      <c r="J64" s="79"/>
      <c r="K64" s="79"/>
      <c r="L64" s="79"/>
      <c r="M64" s="79"/>
      <c r="N64" s="79"/>
      <c r="O64" s="79"/>
      <c r="P64" s="79"/>
    </row>
    <row r="65" spans="1:16" s="112" customFormat="1" ht="16.05" customHeight="1">
      <c r="A65" s="111" t="s">
        <v>322</v>
      </c>
      <c r="B65" s="111">
        <v>100</v>
      </c>
      <c r="C65" s="111" t="s">
        <v>370</v>
      </c>
      <c r="D65" s="111" t="s">
        <v>371</v>
      </c>
      <c r="E65" s="111" t="s">
        <v>372</v>
      </c>
      <c r="F65" s="113">
        <v>0.4451</v>
      </c>
      <c r="G65" s="79"/>
      <c r="H65" s="79"/>
      <c r="I65" s="79"/>
      <c r="J65" s="79"/>
      <c r="K65" s="79"/>
      <c r="L65" s="79"/>
      <c r="M65" s="79"/>
      <c r="N65" s="79"/>
      <c r="O65" s="79"/>
      <c r="P65" s="79"/>
    </row>
    <row r="66" spans="1:16" s="112" customFormat="1" ht="16.05" customHeight="1">
      <c r="A66" s="111" t="s">
        <v>322</v>
      </c>
      <c r="B66" s="111">
        <v>100</v>
      </c>
      <c r="C66" s="111" t="s">
        <v>373</v>
      </c>
      <c r="D66" s="111" t="s">
        <v>324</v>
      </c>
      <c r="E66" s="111" t="s">
        <v>374</v>
      </c>
      <c r="F66" s="113">
        <v>0.48039999999999999</v>
      </c>
      <c r="G66" s="79"/>
      <c r="H66" s="79"/>
      <c r="I66" s="79"/>
      <c r="J66" s="79"/>
      <c r="K66" s="79"/>
      <c r="L66" s="79"/>
      <c r="M66" s="79"/>
      <c r="N66" s="79"/>
      <c r="O66" s="79"/>
      <c r="P66" s="79"/>
    </row>
    <row r="67" spans="1:16" s="112" customFormat="1" ht="16.05" customHeight="1">
      <c r="A67" s="111" t="s">
        <v>322</v>
      </c>
      <c r="B67" s="111">
        <v>100</v>
      </c>
      <c r="C67" s="111" t="s">
        <v>375</v>
      </c>
      <c r="D67" s="111" t="s">
        <v>376</v>
      </c>
      <c r="E67" s="111" t="s">
        <v>377</v>
      </c>
      <c r="F67" s="113">
        <v>8.43E-2</v>
      </c>
      <c r="G67" s="79"/>
      <c r="H67" s="79"/>
      <c r="I67" s="79"/>
      <c r="J67" s="79"/>
      <c r="K67" s="79"/>
      <c r="L67" s="79"/>
      <c r="M67" s="79"/>
      <c r="N67" s="79"/>
      <c r="O67" s="79"/>
      <c r="P67" s="79"/>
    </row>
    <row r="68" spans="1:16" s="112" customFormat="1" ht="16.05" customHeight="1">
      <c r="A68" s="111" t="s">
        <v>322</v>
      </c>
      <c r="B68" s="111">
        <v>100</v>
      </c>
      <c r="C68" s="111" t="s">
        <v>378</v>
      </c>
      <c r="D68" s="111" t="s">
        <v>371</v>
      </c>
      <c r="E68" s="111" t="s">
        <v>379</v>
      </c>
      <c r="F68" s="113">
        <v>0.434</v>
      </c>
      <c r="G68" s="79"/>
      <c r="H68" s="79"/>
      <c r="I68" s="79"/>
      <c r="J68" s="79"/>
      <c r="K68" s="79"/>
      <c r="L68" s="79"/>
      <c r="M68" s="79"/>
      <c r="N68" s="79"/>
      <c r="O68" s="79"/>
      <c r="P68" s="79"/>
    </row>
    <row r="69" spans="1:16" s="112" customFormat="1" ht="16.05" customHeight="1">
      <c r="A69" s="111" t="s">
        <v>322</v>
      </c>
      <c r="B69" s="111">
        <v>100</v>
      </c>
      <c r="C69" s="111" t="s">
        <v>378</v>
      </c>
      <c r="D69" s="111" t="s">
        <v>371</v>
      </c>
      <c r="E69" s="111" t="s">
        <v>380</v>
      </c>
      <c r="F69" s="113">
        <v>0.44019999999999998</v>
      </c>
      <c r="G69" s="79"/>
      <c r="H69" s="79"/>
      <c r="I69" s="79"/>
      <c r="J69" s="79"/>
      <c r="K69" s="79"/>
      <c r="L69" s="79"/>
      <c r="M69" s="79"/>
      <c r="N69" s="79"/>
      <c r="O69" s="79"/>
      <c r="P69" s="79"/>
    </row>
    <row r="70" spans="1:16" s="112" customFormat="1" ht="16.05" customHeight="1">
      <c r="A70" s="111" t="s">
        <v>322</v>
      </c>
      <c r="B70" s="111">
        <v>100</v>
      </c>
      <c r="C70" s="111" t="s">
        <v>381</v>
      </c>
      <c r="D70" s="111" t="s">
        <v>324</v>
      </c>
      <c r="E70" s="111" t="s">
        <v>382</v>
      </c>
      <c r="F70" s="113">
        <v>1.2999999999999999E-3</v>
      </c>
      <c r="G70" s="79"/>
      <c r="H70" s="79"/>
      <c r="I70" s="79"/>
      <c r="J70" s="79"/>
      <c r="K70" s="79"/>
      <c r="L70" s="79"/>
      <c r="M70" s="79"/>
      <c r="N70" s="79"/>
      <c r="O70" s="79"/>
      <c r="P70" s="79"/>
    </row>
    <row r="71" spans="1:16" s="112" customFormat="1" ht="16.05" customHeight="1">
      <c r="A71" s="111" t="s">
        <v>322</v>
      </c>
      <c r="B71" s="111">
        <v>100</v>
      </c>
      <c r="C71" s="111" t="s">
        <v>383</v>
      </c>
      <c r="D71" s="111" t="s">
        <v>384</v>
      </c>
      <c r="E71" s="111" t="s">
        <v>385</v>
      </c>
      <c r="F71" s="113">
        <v>0.4168</v>
      </c>
      <c r="G71" s="79"/>
      <c r="H71" s="79"/>
      <c r="I71" s="79"/>
      <c r="J71" s="79"/>
      <c r="K71" s="79"/>
      <c r="L71" s="79"/>
      <c r="M71" s="79"/>
      <c r="N71" s="79"/>
      <c r="O71" s="79"/>
      <c r="P71" s="79"/>
    </row>
    <row r="72" spans="1:16" s="112" customFormat="1" ht="16.05" customHeight="1">
      <c r="A72" s="111" t="s">
        <v>322</v>
      </c>
      <c r="B72" s="111">
        <v>100</v>
      </c>
      <c r="C72" s="111" t="s">
        <v>386</v>
      </c>
      <c r="D72" s="111" t="s">
        <v>371</v>
      </c>
      <c r="E72" s="111" t="s">
        <v>387</v>
      </c>
      <c r="F72" s="113">
        <v>0.46139999999999998</v>
      </c>
      <c r="G72" s="79"/>
      <c r="H72" s="79"/>
      <c r="I72" s="79"/>
      <c r="J72" s="79"/>
      <c r="K72" s="79"/>
      <c r="L72" s="79"/>
      <c r="M72" s="79"/>
      <c r="N72" s="79"/>
      <c r="O72" s="79"/>
      <c r="P72" s="79"/>
    </row>
    <row r="73" spans="1:16" s="112" customFormat="1" ht="16.05" customHeight="1">
      <c r="A73" s="111" t="s">
        <v>322</v>
      </c>
      <c r="B73" s="111">
        <v>100</v>
      </c>
      <c r="C73" s="111" t="s">
        <v>388</v>
      </c>
      <c r="D73" s="111" t="s">
        <v>324</v>
      </c>
      <c r="E73" s="111" t="s">
        <v>389</v>
      </c>
      <c r="F73" s="113">
        <v>6.4000000000000003E-3</v>
      </c>
      <c r="G73" s="79"/>
      <c r="H73" s="79"/>
      <c r="I73" s="79"/>
      <c r="J73" s="79"/>
      <c r="K73" s="79"/>
      <c r="L73" s="79"/>
      <c r="M73" s="79"/>
      <c r="N73" s="79"/>
      <c r="O73" s="79"/>
      <c r="P73" s="79"/>
    </row>
    <row r="74" spans="1:16" s="112" customFormat="1" ht="16.05" customHeight="1">
      <c r="A74" s="111" t="s">
        <v>322</v>
      </c>
      <c r="B74" s="111">
        <v>100</v>
      </c>
      <c r="C74" s="111" t="s">
        <v>390</v>
      </c>
      <c r="D74" s="111" t="s">
        <v>324</v>
      </c>
      <c r="E74" s="111" t="s">
        <v>391</v>
      </c>
      <c r="F74" s="113">
        <v>0.49490000000000001</v>
      </c>
      <c r="G74" s="79"/>
      <c r="H74" s="79"/>
      <c r="I74" s="79"/>
      <c r="J74" s="79"/>
      <c r="K74" s="79"/>
      <c r="L74" s="79"/>
      <c r="M74" s="79"/>
      <c r="N74" s="79"/>
      <c r="O74" s="79"/>
      <c r="P74" s="79"/>
    </row>
    <row r="75" spans="1:16" s="112" customFormat="1" ht="16.05" customHeight="1">
      <c r="A75" s="111" t="s">
        <v>329</v>
      </c>
      <c r="B75" s="111">
        <v>100</v>
      </c>
      <c r="C75" s="111" t="s">
        <v>370</v>
      </c>
      <c r="D75" s="111" t="s">
        <v>371</v>
      </c>
      <c r="E75" s="111" t="s">
        <v>372</v>
      </c>
      <c r="F75" s="113">
        <v>0.44690000000000002</v>
      </c>
      <c r="G75" s="79"/>
      <c r="H75" s="79"/>
      <c r="I75" s="79"/>
      <c r="J75" s="79"/>
      <c r="K75" s="79"/>
      <c r="L75" s="79"/>
      <c r="M75" s="79"/>
      <c r="N75" s="79"/>
      <c r="O75" s="79"/>
      <c r="P75" s="79"/>
    </row>
    <row r="76" spans="1:16" s="112" customFormat="1" ht="16.05" customHeight="1">
      <c r="A76" s="111" t="s">
        <v>329</v>
      </c>
      <c r="B76" s="111">
        <v>100</v>
      </c>
      <c r="C76" s="111" t="s">
        <v>373</v>
      </c>
      <c r="D76" s="111" t="s">
        <v>324</v>
      </c>
      <c r="E76" s="111" t="s">
        <v>374</v>
      </c>
      <c r="F76" s="113">
        <v>0.48580000000000001</v>
      </c>
      <c r="G76" s="79"/>
      <c r="H76" s="79"/>
      <c r="I76" s="79"/>
      <c r="J76" s="79"/>
      <c r="K76" s="79"/>
      <c r="L76" s="79"/>
      <c r="M76" s="79"/>
      <c r="N76" s="79"/>
      <c r="O76" s="79"/>
      <c r="P76" s="79"/>
    </row>
    <row r="77" spans="1:16" s="112" customFormat="1" ht="16.05" customHeight="1">
      <c r="A77" s="111" t="s">
        <v>329</v>
      </c>
      <c r="B77" s="111">
        <v>100</v>
      </c>
      <c r="C77" s="111" t="s">
        <v>375</v>
      </c>
      <c r="D77" s="111" t="s">
        <v>376</v>
      </c>
      <c r="E77" s="111" t="s">
        <v>377</v>
      </c>
      <c r="F77" s="113">
        <v>8.5000000000000006E-2</v>
      </c>
      <c r="G77" s="79"/>
      <c r="H77" s="79"/>
      <c r="I77" s="79"/>
      <c r="J77" s="79"/>
      <c r="K77" s="79"/>
      <c r="L77" s="79"/>
      <c r="M77" s="79"/>
      <c r="N77" s="79"/>
      <c r="O77" s="79"/>
      <c r="P77" s="79"/>
    </row>
    <row r="78" spans="1:16" s="112" customFormat="1" ht="16.05" customHeight="1">
      <c r="A78" s="111" t="s">
        <v>329</v>
      </c>
      <c r="B78" s="111">
        <v>100</v>
      </c>
      <c r="C78" s="111" t="s">
        <v>378</v>
      </c>
      <c r="D78" s="111" t="s">
        <v>371</v>
      </c>
      <c r="E78" s="111" t="s">
        <v>379</v>
      </c>
      <c r="F78" s="113">
        <v>0.4451</v>
      </c>
      <c r="G78" s="79"/>
      <c r="H78" s="79"/>
      <c r="I78" s="79"/>
      <c r="J78" s="79"/>
      <c r="K78" s="79"/>
      <c r="L78" s="79"/>
      <c r="M78" s="79"/>
      <c r="N78" s="79"/>
      <c r="O78" s="79"/>
      <c r="P78" s="79"/>
    </row>
    <row r="79" spans="1:16" s="112" customFormat="1" ht="16.05" customHeight="1">
      <c r="A79" s="111" t="s">
        <v>329</v>
      </c>
      <c r="B79" s="111">
        <v>100</v>
      </c>
      <c r="C79" s="111" t="s">
        <v>378</v>
      </c>
      <c r="D79" s="111" t="s">
        <v>371</v>
      </c>
      <c r="E79" s="111" t="s">
        <v>380</v>
      </c>
      <c r="F79" s="113">
        <v>0.41949999999999998</v>
      </c>
      <c r="G79" s="79"/>
      <c r="H79" s="79"/>
      <c r="I79" s="79"/>
      <c r="J79" s="79"/>
      <c r="K79" s="79"/>
      <c r="L79" s="79"/>
      <c r="M79" s="79"/>
      <c r="N79" s="79"/>
      <c r="O79" s="79"/>
      <c r="P79" s="79"/>
    </row>
    <row r="80" spans="1:16" s="112" customFormat="1" ht="16.05" customHeight="1">
      <c r="A80" s="111" t="s">
        <v>329</v>
      </c>
      <c r="B80" s="111">
        <v>100</v>
      </c>
      <c r="C80" s="111" t="s">
        <v>381</v>
      </c>
      <c r="D80" s="111" t="s">
        <v>324</v>
      </c>
      <c r="E80" s="111" t="s">
        <v>392</v>
      </c>
      <c r="F80" s="113">
        <v>2.3999999999999998E-3</v>
      </c>
      <c r="G80" s="79"/>
      <c r="H80" s="79"/>
      <c r="I80" s="79"/>
      <c r="J80" s="79"/>
      <c r="K80" s="79"/>
      <c r="L80" s="79"/>
      <c r="M80" s="79"/>
      <c r="N80" s="79"/>
      <c r="O80" s="79"/>
      <c r="P80" s="79"/>
    </row>
    <row r="81" spans="1:16" s="112" customFormat="1" ht="16.05" customHeight="1">
      <c r="A81" s="111" t="s">
        <v>329</v>
      </c>
      <c r="B81" s="111">
        <v>100</v>
      </c>
      <c r="C81" s="111" t="s">
        <v>383</v>
      </c>
      <c r="D81" s="111" t="s">
        <v>384</v>
      </c>
      <c r="E81" s="111" t="s">
        <v>385</v>
      </c>
      <c r="F81" s="113">
        <v>0.41749999999999998</v>
      </c>
      <c r="G81" s="79"/>
      <c r="H81" s="79"/>
      <c r="I81" s="79"/>
      <c r="J81" s="79"/>
      <c r="K81" s="79"/>
      <c r="L81" s="79"/>
      <c r="M81" s="79"/>
      <c r="N81" s="79"/>
      <c r="O81" s="79"/>
      <c r="P81" s="79"/>
    </row>
    <row r="82" spans="1:16" s="112" customFormat="1" ht="16.05" customHeight="1">
      <c r="A82" s="111" t="s">
        <v>329</v>
      </c>
      <c r="B82" s="111">
        <v>100</v>
      </c>
      <c r="C82" s="111" t="s">
        <v>386</v>
      </c>
      <c r="D82" s="111" t="s">
        <v>371</v>
      </c>
      <c r="E82" s="111" t="s">
        <v>387</v>
      </c>
      <c r="F82" s="113">
        <v>0.43640000000000001</v>
      </c>
      <c r="G82" s="79"/>
      <c r="H82" s="79"/>
      <c r="I82" s="79"/>
      <c r="J82" s="79"/>
      <c r="K82" s="79"/>
      <c r="L82" s="79"/>
      <c r="M82" s="79"/>
      <c r="N82" s="79"/>
      <c r="O82" s="79"/>
      <c r="P82" s="79"/>
    </row>
    <row r="83" spans="1:16" s="112" customFormat="1" ht="16.05" customHeight="1">
      <c r="A83" s="111" t="s">
        <v>329</v>
      </c>
      <c r="B83" s="111">
        <v>100</v>
      </c>
      <c r="C83" s="111" t="s">
        <v>388</v>
      </c>
      <c r="D83" s="111" t="s">
        <v>324</v>
      </c>
      <c r="E83" s="111" t="s">
        <v>389</v>
      </c>
      <c r="F83" s="113">
        <v>5.3E-3</v>
      </c>
      <c r="G83" s="79"/>
      <c r="H83" s="79"/>
      <c r="I83" s="79"/>
      <c r="J83" s="79"/>
      <c r="K83" s="79"/>
      <c r="L83" s="79"/>
      <c r="M83" s="79"/>
      <c r="N83" s="79"/>
      <c r="O83" s="79"/>
      <c r="P83" s="79"/>
    </row>
    <row r="84" spans="1:16" s="112" customFormat="1" ht="16.05" customHeight="1">
      <c r="A84" s="111" t="s">
        <v>329</v>
      </c>
      <c r="B84" s="111">
        <v>100</v>
      </c>
      <c r="C84" s="111" t="s">
        <v>390</v>
      </c>
      <c r="D84" s="111" t="s">
        <v>324</v>
      </c>
      <c r="E84" s="111" t="s">
        <v>391</v>
      </c>
      <c r="F84" s="113">
        <v>0.50170000000000003</v>
      </c>
      <c r="G84" s="79"/>
      <c r="H84" s="79"/>
      <c r="I84" s="79"/>
      <c r="J84" s="79"/>
      <c r="K84" s="79"/>
      <c r="L84" s="79"/>
      <c r="M84" s="79"/>
      <c r="N84" s="79"/>
      <c r="O84" s="79"/>
      <c r="P84" s="79"/>
    </row>
    <row r="85" spans="1:16" s="112" customFormat="1" ht="16.05" customHeight="1">
      <c r="A85" s="111" t="s">
        <v>330</v>
      </c>
      <c r="B85" s="111">
        <v>10</v>
      </c>
      <c r="C85" s="111" t="s">
        <v>370</v>
      </c>
      <c r="D85" s="111" t="s">
        <v>371</v>
      </c>
      <c r="E85" s="111" t="s">
        <v>372</v>
      </c>
      <c r="F85" s="113">
        <v>3.6700000000000003E-2</v>
      </c>
      <c r="G85" s="79"/>
      <c r="H85" s="79"/>
      <c r="I85" s="79"/>
      <c r="J85" s="79"/>
      <c r="K85" s="79"/>
      <c r="L85" s="79"/>
      <c r="M85" s="79"/>
      <c r="N85" s="79"/>
      <c r="O85" s="79"/>
      <c r="P85" s="79"/>
    </row>
    <row r="86" spans="1:16" s="112" customFormat="1" ht="16.05" customHeight="1">
      <c r="A86" s="111" t="s">
        <v>330</v>
      </c>
      <c r="B86" s="111">
        <v>10</v>
      </c>
      <c r="C86" s="111" t="s">
        <v>373</v>
      </c>
      <c r="D86" s="111" t="s">
        <v>324</v>
      </c>
      <c r="E86" s="111" t="s">
        <v>374</v>
      </c>
      <c r="F86" s="113">
        <v>4.24E-2</v>
      </c>
      <c r="G86" s="79"/>
      <c r="H86" s="79"/>
      <c r="I86" s="79"/>
      <c r="J86" s="79"/>
      <c r="K86" s="79"/>
      <c r="L86" s="79"/>
      <c r="M86" s="79"/>
      <c r="N86" s="79"/>
      <c r="O86" s="79"/>
      <c r="P86" s="79"/>
    </row>
    <row r="87" spans="1:16" s="112" customFormat="1" ht="16.05" customHeight="1">
      <c r="A87" s="111" t="s">
        <v>330</v>
      </c>
      <c r="B87" s="111">
        <v>10</v>
      </c>
      <c r="C87" s="111" t="s">
        <v>375</v>
      </c>
      <c r="D87" s="111" t="s">
        <v>376</v>
      </c>
      <c r="E87" s="111" t="s">
        <v>377</v>
      </c>
      <c r="F87" s="113">
        <v>8.0000000000000002E-3</v>
      </c>
      <c r="G87" s="79"/>
      <c r="H87" s="79"/>
      <c r="I87" s="79"/>
      <c r="J87" s="79"/>
      <c r="K87" s="79"/>
      <c r="L87" s="79"/>
      <c r="M87" s="79"/>
      <c r="N87" s="79"/>
      <c r="O87" s="79"/>
      <c r="P87" s="79"/>
    </row>
    <row r="88" spans="1:16" s="112" customFormat="1" ht="16.05" customHeight="1">
      <c r="A88" s="111" t="s">
        <v>330</v>
      </c>
      <c r="B88" s="111">
        <v>10</v>
      </c>
      <c r="C88" s="111" t="s">
        <v>378</v>
      </c>
      <c r="D88" s="111" t="s">
        <v>371</v>
      </c>
      <c r="E88" s="111" t="s">
        <v>379</v>
      </c>
      <c r="F88" s="113">
        <v>4.1099999999999998E-2</v>
      </c>
      <c r="G88" s="79"/>
      <c r="H88" s="79"/>
      <c r="I88" s="79"/>
      <c r="J88" s="79"/>
      <c r="K88" s="79"/>
      <c r="L88" s="79"/>
      <c r="M88" s="79"/>
      <c r="N88" s="79"/>
      <c r="O88" s="79"/>
      <c r="P88" s="79"/>
    </row>
    <row r="89" spans="1:16" s="112" customFormat="1" ht="16.05" customHeight="1">
      <c r="A89" s="111" t="s">
        <v>330</v>
      </c>
      <c r="B89" s="111">
        <v>10</v>
      </c>
      <c r="C89" s="111" t="s">
        <v>378</v>
      </c>
      <c r="D89" s="111" t="s">
        <v>371</v>
      </c>
      <c r="E89" s="111" t="s">
        <v>380</v>
      </c>
      <c r="F89" s="113">
        <v>3.9300000000000002E-2</v>
      </c>
      <c r="G89" s="79"/>
      <c r="H89" s="79"/>
      <c r="I89" s="79"/>
      <c r="J89" s="79"/>
      <c r="K89" s="79"/>
      <c r="L89" s="79"/>
      <c r="M89" s="79"/>
      <c r="N89" s="79"/>
      <c r="O89" s="79"/>
      <c r="P89" s="79"/>
    </row>
    <row r="90" spans="1:16" s="112" customFormat="1" ht="16.05" customHeight="1">
      <c r="A90" s="111" t="s">
        <v>330</v>
      </c>
      <c r="B90" s="111">
        <v>10</v>
      </c>
      <c r="C90" s="111" t="s">
        <v>386</v>
      </c>
      <c r="D90" s="111" t="s">
        <v>371</v>
      </c>
      <c r="E90" s="111" t="s">
        <v>387</v>
      </c>
      <c r="F90" s="113">
        <v>4.6600000000000003E-2</v>
      </c>
      <c r="G90" s="79"/>
      <c r="H90" s="79"/>
      <c r="I90" s="79"/>
      <c r="J90" s="79"/>
      <c r="K90" s="79"/>
      <c r="L90" s="79"/>
      <c r="M90" s="79"/>
      <c r="N90" s="79"/>
      <c r="O90" s="79"/>
      <c r="P90" s="79"/>
    </row>
    <row r="91" spans="1:16" s="112" customFormat="1" ht="16.05" customHeight="1">
      <c r="A91" s="111" t="s">
        <v>330</v>
      </c>
      <c r="B91" s="111">
        <v>10</v>
      </c>
      <c r="C91" s="111" t="s">
        <v>393</v>
      </c>
      <c r="D91" s="111" t="s">
        <v>324</v>
      </c>
      <c r="E91" s="111" t="s">
        <v>394</v>
      </c>
      <c r="F91" s="113">
        <v>4.5599999999999988E-2</v>
      </c>
      <c r="G91" s="79"/>
      <c r="H91" s="79"/>
      <c r="I91" s="79"/>
      <c r="J91" s="79"/>
      <c r="K91" s="79"/>
      <c r="L91" s="79"/>
      <c r="M91" s="79"/>
      <c r="N91" s="79"/>
      <c r="O91" s="79"/>
      <c r="P91" s="79"/>
    </row>
    <row r="92" spans="1:16" s="112" customFormat="1" ht="16.05" customHeight="1">
      <c r="A92" s="111" t="s">
        <v>330</v>
      </c>
      <c r="B92" s="111">
        <v>10</v>
      </c>
      <c r="C92" s="111" t="s">
        <v>390</v>
      </c>
      <c r="D92" s="111" t="s">
        <v>324</v>
      </c>
      <c r="E92" s="111" t="s">
        <v>391</v>
      </c>
      <c r="F92" s="113">
        <v>3.8699999999999998E-2</v>
      </c>
      <c r="G92" s="79"/>
      <c r="H92" s="79"/>
      <c r="I92" s="79"/>
      <c r="J92" s="79"/>
      <c r="K92" s="79"/>
      <c r="L92" s="79"/>
      <c r="M92" s="79"/>
      <c r="N92" s="79"/>
      <c r="O92" s="79"/>
      <c r="P92" s="79"/>
    </row>
    <row r="93" spans="1:16" s="112" customFormat="1" ht="16.05" customHeight="1">
      <c r="A93" s="111" t="s">
        <v>332</v>
      </c>
      <c r="B93" s="111">
        <v>10</v>
      </c>
      <c r="C93" s="111" t="s">
        <v>370</v>
      </c>
      <c r="D93" s="111" t="s">
        <v>371</v>
      </c>
      <c r="E93" s="111" t="s">
        <v>372</v>
      </c>
      <c r="F93" s="113">
        <v>3.4799999999999998E-2</v>
      </c>
      <c r="G93" s="79"/>
      <c r="H93" s="79"/>
      <c r="I93" s="79"/>
      <c r="J93" s="79"/>
      <c r="K93" s="79"/>
      <c r="L93" s="79"/>
      <c r="M93" s="79"/>
      <c r="N93" s="79"/>
      <c r="O93" s="79"/>
      <c r="P93" s="79"/>
    </row>
    <row r="94" spans="1:16" s="112" customFormat="1" ht="16.05" customHeight="1">
      <c r="A94" s="111" t="s">
        <v>332</v>
      </c>
      <c r="B94" s="111">
        <v>10</v>
      </c>
      <c r="C94" s="111" t="s">
        <v>373</v>
      </c>
      <c r="D94" s="111" t="s">
        <v>324</v>
      </c>
      <c r="E94" s="111" t="s">
        <v>374</v>
      </c>
      <c r="F94" s="113">
        <v>3.6299999999999999E-2</v>
      </c>
      <c r="G94" s="79"/>
      <c r="H94" s="79"/>
      <c r="I94" s="79"/>
      <c r="J94" s="79"/>
      <c r="K94" s="79"/>
      <c r="L94" s="79"/>
      <c r="M94" s="79"/>
      <c r="N94" s="79"/>
      <c r="O94" s="79"/>
      <c r="P94" s="79"/>
    </row>
    <row r="95" spans="1:16" s="112" customFormat="1" ht="16.05" customHeight="1">
      <c r="A95" s="111" t="s">
        <v>332</v>
      </c>
      <c r="B95" s="111">
        <v>10</v>
      </c>
      <c r="C95" s="111" t="s">
        <v>375</v>
      </c>
      <c r="D95" s="111" t="s">
        <v>376</v>
      </c>
      <c r="E95" s="111" t="s">
        <v>377</v>
      </c>
      <c r="F95" s="113">
        <v>1.17E-2</v>
      </c>
      <c r="G95" s="79"/>
      <c r="H95" s="79"/>
      <c r="I95" s="79"/>
      <c r="J95" s="79"/>
      <c r="K95" s="79"/>
      <c r="L95" s="79"/>
      <c r="M95" s="79"/>
      <c r="N95" s="79"/>
      <c r="O95" s="79"/>
      <c r="P95" s="79"/>
    </row>
    <row r="96" spans="1:16" s="112" customFormat="1" ht="16.05" customHeight="1">
      <c r="A96" s="111" t="s">
        <v>332</v>
      </c>
      <c r="B96" s="111">
        <v>10</v>
      </c>
      <c r="C96" s="111" t="s">
        <v>378</v>
      </c>
      <c r="D96" s="111" t="s">
        <v>371</v>
      </c>
      <c r="E96" s="111" t="s">
        <v>379</v>
      </c>
      <c r="F96" s="113">
        <v>4.4299999999999999E-2</v>
      </c>
      <c r="G96" s="79"/>
      <c r="H96" s="79"/>
      <c r="I96" s="79"/>
      <c r="J96" s="79"/>
      <c r="K96" s="79"/>
      <c r="L96" s="79"/>
      <c r="M96" s="79"/>
      <c r="N96" s="79"/>
      <c r="O96" s="79"/>
      <c r="P96" s="79"/>
    </row>
    <row r="97" spans="1:16" s="112" customFormat="1" ht="16.05" customHeight="1">
      <c r="A97" s="111" t="s">
        <v>332</v>
      </c>
      <c r="B97" s="111">
        <v>10</v>
      </c>
      <c r="C97" s="111" t="s">
        <v>378</v>
      </c>
      <c r="D97" s="111" t="s">
        <v>371</v>
      </c>
      <c r="E97" s="111" t="s">
        <v>380</v>
      </c>
      <c r="F97" s="113">
        <v>4.4600000000000001E-2</v>
      </c>
      <c r="G97" s="79"/>
      <c r="H97" s="79"/>
      <c r="I97" s="79"/>
      <c r="J97" s="79"/>
      <c r="K97" s="79"/>
      <c r="L97" s="79"/>
      <c r="M97" s="79"/>
      <c r="N97" s="79"/>
      <c r="O97" s="79"/>
      <c r="P97" s="79"/>
    </row>
    <row r="98" spans="1:16" s="112" customFormat="1" ht="16.05" customHeight="1">
      <c r="A98" s="111" t="s">
        <v>332</v>
      </c>
      <c r="B98" s="111">
        <v>10</v>
      </c>
      <c r="C98" s="111" t="s">
        <v>386</v>
      </c>
      <c r="D98" s="111" t="s">
        <v>371</v>
      </c>
      <c r="E98" s="111" t="s">
        <v>387</v>
      </c>
      <c r="F98" s="113">
        <v>4.1099999999999998E-2</v>
      </c>
      <c r="G98" s="79"/>
      <c r="H98" s="79"/>
      <c r="I98" s="79"/>
      <c r="J98" s="79"/>
      <c r="K98" s="79"/>
      <c r="L98" s="79"/>
      <c r="M98" s="79"/>
      <c r="N98" s="79"/>
      <c r="O98" s="79"/>
      <c r="P98" s="79"/>
    </row>
    <row r="99" spans="1:16" s="112" customFormat="1" ht="16.05" customHeight="1">
      <c r="A99" s="111" t="s">
        <v>332</v>
      </c>
      <c r="B99" s="111">
        <v>10</v>
      </c>
      <c r="C99" s="111" t="s">
        <v>393</v>
      </c>
      <c r="D99" s="111" t="s">
        <v>324</v>
      </c>
      <c r="E99" s="111" t="s">
        <v>394</v>
      </c>
      <c r="F99" s="113">
        <v>4.9299999999999997E-2</v>
      </c>
      <c r="G99" s="79"/>
      <c r="H99" s="79"/>
      <c r="I99" s="79"/>
      <c r="J99" s="79"/>
      <c r="K99" s="79"/>
      <c r="L99" s="79"/>
      <c r="M99" s="79"/>
      <c r="N99" s="79"/>
      <c r="O99" s="79"/>
      <c r="P99" s="79"/>
    </row>
    <row r="100" spans="1:16" s="112" customFormat="1" ht="16.05" customHeight="1">
      <c r="A100" s="111" t="s">
        <v>332</v>
      </c>
      <c r="B100" s="111">
        <v>10</v>
      </c>
      <c r="C100" s="111" t="s">
        <v>390</v>
      </c>
      <c r="D100" s="111" t="s">
        <v>324</v>
      </c>
      <c r="E100" s="111" t="s">
        <v>391</v>
      </c>
      <c r="F100" s="113">
        <v>5.57E-2</v>
      </c>
      <c r="G100" s="79"/>
      <c r="H100" s="79"/>
      <c r="I100" s="79"/>
      <c r="J100" s="79"/>
      <c r="K100" s="79"/>
      <c r="L100" s="79"/>
      <c r="M100" s="79"/>
      <c r="N100" s="79"/>
      <c r="O100" s="79"/>
      <c r="P100" s="79"/>
    </row>
    <row r="101" spans="1:16" s="112" customFormat="1" ht="16.05" customHeight="1">
      <c r="A101" s="111" t="s">
        <v>333</v>
      </c>
      <c r="B101" s="111">
        <v>1</v>
      </c>
      <c r="C101" s="111" t="s">
        <v>370</v>
      </c>
      <c r="D101" s="111" t="s">
        <v>371</v>
      </c>
      <c r="E101" s="111" t="s">
        <v>372</v>
      </c>
      <c r="F101" s="113">
        <v>4.6999999999999993E-3</v>
      </c>
      <c r="G101" s="79"/>
      <c r="H101" s="79"/>
      <c r="I101" s="79"/>
      <c r="J101" s="79"/>
      <c r="K101" s="79"/>
      <c r="L101" s="79"/>
      <c r="M101" s="79"/>
      <c r="N101" s="79"/>
      <c r="O101" s="79"/>
      <c r="P101" s="79"/>
    </row>
    <row r="102" spans="1:16" s="112" customFormat="1" ht="16.05" customHeight="1">
      <c r="A102" s="111" t="s">
        <v>333</v>
      </c>
      <c r="B102" s="111">
        <v>1</v>
      </c>
      <c r="C102" s="111" t="s">
        <v>373</v>
      </c>
      <c r="D102" s="111" t="s">
        <v>324</v>
      </c>
      <c r="E102" s="111" t="s">
        <v>374</v>
      </c>
      <c r="F102" s="113">
        <v>5.8999999999999999E-3</v>
      </c>
      <c r="G102" s="79"/>
      <c r="H102" s="79"/>
      <c r="I102" s="79"/>
      <c r="J102" s="79"/>
      <c r="K102" s="79"/>
      <c r="L102" s="79"/>
      <c r="M102" s="79"/>
      <c r="N102" s="79"/>
      <c r="O102" s="79"/>
      <c r="P102" s="79"/>
    </row>
    <row r="103" spans="1:16" s="112" customFormat="1" ht="16.05" customHeight="1">
      <c r="A103" s="111" t="s">
        <v>333</v>
      </c>
      <c r="B103" s="111">
        <v>1</v>
      </c>
      <c r="C103" s="111" t="s">
        <v>375</v>
      </c>
      <c r="D103" s="111" t="s">
        <v>376</v>
      </c>
      <c r="E103" s="111" t="s">
        <v>377</v>
      </c>
      <c r="F103" s="113">
        <v>2.3999999999999998E-3</v>
      </c>
      <c r="G103" s="79"/>
      <c r="H103" s="79"/>
      <c r="I103" s="79"/>
      <c r="J103" s="79"/>
      <c r="K103" s="79"/>
      <c r="L103" s="79"/>
      <c r="M103" s="79"/>
      <c r="N103" s="79"/>
      <c r="O103" s="79"/>
      <c r="P103" s="79"/>
    </row>
    <row r="104" spans="1:16" s="112" customFormat="1" ht="16.05" customHeight="1">
      <c r="A104" s="111" t="s">
        <v>333</v>
      </c>
      <c r="B104" s="111">
        <v>1</v>
      </c>
      <c r="C104" s="111" t="s">
        <v>378</v>
      </c>
      <c r="D104" s="111" t="s">
        <v>371</v>
      </c>
      <c r="E104" s="111" t="s">
        <v>380</v>
      </c>
      <c r="F104" s="113">
        <v>6.8999999999999999E-3</v>
      </c>
      <c r="G104" s="79"/>
      <c r="H104" s="79"/>
      <c r="I104" s="79"/>
      <c r="J104" s="79"/>
      <c r="K104" s="79"/>
      <c r="L104" s="79"/>
      <c r="M104" s="79"/>
      <c r="N104" s="79"/>
      <c r="O104" s="79"/>
      <c r="P104" s="79"/>
    </row>
    <row r="105" spans="1:16" s="112" customFormat="1" ht="16.05" customHeight="1">
      <c r="A105" s="111" t="s">
        <v>333</v>
      </c>
      <c r="B105" s="111">
        <v>1</v>
      </c>
      <c r="C105" s="111" t="s">
        <v>386</v>
      </c>
      <c r="D105" s="111" t="s">
        <v>371</v>
      </c>
      <c r="E105" s="111" t="s">
        <v>387</v>
      </c>
      <c r="F105" s="113">
        <v>4.6999999999999993E-3</v>
      </c>
      <c r="G105" s="79"/>
      <c r="H105" s="79"/>
      <c r="I105" s="79"/>
      <c r="J105" s="79"/>
      <c r="K105" s="79"/>
      <c r="L105" s="79"/>
      <c r="M105" s="79"/>
      <c r="N105" s="79"/>
      <c r="O105" s="79"/>
      <c r="P105" s="79"/>
    </row>
    <row r="106" spans="1:16" s="112" customFormat="1" ht="16.05" customHeight="1">
      <c r="A106" s="111" t="s">
        <v>333</v>
      </c>
      <c r="B106" s="111">
        <v>1</v>
      </c>
      <c r="C106" s="111" t="s">
        <v>393</v>
      </c>
      <c r="D106" s="111" t="s">
        <v>324</v>
      </c>
      <c r="E106" s="111" t="s">
        <v>394</v>
      </c>
      <c r="F106" s="113">
        <v>5.4299999999999987E-2</v>
      </c>
      <c r="G106" s="79"/>
      <c r="H106" s="79"/>
      <c r="I106" s="79"/>
      <c r="J106" s="79"/>
      <c r="K106" s="79"/>
      <c r="L106" s="79"/>
      <c r="M106" s="79"/>
      <c r="N106" s="79"/>
      <c r="O106" s="79"/>
      <c r="P106" s="79"/>
    </row>
    <row r="107" spans="1:16" s="112" customFormat="1" ht="16.05" customHeight="1">
      <c r="A107" s="111" t="s">
        <v>333</v>
      </c>
      <c r="B107" s="111">
        <v>1</v>
      </c>
      <c r="C107" s="111" t="s">
        <v>390</v>
      </c>
      <c r="D107" s="111" t="s">
        <v>324</v>
      </c>
      <c r="E107" s="111" t="s">
        <v>391</v>
      </c>
      <c r="F107" s="113">
        <v>5.3E-3</v>
      </c>
      <c r="G107" s="79"/>
      <c r="H107" s="79"/>
      <c r="I107" s="79"/>
      <c r="J107" s="79"/>
      <c r="K107" s="79"/>
      <c r="L107" s="79"/>
      <c r="M107" s="79"/>
      <c r="N107" s="79"/>
      <c r="O107" s="79"/>
      <c r="P107" s="79"/>
    </row>
    <row r="108" spans="1:16" s="112" customFormat="1" ht="16.05" customHeight="1">
      <c r="A108" s="111" t="s">
        <v>334</v>
      </c>
      <c r="B108" s="111">
        <v>1</v>
      </c>
      <c r="C108" s="111" t="s">
        <v>370</v>
      </c>
      <c r="D108" s="111" t="s">
        <v>371</v>
      </c>
      <c r="E108" s="111" t="s">
        <v>372</v>
      </c>
      <c r="F108" s="113">
        <v>3.5000000000000001E-3</v>
      </c>
      <c r="G108" s="79"/>
      <c r="H108" s="79"/>
      <c r="I108" s="79"/>
      <c r="J108" s="79"/>
      <c r="K108" s="79"/>
      <c r="L108" s="79"/>
      <c r="M108" s="79"/>
      <c r="N108" s="79"/>
      <c r="O108" s="79"/>
      <c r="P108" s="79"/>
    </row>
    <row r="109" spans="1:16" s="112" customFormat="1" ht="16.05" customHeight="1">
      <c r="A109" s="111" t="s">
        <v>334</v>
      </c>
      <c r="B109" s="111">
        <v>1</v>
      </c>
      <c r="C109" s="111" t="s">
        <v>373</v>
      </c>
      <c r="D109" s="111" t="s">
        <v>324</v>
      </c>
      <c r="E109" s="111" t="s">
        <v>374</v>
      </c>
      <c r="F109" s="113">
        <v>5.8999999999999999E-3</v>
      </c>
      <c r="G109" s="79"/>
      <c r="H109" s="79"/>
      <c r="I109" s="79"/>
      <c r="J109" s="79"/>
      <c r="K109" s="79"/>
      <c r="L109" s="79"/>
      <c r="M109" s="79"/>
      <c r="N109" s="79"/>
      <c r="O109" s="79"/>
      <c r="P109" s="79"/>
    </row>
    <row r="110" spans="1:16" s="112" customFormat="1" ht="16.05" customHeight="1">
      <c r="A110" s="111" t="s">
        <v>334</v>
      </c>
      <c r="B110" s="111">
        <v>1</v>
      </c>
      <c r="C110" s="111" t="s">
        <v>375</v>
      </c>
      <c r="D110" s="111" t="s">
        <v>376</v>
      </c>
      <c r="E110" s="111" t="s">
        <v>377</v>
      </c>
      <c r="F110" s="113">
        <v>1E-3</v>
      </c>
      <c r="G110" s="79"/>
      <c r="H110" s="79"/>
      <c r="I110" s="79"/>
      <c r="J110" s="79"/>
      <c r="K110" s="79"/>
      <c r="L110" s="79"/>
      <c r="M110" s="79"/>
      <c r="N110" s="79"/>
      <c r="O110" s="79"/>
      <c r="P110" s="79"/>
    </row>
    <row r="111" spans="1:16" s="112" customFormat="1" ht="16.05" customHeight="1">
      <c r="A111" s="111" t="s">
        <v>334</v>
      </c>
      <c r="B111" s="111">
        <v>1</v>
      </c>
      <c r="C111" s="111" t="s">
        <v>378</v>
      </c>
      <c r="D111" s="111" t="s">
        <v>371</v>
      </c>
      <c r="E111" s="111" t="s">
        <v>379</v>
      </c>
      <c r="F111" s="113">
        <v>5.8999999999999999E-3</v>
      </c>
      <c r="G111" s="79"/>
      <c r="H111" s="79"/>
      <c r="I111" s="79"/>
      <c r="J111" s="79"/>
      <c r="K111" s="79"/>
      <c r="L111" s="79"/>
      <c r="M111" s="79"/>
      <c r="N111" s="79"/>
      <c r="O111" s="79"/>
      <c r="P111" s="79"/>
    </row>
    <row r="112" spans="1:16" s="112" customFormat="1" ht="16.05" customHeight="1">
      <c r="A112" s="111" t="s">
        <v>334</v>
      </c>
      <c r="B112" s="111">
        <v>1</v>
      </c>
      <c r="C112" s="111" t="s">
        <v>378</v>
      </c>
      <c r="D112" s="111" t="s">
        <v>371</v>
      </c>
      <c r="E112" s="111" t="s">
        <v>380</v>
      </c>
      <c r="F112" s="113">
        <v>2.3E-3</v>
      </c>
      <c r="G112" s="79"/>
      <c r="H112" s="79"/>
      <c r="I112" s="79"/>
      <c r="J112" s="79"/>
      <c r="K112" s="79"/>
      <c r="L112" s="79"/>
      <c r="M112" s="79"/>
      <c r="N112" s="79"/>
      <c r="O112" s="79"/>
      <c r="P112" s="79"/>
    </row>
    <row r="113" spans="1:16" s="112" customFormat="1" ht="16.05" customHeight="1">
      <c r="A113" s="111" t="s">
        <v>334</v>
      </c>
      <c r="B113" s="111">
        <v>1</v>
      </c>
      <c r="C113" s="111" t="s">
        <v>386</v>
      </c>
      <c r="D113" s="111" t="s">
        <v>371</v>
      </c>
      <c r="E113" s="111" t="s">
        <v>387</v>
      </c>
      <c r="F113" s="113">
        <v>6.0000000000000001E-3</v>
      </c>
      <c r="G113" s="79"/>
      <c r="H113" s="79"/>
      <c r="I113" s="79"/>
      <c r="J113" s="79"/>
      <c r="K113" s="79"/>
      <c r="L113" s="79"/>
      <c r="M113" s="79"/>
      <c r="N113" s="79"/>
      <c r="O113" s="79"/>
      <c r="P113" s="79"/>
    </row>
    <row r="114" spans="1:16" s="112" customFormat="1" ht="16.05" customHeight="1">
      <c r="A114" s="111" t="s">
        <v>334</v>
      </c>
      <c r="B114" s="111">
        <v>1</v>
      </c>
      <c r="C114" s="111" t="s">
        <v>393</v>
      </c>
      <c r="D114" s="111" t="s">
        <v>324</v>
      </c>
      <c r="E114" s="111" t="s">
        <v>394</v>
      </c>
      <c r="F114" s="113">
        <v>5.3699999999999998E-2</v>
      </c>
      <c r="G114" s="79"/>
      <c r="H114" s="79"/>
      <c r="I114" s="79"/>
      <c r="J114" s="79"/>
      <c r="K114" s="79"/>
      <c r="L114" s="79"/>
      <c r="M114" s="79"/>
      <c r="N114" s="79"/>
      <c r="O114" s="79"/>
      <c r="P114" s="79"/>
    </row>
    <row r="115" spans="1:16" s="112" customFormat="1" ht="16.05" customHeight="1">
      <c r="A115" s="111" t="s">
        <v>334</v>
      </c>
      <c r="B115" s="111">
        <v>1</v>
      </c>
      <c r="C115" s="111" t="s">
        <v>390</v>
      </c>
      <c r="D115" s="111" t="s">
        <v>324</v>
      </c>
      <c r="E115" s="111" t="s">
        <v>391</v>
      </c>
      <c r="F115" s="113">
        <v>3.8E-3</v>
      </c>
      <c r="G115" s="79"/>
      <c r="H115" s="79"/>
      <c r="I115" s="79"/>
      <c r="J115" s="79"/>
      <c r="K115" s="79"/>
      <c r="L115" s="79"/>
      <c r="M115" s="79"/>
      <c r="N115" s="79"/>
      <c r="O115" s="79"/>
      <c r="P115" s="79"/>
    </row>
    <row r="116" spans="1:16" s="112" customFormat="1" ht="16.05" customHeight="1">
      <c r="A116" s="111" t="s">
        <v>395</v>
      </c>
      <c r="B116" s="111">
        <v>0.1</v>
      </c>
      <c r="C116" s="111" t="s">
        <v>393</v>
      </c>
      <c r="D116" s="111" t="s">
        <v>324</v>
      </c>
      <c r="E116" s="111" t="s">
        <v>394</v>
      </c>
      <c r="F116" s="113">
        <v>5.8500000000000003E-2</v>
      </c>
      <c r="G116" s="79"/>
      <c r="H116" s="79"/>
      <c r="I116" s="79"/>
      <c r="J116" s="79"/>
      <c r="K116" s="79"/>
      <c r="L116" s="79"/>
      <c r="M116" s="79"/>
      <c r="N116" s="79"/>
      <c r="O116" s="79"/>
      <c r="P116" s="79"/>
    </row>
    <row r="117" spans="1:16" s="112" customFormat="1" ht="16.05" customHeight="1">
      <c r="A117" s="111" t="s">
        <v>336</v>
      </c>
      <c r="B117" s="111">
        <v>0.1</v>
      </c>
      <c r="C117" s="111" t="s">
        <v>393</v>
      </c>
      <c r="D117" s="111" t="s">
        <v>324</v>
      </c>
      <c r="E117" s="111" t="s">
        <v>394</v>
      </c>
      <c r="F117" s="113">
        <v>5.3199999999999997E-2</v>
      </c>
      <c r="G117" s="79"/>
      <c r="H117" s="79"/>
      <c r="I117" s="79"/>
      <c r="J117" s="79"/>
      <c r="K117" s="79"/>
      <c r="L117" s="79"/>
      <c r="M117" s="79"/>
      <c r="N117" s="79"/>
      <c r="O117" s="79"/>
      <c r="P117" s="79"/>
    </row>
    <row r="118" spans="1:16" s="112" customFormat="1" ht="16.05" customHeight="1">
      <c r="A118" s="111" t="s">
        <v>337</v>
      </c>
      <c r="B118" s="111">
        <v>0.05</v>
      </c>
      <c r="C118" s="111" t="s">
        <v>393</v>
      </c>
      <c r="D118" s="111" t="s">
        <v>324</v>
      </c>
      <c r="E118" s="111" t="s">
        <v>394</v>
      </c>
      <c r="F118" s="113">
        <v>5.1999999999999998E-2</v>
      </c>
      <c r="G118" s="79"/>
      <c r="H118" s="79"/>
      <c r="I118" s="79"/>
      <c r="J118" s="79"/>
      <c r="K118" s="79"/>
      <c r="L118" s="79"/>
      <c r="M118" s="79"/>
      <c r="N118" s="79"/>
      <c r="O118" s="79"/>
      <c r="P118" s="79"/>
    </row>
    <row r="119" spans="1:16" s="112" customFormat="1" ht="16.05" customHeight="1">
      <c r="A119" s="111" t="s">
        <v>338</v>
      </c>
      <c r="B119" s="111">
        <v>0.05</v>
      </c>
      <c r="C119" s="111" t="s">
        <v>393</v>
      </c>
      <c r="D119" s="111" t="s">
        <v>324</v>
      </c>
      <c r="E119" s="111" t="s">
        <v>394</v>
      </c>
      <c r="F119" s="113">
        <v>5.3199999999999997E-2</v>
      </c>
      <c r="G119" s="79"/>
      <c r="H119" s="79"/>
      <c r="I119" s="79"/>
      <c r="J119" s="79"/>
      <c r="K119" s="79"/>
      <c r="L119" s="79"/>
      <c r="M119" s="79"/>
      <c r="N119" s="79"/>
      <c r="O119" s="79"/>
      <c r="P119" s="79"/>
    </row>
    <row r="120" spans="1:16" s="112" customFormat="1" ht="16.05" customHeight="1">
      <c r="A120" s="111" t="s">
        <v>339</v>
      </c>
      <c r="B120" s="111">
        <v>0.01</v>
      </c>
      <c r="C120" s="111" t="s">
        <v>393</v>
      </c>
      <c r="D120" s="111" t="s">
        <v>324</v>
      </c>
      <c r="E120" s="111" t="s">
        <v>394</v>
      </c>
      <c r="F120" s="113">
        <v>5.4699999999999999E-2</v>
      </c>
      <c r="G120" s="79"/>
      <c r="H120" s="79"/>
      <c r="I120" s="79"/>
      <c r="J120" s="79"/>
      <c r="K120" s="79"/>
      <c r="L120" s="79"/>
      <c r="M120" s="79"/>
      <c r="N120" s="79"/>
      <c r="O120" s="79"/>
      <c r="P120" s="79"/>
    </row>
    <row r="121" spans="1:16" s="112" customFormat="1" ht="16.05" customHeight="1">
      <c r="A121" s="111" t="s">
        <v>340</v>
      </c>
      <c r="B121" s="111">
        <v>0.01</v>
      </c>
      <c r="C121" s="111" t="s">
        <v>393</v>
      </c>
      <c r="D121" s="111" t="s">
        <v>324</v>
      </c>
      <c r="E121" s="111" t="s">
        <v>394</v>
      </c>
      <c r="F121" s="113">
        <v>6.2199999999999998E-2</v>
      </c>
      <c r="G121" s="79"/>
      <c r="H121" s="79"/>
      <c r="I121" s="79"/>
      <c r="J121" s="79"/>
      <c r="K121" s="79"/>
      <c r="L121" s="79"/>
      <c r="M121" s="79"/>
      <c r="N121" s="79"/>
      <c r="O121" s="79"/>
      <c r="P121" s="79"/>
    </row>
    <row r="122" spans="1:16" s="112" customFormat="1" ht="16.05" customHeight="1">
      <c r="A122" s="111" t="s">
        <v>343</v>
      </c>
      <c r="B122" s="111">
        <v>100</v>
      </c>
      <c r="C122" s="111" t="s">
        <v>381</v>
      </c>
      <c r="D122" s="111" t="s">
        <v>376</v>
      </c>
      <c r="E122" s="111" t="s">
        <v>396</v>
      </c>
      <c r="F122" s="113" t="s">
        <v>397</v>
      </c>
      <c r="G122" s="79"/>
      <c r="H122" s="79"/>
      <c r="I122" s="79"/>
      <c r="J122" s="79"/>
      <c r="K122" s="79"/>
      <c r="L122" s="79"/>
      <c r="M122" s="79"/>
      <c r="N122" s="79"/>
      <c r="O122" s="79"/>
      <c r="P122" s="79"/>
    </row>
    <row r="123" spans="1:16" s="112" customFormat="1" ht="16.05" customHeight="1">
      <c r="A123" s="111" t="s">
        <v>350</v>
      </c>
      <c r="B123" s="111">
        <v>100</v>
      </c>
      <c r="C123" s="111" t="s">
        <v>381</v>
      </c>
      <c r="D123" s="111" t="s">
        <v>376</v>
      </c>
      <c r="E123" s="111" t="s">
        <v>396</v>
      </c>
      <c r="F123" s="113" t="s">
        <v>397</v>
      </c>
      <c r="G123" s="79"/>
      <c r="H123" s="79"/>
      <c r="I123" s="79"/>
      <c r="J123" s="79"/>
      <c r="K123" s="79"/>
      <c r="L123" s="79"/>
      <c r="M123" s="79"/>
      <c r="N123" s="79"/>
      <c r="O123" s="79"/>
      <c r="P123" s="79"/>
    </row>
    <row r="124" spans="1:16" s="112" customFormat="1" ht="16.05" customHeight="1">
      <c r="A124" s="111" t="s">
        <v>351</v>
      </c>
      <c r="B124" s="111">
        <v>10</v>
      </c>
      <c r="C124" s="111" t="s">
        <v>381</v>
      </c>
      <c r="D124" s="111" t="s">
        <v>376</v>
      </c>
      <c r="E124" s="111" t="s">
        <v>396</v>
      </c>
      <c r="F124" s="113">
        <v>3.0300000000000001E-2</v>
      </c>
      <c r="G124" s="79"/>
      <c r="H124" s="79"/>
      <c r="I124" s="79"/>
      <c r="J124" s="79"/>
      <c r="K124" s="79"/>
      <c r="L124" s="79"/>
      <c r="M124" s="79"/>
      <c r="N124" s="79"/>
      <c r="O124" s="79"/>
      <c r="P124" s="79"/>
    </row>
    <row r="125" spans="1:16" s="112" customFormat="1" ht="16.05" customHeight="1">
      <c r="A125" s="111" t="s">
        <v>351</v>
      </c>
      <c r="B125" s="111">
        <v>10</v>
      </c>
      <c r="C125" s="111" t="s">
        <v>393</v>
      </c>
      <c r="D125" s="111" t="s">
        <v>324</v>
      </c>
      <c r="E125" s="111" t="s">
        <v>394</v>
      </c>
      <c r="F125" s="113">
        <v>5.9299999999999999E-2</v>
      </c>
      <c r="G125" s="79"/>
      <c r="H125" s="79"/>
      <c r="I125" s="79"/>
      <c r="J125" s="79"/>
      <c r="K125" s="79"/>
      <c r="L125" s="79"/>
      <c r="M125" s="79"/>
      <c r="N125" s="79"/>
      <c r="O125" s="79"/>
      <c r="P125" s="79"/>
    </row>
    <row r="126" spans="1:16" s="112" customFormat="1" ht="16.05" customHeight="1">
      <c r="A126" s="111" t="s">
        <v>353</v>
      </c>
      <c r="B126" s="111">
        <v>10</v>
      </c>
      <c r="C126" s="111" t="s">
        <v>381</v>
      </c>
      <c r="D126" s="111" t="s">
        <v>376</v>
      </c>
      <c r="E126" s="111" t="s">
        <v>396</v>
      </c>
      <c r="F126" s="113">
        <v>3.73E-2</v>
      </c>
      <c r="G126" s="79"/>
      <c r="H126" s="79"/>
      <c r="I126" s="79"/>
      <c r="J126" s="79"/>
      <c r="K126" s="79"/>
      <c r="L126" s="79"/>
      <c r="M126" s="79"/>
      <c r="N126" s="79"/>
      <c r="O126" s="79"/>
      <c r="P126" s="79"/>
    </row>
    <row r="127" spans="1:16" s="112" customFormat="1" ht="16.05" customHeight="1">
      <c r="A127" s="111" t="s">
        <v>353</v>
      </c>
      <c r="B127" s="111">
        <v>10</v>
      </c>
      <c r="C127" s="111" t="s">
        <v>393</v>
      </c>
      <c r="D127" s="111" t="s">
        <v>324</v>
      </c>
      <c r="E127" s="111" t="s">
        <v>394</v>
      </c>
      <c r="F127" s="113">
        <v>5.3900000000000003E-2</v>
      </c>
      <c r="G127" s="79"/>
      <c r="H127" s="79"/>
      <c r="I127" s="79"/>
      <c r="J127" s="79"/>
      <c r="K127" s="79"/>
      <c r="L127" s="79"/>
      <c r="M127" s="79"/>
      <c r="N127" s="79"/>
      <c r="O127" s="79"/>
      <c r="P127" s="79"/>
    </row>
    <row r="128" spans="1:16" s="112" customFormat="1" ht="16.05" customHeight="1">
      <c r="A128" s="111" t="s">
        <v>354</v>
      </c>
      <c r="B128" s="111">
        <v>1</v>
      </c>
      <c r="C128" s="111" t="s">
        <v>393</v>
      </c>
      <c r="D128" s="111" t="s">
        <v>324</v>
      </c>
      <c r="E128" s="111" t="s">
        <v>394</v>
      </c>
      <c r="F128" s="113">
        <v>4.9200000000000001E-2</v>
      </c>
      <c r="G128" s="79"/>
      <c r="H128" s="79"/>
      <c r="I128" s="79"/>
      <c r="J128" s="79"/>
      <c r="K128" s="79"/>
      <c r="L128" s="79"/>
      <c r="M128" s="79"/>
      <c r="N128" s="79"/>
      <c r="O128" s="79"/>
      <c r="P128" s="79"/>
    </row>
    <row r="129" spans="1:16" s="112" customFormat="1" ht="16.05" customHeight="1">
      <c r="A129" s="111" t="s">
        <v>355</v>
      </c>
      <c r="B129" s="111">
        <v>1</v>
      </c>
      <c r="C129" s="111" t="s">
        <v>381</v>
      </c>
      <c r="D129" s="111" t="s">
        <v>376</v>
      </c>
      <c r="E129" s="111" t="s">
        <v>396</v>
      </c>
      <c r="F129" s="113">
        <v>3.8999999999999998E-3</v>
      </c>
      <c r="G129" s="79"/>
      <c r="H129" s="79"/>
      <c r="I129" s="79"/>
      <c r="J129" s="79"/>
      <c r="K129" s="79"/>
      <c r="L129" s="79"/>
      <c r="M129" s="79"/>
      <c r="N129" s="79"/>
      <c r="O129" s="79"/>
      <c r="P129" s="79"/>
    </row>
    <row r="130" spans="1:16" s="112" customFormat="1" ht="16.05" customHeight="1">
      <c r="A130" s="111" t="s">
        <v>355</v>
      </c>
      <c r="B130" s="111">
        <v>1</v>
      </c>
      <c r="C130" s="111" t="s">
        <v>393</v>
      </c>
      <c r="D130" s="111" t="s">
        <v>324</v>
      </c>
      <c r="E130" s="111" t="s">
        <v>394</v>
      </c>
      <c r="F130" s="113">
        <v>5.1900000000000002E-2</v>
      </c>
      <c r="G130" s="79"/>
      <c r="H130" s="79"/>
      <c r="I130" s="79"/>
      <c r="J130" s="79"/>
      <c r="K130" s="79"/>
      <c r="L130" s="79"/>
      <c r="M130" s="79"/>
      <c r="N130" s="79"/>
      <c r="O130" s="79"/>
      <c r="P130" s="79"/>
    </row>
    <row r="131" spans="1:16" s="112" customFormat="1" ht="16.05" customHeight="1">
      <c r="A131" s="111" t="s">
        <v>356</v>
      </c>
      <c r="B131" s="111">
        <v>0.1</v>
      </c>
      <c r="C131" s="111" t="s">
        <v>393</v>
      </c>
      <c r="D131" s="111" t="s">
        <v>324</v>
      </c>
      <c r="E131" s="111" t="s">
        <v>394</v>
      </c>
      <c r="F131" s="113">
        <v>5.5800000000000002E-2</v>
      </c>
      <c r="G131" s="79"/>
      <c r="H131" s="79"/>
      <c r="I131" s="79"/>
      <c r="J131" s="79"/>
      <c r="K131" s="79"/>
      <c r="L131" s="79"/>
      <c r="M131" s="79"/>
      <c r="N131" s="79"/>
      <c r="O131" s="79"/>
      <c r="P131" s="79"/>
    </row>
    <row r="132" spans="1:16" s="112" customFormat="1" ht="16.05" customHeight="1">
      <c r="A132" s="111" t="s">
        <v>357</v>
      </c>
      <c r="B132" s="111">
        <v>0.1</v>
      </c>
      <c r="C132" s="111" t="s">
        <v>393</v>
      </c>
      <c r="D132" s="111" t="s">
        <v>324</v>
      </c>
      <c r="E132" s="111" t="s">
        <v>394</v>
      </c>
      <c r="F132" s="113">
        <v>5.5500000000000001E-2</v>
      </c>
      <c r="G132" s="79"/>
      <c r="H132" s="79"/>
      <c r="I132" s="79"/>
      <c r="J132" s="79"/>
      <c r="K132" s="79"/>
      <c r="L132" s="79"/>
      <c r="M132" s="79"/>
      <c r="N132" s="79"/>
      <c r="O132" s="79"/>
      <c r="P132" s="79"/>
    </row>
    <row r="133" spans="1:16" s="112" customFormat="1" ht="16.05" customHeight="1">
      <c r="A133" s="111" t="s">
        <v>358</v>
      </c>
      <c r="B133" s="111">
        <v>0.05</v>
      </c>
      <c r="C133" s="111" t="s">
        <v>393</v>
      </c>
      <c r="D133" s="111" t="s">
        <v>324</v>
      </c>
      <c r="E133" s="111" t="s">
        <v>394</v>
      </c>
      <c r="F133" s="113">
        <v>5.6900000000000013E-2</v>
      </c>
      <c r="G133" s="79"/>
      <c r="H133" s="79"/>
      <c r="I133" s="79"/>
      <c r="J133" s="79"/>
      <c r="K133" s="79"/>
      <c r="L133" s="79"/>
      <c r="M133" s="79"/>
      <c r="N133" s="79"/>
      <c r="O133" s="79"/>
      <c r="P133" s="79"/>
    </row>
    <row r="134" spans="1:16" s="112" customFormat="1" ht="16.05" customHeight="1">
      <c r="A134" s="111" t="s">
        <v>359</v>
      </c>
      <c r="B134" s="111">
        <v>0.05</v>
      </c>
      <c r="C134" s="111" t="s">
        <v>393</v>
      </c>
      <c r="D134" s="111" t="s">
        <v>324</v>
      </c>
      <c r="E134" s="111" t="s">
        <v>394</v>
      </c>
      <c r="F134" s="113">
        <v>5.2499999999999998E-2</v>
      </c>
      <c r="G134" s="79"/>
      <c r="H134" s="79"/>
      <c r="I134" s="79"/>
      <c r="J134" s="79"/>
      <c r="K134" s="79"/>
      <c r="L134" s="79"/>
      <c r="M134" s="79"/>
      <c r="N134" s="79"/>
      <c r="O134" s="79"/>
      <c r="P134" s="79"/>
    </row>
    <row r="135" spans="1:16" s="112" customFormat="1" ht="16.05" customHeight="1">
      <c r="A135" s="111" t="s">
        <v>360</v>
      </c>
      <c r="B135" s="111">
        <v>0.01</v>
      </c>
      <c r="C135" s="111" t="s">
        <v>393</v>
      </c>
      <c r="D135" s="111" t="s">
        <v>324</v>
      </c>
      <c r="E135" s="111" t="s">
        <v>394</v>
      </c>
      <c r="F135" s="113">
        <v>5.7500000000000002E-2</v>
      </c>
      <c r="G135" s="79"/>
      <c r="H135" s="79"/>
      <c r="I135" s="79"/>
      <c r="J135" s="79"/>
      <c r="K135" s="79"/>
      <c r="L135" s="79"/>
      <c r="M135" s="79"/>
      <c r="N135" s="79"/>
      <c r="O135" s="79"/>
      <c r="P135" s="79"/>
    </row>
    <row r="136" spans="1:16" s="112" customFormat="1" ht="16.05" customHeight="1">
      <c r="A136" s="111" t="s">
        <v>361</v>
      </c>
      <c r="B136" s="111">
        <v>0.01</v>
      </c>
      <c r="C136" s="111" t="s">
        <v>393</v>
      </c>
      <c r="D136" s="111" t="s">
        <v>324</v>
      </c>
      <c r="E136" s="111" t="s">
        <v>394</v>
      </c>
      <c r="F136" s="113">
        <v>6.2800000000000009E-2</v>
      </c>
      <c r="G136" s="79"/>
      <c r="H136" s="79"/>
      <c r="I136" s="79"/>
      <c r="J136" s="79"/>
      <c r="K136" s="79"/>
      <c r="L136" s="79"/>
      <c r="M136" s="79"/>
      <c r="N136" s="79"/>
      <c r="O136" s="79"/>
      <c r="P136" s="79"/>
    </row>
    <row r="137" spans="1:16" s="112" customFormat="1" ht="16.05" customHeight="1">
      <c r="A137" s="111" t="s">
        <v>341</v>
      </c>
      <c r="B137" s="111">
        <v>0</v>
      </c>
      <c r="C137" s="111" t="s">
        <v>393</v>
      </c>
      <c r="D137" s="111" t="s">
        <v>324</v>
      </c>
      <c r="E137" s="111" t="s">
        <v>394</v>
      </c>
      <c r="F137" s="113">
        <v>5.57E-2</v>
      </c>
      <c r="G137" s="79"/>
      <c r="H137" s="79"/>
      <c r="I137" s="79"/>
      <c r="J137" s="79"/>
      <c r="K137" s="79"/>
      <c r="L137" s="79"/>
      <c r="M137" s="79"/>
      <c r="N137" s="79"/>
      <c r="O137" s="79"/>
      <c r="P137" s="79"/>
    </row>
    <row r="138" spans="1:16" s="112" customFormat="1" ht="16.05" customHeight="1">
      <c r="A138" s="114" t="s">
        <v>342</v>
      </c>
      <c r="B138" s="114">
        <v>0</v>
      </c>
      <c r="C138" s="114" t="s">
        <v>393</v>
      </c>
      <c r="D138" s="114" t="s">
        <v>324</v>
      </c>
      <c r="E138" s="114" t="s">
        <v>394</v>
      </c>
      <c r="F138" s="115">
        <v>5.33E-2</v>
      </c>
      <c r="G138" s="79"/>
      <c r="H138" s="79"/>
      <c r="I138" s="79"/>
      <c r="J138" s="79"/>
      <c r="K138" s="79"/>
      <c r="L138" s="79"/>
      <c r="M138" s="79"/>
      <c r="N138" s="79"/>
      <c r="O138" s="79"/>
      <c r="P138" s="79"/>
    </row>
    <row r="139" spans="1:16" ht="16.05" customHeight="1">
      <c r="A139" s="45"/>
      <c r="B139" s="45"/>
      <c r="C139" s="45"/>
      <c r="D139" s="45"/>
      <c r="E139" s="45"/>
      <c r="F139" s="45"/>
      <c r="G139" s="45"/>
      <c r="H139" s="45"/>
      <c r="I139" s="45"/>
      <c r="J139" s="45"/>
      <c r="K139" s="45"/>
      <c r="L139" s="45"/>
      <c r="M139" s="45"/>
      <c r="N139" s="45"/>
      <c r="O139" s="45"/>
      <c r="P139" s="45"/>
    </row>
    <row r="140" spans="1:16" ht="16.05" customHeight="1">
      <c r="A140" s="116" t="s">
        <v>2031</v>
      </c>
      <c r="B140" s="99"/>
      <c r="C140" s="99"/>
      <c r="D140" s="99"/>
      <c r="E140" s="99"/>
      <c r="F140" s="99"/>
      <c r="G140" s="99"/>
      <c r="H140" s="99"/>
      <c r="I140" s="99"/>
      <c r="J140" s="45"/>
      <c r="K140" s="45"/>
      <c r="L140" s="45"/>
      <c r="M140" s="45"/>
      <c r="N140" s="45"/>
      <c r="O140" s="45"/>
      <c r="P140" s="45"/>
    </row>
    <row r="141" spans="1:16" ht="25.95" customHeight="1">
      <c r="A141" s="26" t="s">
        <v>306</v>
      </c>
      <c r="B141" s="26" t="s">
        <v>398</v>
      </c>
      <c r="C141" s="26" t="s">
        <v>399</v>
      </c>
      <c r="D141" s="26" t="s">
        <v>400</v>
      </c>
      <c r="E141" s="26" t="s">
        <v>401</v>
      </c>
      <c r="F141" s="26" t="s">
        <v>402</v>
      </c>
      <c r="G141" s="26" t="s">
        <v>114</v>
      </c>
      <c r="H141" s="26" t="s">
        <v>403</v>
      </c>
      <c r="I141" s="27" t="s">
        <v>404</v>
      </c>
      <c r="J141" s="45"/>
      <c r="K141" s="45"/>
      <c r="L141" s="45"/>
      <c r="M141" s="45"/>
      <c r="N141" s="45"/>
      <c r="O141" s="45"/>
      <c r="P141" s="45"/>
    </row>
    <row r="142" spans="1:16" ht="16.05" customHeight="1">
      <c r="A142" s="99" t="s">
        <v>322</v>
      </c>
      <c r="B142" s="99">
        <v>146968768</v>
      </c>
      <c r="C142" s="99">
        <v>108997081</v>
      </c>
      <c r="D142" s="99">
        <v>7272097</v>
      </c>
      <c r="E142" s="99">
        <v>6.7000000000000004E-2</v>
      </c>
      <c r="F142" s="99">
        <v>3095</v>
      </c>
      <c r="G142" s="99">
        <v>0.74199999999999999</v>
      </c>
      <c r="H142" s="99">
        <v>50580</v>
      </c>
      <c r="I142" s="66">
        <v>0.92800000000000005</v>
      </c>
      <c r="J142" s="45"/>
      <c r="K142" s="45"/>
      <c r="L142" s="45"/>
      <c r="M142" s="45"/>
      <c r="N142" s="45"/>
      <c r="O142" s="45"/>
      <c r="P142" s="45"/>
    </row>
    <row r="143" spans="1:16" ht="16.05" customHeight="1">
      <c r="A143" s="99" t="s">
        <v>329</v>
      </c>
      <c r="B143" s="99">
        <v>159668808</v>
      </c>
      <c r="C143" s="99">
        <v>117545382</v>
      </c>
      <c r="D143" s="99">
        <v>7692106</v>
      </c>
      <c r="E143" s="99">
        <v>6.5000000000000002E-2</v>
      </c>
      <c r="F143" s="99">
        <v>3294</v>
      </c>
      <c r="G143" s="99">
        <v>0.73599999999999999</v>
      </c>
      <c r="H143" s="99">
        <v>54683</v>
      </c>
      <c r="I143" s="66">
        <v>0.93500000000000005</v>
      </c>
      <c r="J143" s="45"/>
      <c r="K143" s="45"/>
      <c r="L143" s="45"/>
      <c r="M143" s="45"/>
      <c r="N143" s="45"/>
      <c r="O143" s="45"/>
      <c r="P143" s="45"/>
    </row>
    <row r="144" spans="1:16" ht="16.05" customHeight="1">
      <c r="A144" s="99" t="s">
        <v>330</v>
      </c>
      <c r="B144" s="99">
        <v>126170800</v>
      </c>
      <c r="C144" s="99">
        <v>93748411</v>
      </c>
      <c r="D144" s="99">
        <v>7334860</v>
      </c>
      <c r="E144" s="99">
        <v>7.8E-2</v>
      </c>
      <c r="F144" s="99">
        <v>3317</v>
      </c>
      <c r="G144" s="99">
        <v>0.74299999999999999</v>
      </c>
      <c r="H144" s="99">
        <v>43726</v>
      </c>
      <c r="I144" s="66">
        <v>0.93500000000000005</v>
      </c>
      <c r="J144" s="45"/>
      <c r="K144" s="45"/>
      <c r="L144" s="45"/>
      <c r="M144" s="45"/>
      <c r="N144" s="45"/>
      <c r="O144" s="45"/>
      <c r="P144" s="45"/>
    </row>
    <row r="145" spans="1:16" ht="16.05" customHeight="1">
      <c r="A145" s="99" t="s">
        <v>332</v>
      </c>
      <c r="B145" s="99">
        <v>152300246</v>
      </c>
      <c r="C145" s="99">
        <v>108147490</v>
      </c>
      <c r="D145" s="99">
        <v>7513779</v>
      </c>
      <c r="E145" s="99">
        <v>6.9000000000000006E-2</v>
      </c>
      <c r="F145" s="99">
        <v>3392</v>
      </c>
      <c r="G145" s="99">
        <v>0.71</v>
      </c>
      <c r="H145" s="99">
        <v>50574</v>
      </c>
      <c r="I145" s="66">
        <v>0.93200000000000005</v>
      </c>
      <c r="J145" s="45"/>
      <c r="K145" s="45"/>
      <c r="L145" s="45"/>
      <c r="M145" s="45"/>
      <c r="N145" s="45"/>
      <c r="O145" s="45"/>
      <c r="P145" s="45"/>
    </row>
    <row r="146" spans="1:16" ht="16.05" customHeight="1">
      <c r="A146" s="99" t="s">
        <v>333</v>
      </c>
      <c r="B146" s="99">
        <v>134962540</v>
      </c>
      <c r="C146" s="99">
        <v>100101433</v>
      </c>
      <c r="D146" s="99">
        <v>6532082</v>
      </c>
      <c r="E146" s="99">
        <v>6.5000000000000002E-2</v>
      </c>
      <c r="F146" s="99">
        <v>2932</v>
      </c>
      <c r="G146" s="99">
        <v>0.74199999999999999</v>
      </c>
      <c r="H146" s="99">
        <v>46544</v>
      </c>
      <c r="I146" s="66">
        <v>0.93100000000000005</v>
      </c>
      <c r="J146" s="45"/>
      <c r="K146" s="45"/>
      <c r="L146" s="45"/>
      <c r="M146" s="45"/>
      <c r="N146" s="45"/>
      <c r="O146" s="45"/>
      <c r="P146" s="45"/>
    </row>
    <row r="147" spans="1:16" ht="16.05" customHeight="1">
      <c r="A147" s="99" t="s">
        <v>334</v>
      </c>
      <c r="B147" s="99">
        <v>132976948</v>
      </c>
      <c r="C147" s="99">
        <v>98528384</v>
      </c>
      <c r="D147" s="99">
        <v>6760078</v>
      </c>
      <c r="E147" s="99">
        <v>6.9000000000000006E-2</v>
      </c>
      <c r="F147" s="99">
        <v>3052</v>
      </c>
      <c r="G147" s="99">
        <v>0.74099999999999999</v>
      </c>
      <c r="H147" s="99">
        <v>45945</v>
      </c>
      <c r="I147" s="66">
        <v>0.93400000000000005</v>
      </c>
      <c r="J147" s="45"/>
      <c r="K147" s="45"/>
      <c r="L147" s="45"/>
      <c r="M147" s="45"/>
      <c r="N147" s="45"/>
      <c r="O147" s="45"/>
      <c r="P147" s="45"/>
    </row>
    <row r="148" spans="1:16" ht="16.05" customHeight="1">
      <c r="A148" s="99" t="s">
        <v>395</v>
      </c>
      <c r="B148" s="99">
        <v>136798048</v>
      </c>
      <c r="C148" s="99">
        <v>101456470</v>
      </c>
      <c r="D148" s="99">
        <v>6184765</v>
      </c>
      <c r="E148" s="99">
        <v>6.0999999999999999E-2</v>
      </c>
      <c r="F148" s="99">
        <v>2792</v>
      </c>
      <c r="G148" s="99">
        <v>0.74199999999999999</v>
      </c>
      <c r="H148" s="99">
        <v>47053</v>
      </c>
      <c r="I148" s="66">
        <v>0.92600000000000005</v>
      </c>
      <c r="J148" s="45"/>
      <c r="K148" s="45"/>
      <c r="L148" s="45"/>
      <c r="M148" s="45"/>
      <c r="N148" s="45"/>
      <c r="O148" s="45"/>
      <c r="P148" s="45"/>
    </row>
    <row r="149" spans="1:16" ht="16.05" customHeight="1">
      <c r="A149" s="99" t="s">
        <v>336</v>
      </c>
      <c r="B149" s="99">
        <v>121102786</v>
      </c>
      <c r="C149" s="99">
        <v>87182083</v>
      </c>
      <c r="D149" s="99">
        <v>6321276</v>
      </c>
      <c r="E149" s="99">
        <v>7.2999999999999995E-2</v>
      </c>
      <c r="F149" s="99">
        <v>2849</v>
      </c>
      <c r="G149" s="99">
        <v>0.72</v>
      </c>
      <c r="H149" s="99">
        <v>40238</v>
      </c>
      <c r="I149" s="66">
        <v>0.93300000000000005</v>
      </c>
      <c r="J149" s="45"/>
      <c r="K149" s="45"/>
      <c r="L149" s="45"/>
      <c r="M149" s="45"/>
      <c r="N149" s="45"/>
      <c r="O149" s="45"/>
      <c r="P149" s="45"/>
    </row>
    <row r="150" spans="1:16" ht="16.05" customHeight="1">
      <c r="A150" s="99" t="s">
        <v>337</v>
      </c>
      <c r="B150" s="99">
        <v>129286648</v>
      </c>
      <c r="C150" s="99">
        <v>95429847</v>
      </c>
      <c r="D150" s="99">
        <v>6988937</v>
      </c>
      <c r="E150" s="99">
        <v>7.2999999999999995E-2</v>
      </c>
      <c r="F150" s="99">
        <v>3142</v>
      </c>
      <c r="G150" s="99">
        <v>0.73799999999999999</v>
      </c>
      <c r="H150" s="99">
        <v>44436</v>
      </c>
      <c r="I150" s="66">
        <v>0.93400000000000005</v>
      </c>
      <c r="J150" s="45"/>
      <c r="K150" s="45"/>
      <c r="L150" s="45"/>
      <c r="M150" s="45"/>
      <c r="N150" s="45"/>
      <c r="O150" s="45"/>
      <c r="P150" s="45"/>
    </row>
    <row r="151" spans="1:16" ht="16.05" customHeight="1">
      <c r="A151" s="99" t="s">
        <v>338</v>
      </c>
      <c r="B151" s="99">
        <v>128595512</v>
      </c>
      <c r="C151" s="99">
        <v>99344074</v>
      </c>
      <c r="D151" s="99">
        <v>6696691</v>
      </c>
      <c r="E151" s="99">
        <v>6.7000000000000004E-2</v>
      </c>
      <c r="F151" s="99">
        <v>3024</v>
      </c>
      <c r="G151" s="99">
        <v>0.77300000000000002</v>
      </c>
      <c r="H151" s="99">
        <v>46616</v>
      </c>
      <c r="I151" s="66">
        <v>0.93899999999999995</v>
      </c>
      <c r="J151" s="45"/>
      <c r="K151" s="45"/>
      <c r="L151" s="45"/>
      <c r="M151" s="45"/>
      <c r="N151" s="45"/>
      <c r="O151" s="45"/>
      <c r="P151" s="45"/>
    </row>
    <row r="152" spans="1:16" ht="16.05" customHeight="1">
      <c r="A152" s="99" t="s">
        <v>339</v>
      </c>
      <c r="B152" s="99">
        <v>127247034</v>
      </c>
      <c r="C152" s="99">
        <v>92986030</v>
      </c>
      <c r="D152" s="99">
        <v>6778569</v>
      </c>
      <c r="E152" s="99">
        <v>7.2999999999999995E-2</v>
      </c>
      <c r="F152" s="99">
        <v>3056</v>
      </c>
      <c r="G152" s="99">
        <v>0.73099999999999998</v>
      </c>
      <c r="H152" s="99">
        <v>43342</v>
      </c>
      <c r="I152" s="66">
        <v>0.93300000000000005</v>
      </c>
      <c r="J152" s="45"/>
      <c r="K152" s="45"/>
      <c r="L152" s="45"/>
      <c r="M152" s="45"/>
      <c r="N152" s="45"/>
      <c r="O152" s="45"/>
      <c r="P152" s="45"/>
    </row>
    <row r="153" spans="1:16" ht="16.05" customHeight="1">
      <c r="A153" s="99" t="s">
        <v>340</v>
      </c>
      <c r="B153" s="99">
        <v>144777692</v>
      </c>
      <c r="C153" s="99">
        <v>108344432</v>
      </c>
      <c r="D153" s="99">
        <v>6794212</v>
      </c>
      <c r="E153" s="99">
        <v>6.3E-2</v>
      </c>
      <c r="F153" s="99">
        <v>3051</v>
      </c>
      <c r="G153" s="99">
        <v>0.749</v>
      </c>
      <c r="H153" s="99">
        <v>50504</v>
      </c>
      <c r="I153" s="66">
        <v>0.93700000000000006</v>
      </c>
      <c r="J153" s="45"/>
      <c r="K153" s="45"/>
      <c r="L153" s="45"/>
      <c r="M153" s="45"/>
      <c r="N153" s="45"/>
      <c r="O153" s="45"/>
      <c r="P153" s="45"/>
    </row>
    <row r="154" spans="1:16" ht="16.05" customHeight="1">
      <c r="A154" s="99" t="s">
        <v>343</v>
      </c>
      <c r="B154" s="99">
        <v>134873322</v>
      </c>
      <c r="C154" s="99">
        <v>97333684</v>
      </c>
      <c r="D154" s="99">
        <v>4897428</v>
      </c>
      <c r="E154" s="99">
        <v>0.05</v>
      </c>
      <c r="F154" s="99">
        <v>2056</v>
      </c>
      <c r="G154" s="99">
        <v>0.72199999999999998</v>
      </c>
      <c r="H154" s="99">
        <v>42169</v>
      </c>
      <c r="I154" s="66">
        <v>0.93500000000000005</v>
      </c>
      <c r="J154" s="45"/>
      <c r="K154" s="45"/>
      <c r="L154" s="45"/>
      <c r="M154" s="45"/>
      <c r="N154" s="45"/>
      <c r="O154" s="45"/>
      <c r="P154" s="45"/>
    </row>
    <row r="155" spans="1:16" ht="16.05" customHeight="1">
      <c r="A155" s="99" t="s">
        <v>350</v>
      </c>
      <c r="B155" s="99">
        <v>162568136</v>
      </c>
      <c r="C155" s="99">
        <v>117641130</v>
      </c>
      <c r="D155" s="99">
        <v>4991601</v>
      </c>
      <c r="E155" s="99">
        <v>4.2000000000000003E-2</v>
      </c>
      <c r="F155" s="99">
        <v>2088</v>
      </c>
      <c r="G155" s="99">
        <v>0.72399999999999998</v>
      </c>
      <c r="H155" s="99">
        <v>50874</v>
      </c>
      <c r="I155" s="66">
        <v>0.92800000000000005</v>
      </c>
      <c r="J155" s="45"/>
      <c r="K155" s="45"/>
      <c r="L155" s="45"/>
      <c r="M155" s="45"/>
      <c r="N155" s="45"/>
      <c r="O155" s="45"/>
      <c r="P155" s="45"/>
    </row>
    <row r="156" spans="1:16" ht="16.05" customHeight="1">
      <c r="A156" s="99" t="s">
        <v>351</v>
      </c>
      <c r="B156" s="99">
        <v>137936514</v>
      </c>
      <c r="C156" s="99">
        <v>95968282</v>
      </c>
      <c r="D156" s="99">
        <v>5772276</v>
      </c>
      <c r="E156" s="99">
        <v>0.06</v>
      </c>
      <c r="F156" s="99">
        <v>2584</v>
      </c>
      <c r="G156" s="99">
        <v>0.69599999999999995</v>
      </c>
      <c r="H156" s="99">
        <v>43569</v>
      </c>
      <c r="I156" s="66">
        <v>0.92200000000000004</v>
      </c>
      <c r="J156" s="45"/>
      <c r="K156" s="45"/>
      <c r="L156" s="45"/>
      <c r="M156" s="45"/>
      <c r="N156" s="45"/>
      <c r="O156" s="45"/>
      <c r="P156" s="45"/>
    </row>
    <row r="157" spans="1:16" ht="16.05" customHeight="1">
      <c r="A157" s="99" t="s">
        <v>353</v>
      </c>
      <c r="B157" s="99">
        <v>145368172</v>
      </c>
      <c r="C157" s="99">
        <v>100563983</v>
      </c>
      <c r="D157" s="99">
        <v>5673515</v>
      </c>
      <c r="E157" s="99">
        <v>5.6000000000000001E-2</v>
      </c>
      <c r="F157" s="99">
        <v>2530</v>
      </c>
      <c r="G157" s="99">
        <v>0.69199999999999995</v>
      </c>
      <c r="H157" s="99">
        <v>45638</v>
      </c>
      <c r="I157" s="66">
        <v>0.92700000000000005</v>
      </c>
      <c r="J157" s="45"/>
      <c r="K157" s="45"/>
      <c r="L157" s="45"/>
      <c r="M157" s="45"/>
      <c r="N157" s="45"/>
      <c r="O157" s="45"/>
      <c r="P157" s="45"/>
    </row>
    <row r="158" spans="1:16" ht="16.05" customHeight="1">
      <c r="A158" s="99" t="s">
        <v>354</v>
      </c>
      <c r="B158" s="99">
        <v>166460428</v>
      </c>
      <c r="C158" s="99">
        <v>116625631</v>
      </c>
      <c r="D158" s="99">
        <v>6538549</v>
      </c>
      <c r="E158" s="99">
        <v>5.6000000000000001E-2</v>
      </c>
      <c r="F158" s="99">
        <v>2932</v>
      </c>
      <c r="G158" s="99">
        <v>0.70099999999999996</v>
      </c>
      <c r="H158" s="99">
        <v>53509</v>
      </c>
      <c r="I158" s="66">
        <v>0.93100000000000005</v>
      </c>
      <c r="J158" s="45"/>
      <c r="K158" s="45"/>
      <c r="L158" s="45"/>
      <c r="M158" s="45"/>
      <c r="N158" s="45"/>
      <c r="O158" s="45"/>
      <c r="P158" s="45"/>
    </row>
    <row r="159" spans="1:16" ht="16.05" customHeight="1">
      <c r="A159" s="99" t="s">
        <v>355</v>
      </c>
      <c r="B159" s="99">
        <v>137514860</v>
      </c>
      <c r="C159" s="99">
        <v>95481916</v>
      </c>
      <c r="D159" s="99">
        <v>6502883</v>
      </c>
      <c r="E159" s="99">
        <v>6.8000000000000005E-2</v>
      </c>
      <c r="F159" s="99">
        <v>2928</v>
      </c>
      <c r="G159" s="99">
        <v>0.69499999999999995</v>
      </c>
      <c r="H159" s="99">
        <v>43809</v>
      </c>
      <c r="I159" s="66">
        <v>0.93</v>
      </c>
      <c r="J159" s="45"/>
      <c r="K159" s="45"/>
      <c r="L159" s="45"/>
      <c r="M159" s="45"/>
      <c r="N159" s="45"/>
      <c r="O159" s="45"/>
      <c r="P159" s="45"/>
    </row>
    <row r="160" spans="1:16" ht="16.05" customHeight="1">
      <c r="A160" s="99" t="s">
        <v>356</v>
      </c>
      <c r="B160" s="99">
        <v>149423262</v>
      </c>
      <c r="C160" s="99">
        <v>105703172</v>
      </c>
      <c r="D160" s="99">
        <v>6082675</v>
      </c>
      <c r="E160" s="99">
        <v>5.8000000000000003E-2</v>
      </c>
      <c r="F160" s="99">
        <v>2722</v>
      </c>
      <c r="G160" s="99">
        <v>0.70799999999999996</v>
      </c>
      <c r="H160" s="99">
        <v>48447</v>
      </c>
      <c r="I160" s="66">
        <v>0.93</v>
      </c>
      <c r="J160" s="45"/>
      <c r="K160" s="45"/>
      <c r="L160" s="45"/>
      <c r="M160" s="45"/>
      <c r="N160" s="45"/>
      <c r="O160" s="45"/>
      <c r="P160" s="45"/>
    </row>
    <row r="161" spans="1:16" ht="16.05" customHeight="1">
      <c r="A161" s="99" t="s">
        <v>357</v>
      </c>
      <c r="B161" s="99">
        <v>157787404</v>
      </c>
      <c r="C161" s="99">
        <v>111378119</v>
      </c>
      <c r="D161" s="99">
        <v>6088971</v>
      </c>
      <c r="E161" s="99">
        <v>5.5E-2</v>
      </c>
      <c r="F161" s="99">
        <v>2715</v>
      </c>
      <c r="G161" s="99">
        <v>0.70599999999999996</v>
      </c>
      <c r="H161" s="99">
        <v>50980</v>
      </c>
      <c r="I161" s="66">
        <v>0.92900000000000005</v>
      </c>
      <c r="J161" s="45"/>
      <c r="K161" s="45"/>
      <c r="L161" s="45"/>
      <c r="M161" s="45"/>
      <c r="N161" s="45"/>
      <c r="O161" s="45"/>
      <c r="P161" s="45"/>
    </row>
    <row r="162" spans="1:16" ht="16.05" customHeight="1">
      <c r="A162" s="99" t="s">
        <v>358</v>
      </c>
      <c r="B162" s="99">
        <v>136825386</v>
      </c>
      <c r="C162" s="99">
        <v>95754309</v>
      </c>
      <c r="D162" s="99">
        <v>6324087</v>
      </c>
      <c r="E162" s="99">
        <v>6.6000000000000003E-2</v>
      </c>
      <c r="F162" s="99">
        <v>2830</v>
      </c>
      <c r="G162" s="99">
        <v>0.7</v>
      </c>
      <c r="H162" s="99">
        <v>43730</v>
      </c>
      <c r="I162" s="66">
        <v>0.92100000000000004</v>
      </c>
      <c r="J162" s="45"/>
      <c r="K162" s="45"/>
      <c r="L162" s="45"/>
      <c r="M162" s="45"/>
      <c r="N162" s="45"/>
      <c r="O162" s="45"/>
      <c r="P162" s="45"/>
    </row>
    <row r="163" spans="1:16" ht="16.05" customHeight="1">
      <c r="A163" s="99" t="s">
        <v>359</v>
      </c>
      <c r="B163" s="99">
        <v>136546622</v>
      </c>
      <c r="C163" s="99">
        <v>95566603</v>
      </c>
      <c r="D163" s="99">
        <v>6196243</v>
      </c>
      <c r="E163" s="99">
        <v>6.5000000000000002E-2</v>
      </c>
      <c r="F163" s="99">
        <v>2782</v>
      </c>
      <c r="G163" s="99">
        <v>0.7</v>
      </c>
      <c r="H163" s="99">
        <v>43535</v>
      </c>
      <c r="I163" s="66">
        <v>0.92900000000000005</v>
      </c>
      <c r="J163" s="45"/>
      <c r="K163" s="45"/>
      <c r="L163" s="45"/>
      <c r="M163" s="45"/>
      <c r="N163" s="45"/>
      <c r="O163" s="45"/>
      <c r="P163" s="45"/>
    </row>
    <row r="164" spans="1:16" ht="16.05" customHeight="1">
      <c r="A164" s="99" t="s">
        <v>360</v>
      </c>
      <c r="B164" s="99">
        <v>146479336</v>
      </c>
      <c r="C164" s="99">
        <v>105158609</v>
      </c>
      <c r="D164" s="99">
        <v>6492618</v>
      </c>
      <c r="E164" s="99">
        <v>6.2E-2</v>
      </c>
      <c r="F164" s="99">
        <v>2914</v>
      </c>
      <c r="G164" s="99">
        <v>0.71799999999999997</v>
      </c>
      <c r="H164" s="99">
        <v>48389</v>
      </c>
      <c r="I164" s="66">
        <v>0.93200000000000005</v>
      </c>
      <c r="J164" s="45"/>
      <c r="K164" s="45"/>
      <c r="L164" s="45"/>
      <c r="M164" s="45"/>
      <c r="N164" s="45"/>
      <c r="O164" s="45"/>
      <c r="P164" s="45"/>
    </row>
    <row r="165" spans="1:16" ht="16.05" customHeight="1">
      <c r="A165" s="99" t="s">
        <v>361</v>
      </c>
      <c r="B165" s="99">
        <v>125411426</v>
      </c>
      <c r="C165" s="99">
        <v>87995331</v>
      </c>
      <c r="D165" s="99">
        <v>6266532</v>
      </c>
      <c r="E165" s="99">
        <v>7.0999999999999994E-2</v>
      </c>
      <c r="F165" s="99">
        <v>2815</v>
      </c>
      <c r="G165" s="99">
        <v>0.70199999999999996</v>
      </c>
      <c r="H165" s="99">
        <v>40419</v>
      </c>
      <c r="I165" s="66">
        <v>0.92800000000000005</v>
      </c>
      <c r="J165" s="45"/>
      <c r="K165" s="45"/>
      <c r="L165" s="45"/>
      <c r="M165" s="45"/>
      <c r="N165" s="45"/>
      <c r="O165" s="45"/>
      <c r="P165" s="45"/>
    </row>
    <row r="166" spans="1:16" ht="16.05" customHeight="1">
      <c r="A166" s="99" t="s">
        <v>341</v>
      </c>
      <c r="B166" s="99">
        <v>132960574</v>
      </c>
      <c r="C166" s="99">
        <v>96898337</v>
      </c>
      <c r="D166" s="99">
        <v>6605082</v>
      </c>
      <c r="E166" s="99">
        <v>6.8000000000000005E-2</v>
      </c>
      <c r="F166" s="99">
        <v>2972</v>
      </c>
      <c r="G166" s="99">
        <v>0.72899999999999998</v>
      </c>
      <c r="H166" s="99">
        <v>45001</v>
      </c>
      <c r="I166" s="66">
        <v>0.93200000000000005</v>
      </c>
      <c r="J166" s="45"/>
      <c r="K166" s="45"/>
      <c r="L166" s="45"/>
      <c r="M166" s="45"/>
      <c r="N166" s="45"/>
      <c r="O166" s="45"/>
      <c r="P166" s="45"/>
    </row>
    <row r="167" spans="1:16" ht="16.05" customHeight="1">
      <c r="A167" s="117" t="s">
        <v>342</v>
      </c>
      <c r="B167" s="117">
        <v>153286688</v>
      </c>
      <c r="C167" s="117">
        <v>114155367</v>
      </c>
      <c r="D167" s="117">
        <v>6526645</v>
      </c>
      <c r="E167" s="117">
        <v>5.7000000000000002E-2</v>
      </c>
      <c r="F167" s="117">
        <v>2926</v>
      </c>
      <c r="G167" s="117">
        <v>0.745</v>
      </c>
      <c r="H167" s="117">
        <v>52912</v>
      </c>
      <c r="I167" s="78">
        <v>0.93600000000000005</v>
      </c>
      <c r="J167" s="45"/>
      <c r="K167" s="45"/>
      <c r="L167" s="45"/>
      <c r="M167" s="45"/>
      <c r="N167" s="45"/>
      <c r="O167" s="45"/>
      <c r="P167" s="45"/>
    </row>
    <row r="168" spans="1:16" ht="16.05" customHeight="1">
      <c r="A168" s="45"/>
      <c r="B168" s="45"/>
      <c r="C168" s="45"/>
      <c r="D168" s="45"/>
      <c r="E168" s="45"/>
      <c r="F168" s="45"/>
      <c r="G168" s="45"/>
      <c r="H168" s="45"/>
      <c r="I168" s="45"/>
      <c r="J168" s="45"/>
      <c r="K168" s="45"/>
      <c r="L168" s="45"/>
      <c r="M168" s="45"/>
      <c r="N168" s="45"/>
      <c r="O168" s="45"/>
      <c r="P168" s="45"/>
    </row>
    <row r="169" spans="1:16" ht="16.05" customHeight="1">
      <c r="A169" s="45"/>
      <c r="B169" s="45"/>
      <c r="C169" s="45"/>
      <c r="D169" s="45"/>
      <c r="E169" s="45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</row>
    <row r="170" spans="1:16" ht="16.05" customHeight="1">
      <c r="A170" s="45"/>
      <c r="B170" s="45"/>
      <c r="C170" s="45"/>
      <c r="D170" s="45"/>
      <c r="E170" s="45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</row>
    <row r="171" spans="1:16" ht="16.05" customHeight="1">
      <c r="A171" s="45"/>
      <c r="B171" s="45"/>
      <c r="C171" s="45"/>
      <c r="D171" s="45"/>
      <c r="E171" s="45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5"/>
    </row>
    <row r="172" spans="1:16" ht="16.05" customHeight="1">
      <c r="A172" s="45"/>
      <c r="B172" s="45"/>
      <c r="C172" s="45"/>
      <c r="D172" s="45"/>
      <c r="E172" s="45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45"/>
    </row>
    <row r="173" spans="1:16" ht="16.05" customHeight="1">
      <c r="A173" s="45"/>
      <c r="B173" s="45"/>
      <c r="C173" s="45"/>
      <c r="D173" s="45"/>
      <c r="E173" s="45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</row>
    <row r="174" spans="1:16" ht="16.05" customHeight="1">
      <c r="A174" s="45"/>
      <c r="B174" s="45"/>
      <c r="C174" s="45"/>
      <c r="D174" s="45"/>
      <c r="E174" s="45"/>
      <c r="F174" s="45"/>
      <c r="G174" s="45"/>
      <c r="H174" s="45"/>
      <c r="I174" s="45"/>
      <c r="J174" s="45"/>
      <c r="K174" s="45"/>
      <c r="L174" s="45"/>
      <c r="M174" s="45"/>
      <c r="N174" s="45"/>
      <c r="O174" s="45"/>
      <c r="P174" s="45"/>
    </row>
    <row r="175" spans="1:16" ht="16.05" customHeight="1">
      <c r="A175" s="45"/>
      <c r="B175" s="45"/>
      <c r="C175" s="45"/>
      <c r="D175" s="45"/>
      <c r="E175" s="45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</row>
    <row r="176" spans="1:16" ht="16.05" customHeight="1">
      <c r="A176" s="45"/>
      <c r="B176" s="45"/>
      <c r="C176" s="45"/>
      <c r="D176" s="45"/>
      <c r="E176" s="45"/>
      <c r="F176" s="45"/>
      <c r="G176" s="45"/>
      <c r="H176" s="45"/>
      <c r="I176" s="45"/>
      <c r="J176" s="45"/>
      <c r="K176" s="45"/>
      <c r="L176" s="45"/>
      <c r="M176" s="45"/>
      <c r="N176" s="45"/>
      <c r="O176" s="45"/>
      <c r="P176" s="45"/>
    </row>
    <row r="177" spans="1:16" ht="16.05" customHeight="1">
      <c r="A177" s="45"/>
      <c r="B177" s="45"/>
      <c r="C177" s="45"/>
      <c r="D177" s="45"/>
      <c r="E177" s="45"/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45"/>
    </row>
    <row r="178" spans="1:16" ht="16.05" customHeight="1">
      <c r="A178" s="45"/>
      <c r="B178" s="45"/>
      <c r="C178" s="45"/>
      <c r="D178" s="45"/>
      <c r="E178" s="45"/>
      <c r="F178" s="45"/>
      <c r="G178" s="45"/>
      <c r="H178" s="45"/>
      <c r="I178" s="45"/>
      <c r="J178" s="45"/>
      <c r="K178" s="45"/>
      <c r="L178" s="45"/>
      <c r="M178" s="45"/>
      <c r="N178" s="45"/>
      <c r="O178" s="45"/>
      <c r="P178" s="45"/>
    </row>
    <row r="179" spans="1:16" ht="16.05" customHeight="1">
      <c r="A179" s="45"/>
      <c r="B179" s="45"/>
      <c r="C179" s="45"/>
      <c r="D179" s="45"/>
      <c r="E179" s="45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</row>
    <row r="180" spans="1:16" ht="16.05" customHeight="1">
      <c r="A180" s="45"/>
      <c r="B180" s="45"/>
      <c r="C180" s="45"/>
      <c r="D180" s="45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</row>
    <row r="181" spans="1:16" ht="16.05" customHeight="1">
      <c r="A181" s="45"/>
      <c r="B181" s="45"/>
      <c r="C181" s="45"/>
      <c r="D181" s="45"/>
      <c r="E181" s="45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45"/>
    </row>
    <row r="182" spans="1:16" ht="16.05" customHeight="1">
      <c r="A182" s="45"/>
      <c r="B182" s="45"/>
      <c r="C182" s="45"/>
      <c r="D182" s="45"/>
      <c r="E182" s="45"/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45"/>
    </row>
    <row r="183" spans="1:16" ht="16.05" customHeight="1">
      <c r="A183" s="45"/>
      <c r="B183" s="45"/>
      <c r="C183" s="45"/>
      <c r="D183" s="45"/>
      <c r="E183" s="45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5"/>
    </row>
    <row r="184" spans="1:16" ht="16.05" customHeight="1">
      <c r="A184" s="45"/>
      <c r="B184" s="45"/>
      <c r="C184" s="45"/>
      <c r="D184" s="45"/>
      <c r="E184" s="45"/>
      <c r="F184" s="45"/>
      <c r="G184" s="45"/>
      <c r="H184" s="45"/>
      <c r="I184" s="45"/>
      <c r="J184" s="45"/>
      <c r="K184" s="45"/>
      <c r="L184" s="45"/>
      <c r="M184" s="45"/>
      <c r="N184" s="45"/>
      <c r="O184" s="45"/>
      <c r="P184" s="45"/>
    </row>
    <row r="185" spans="1:16" ht="16.05" customHeight="1">
      <c r="A185" s="45"/>
      <c r="B185" s="45"/>
      <c r="C185" s="45"/>
      <c r="D185" s="45"/>
      <c r="E185" s="45"/>
      <c r="F185" s="45"/>
      <c r="G185" s="45"/>
      <c r="H185" s="45"/>
      <c r="I185" s="45"/>
      <c r="J185" s="45"/>
      <c r="K185" s="45"/>
      <c r="L185" s="45"/>
      <c r="M185" s="45"/>
      <c r="N185" s="45"/>
      <c r="O185" s="45"/>
      <c r="P185" s="45"/>
    </row>
    <row r="186" spans="1:16" ht="16.05" customHeight="1">
      <c r="A186" s="45"/>
      <c r="B186" s="45"/>
      <c r="C186" s="45"/>
      <c r="D186" s="45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</row>
    <row r="187" spans="1:16" ht="16.05" customHeight="1">
      <c r="A187" s="45"/>
      <c r="B187" s="45"/>
      <c r="C187" s="45"/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</row>
    <row r="188" spans="1:16" ht="16.05" customHeight="1">
      <c r="A188" s="45"/>
      <c r="B188" s="45"/>
      <c r="C188" s="45"/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</row>
    <row r="189" spans="1:16" ht="16.05" customHeight="1">
      <c r="A189" s="45"/>
      <c r="B189" s="45"/>
      <c r="C189" s="45"/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</row>
    <row r="190" spans="1:16" ht="16.05" customHeight="1">
      <c r="A190" s="45"/>
      <c r="B190" s="45"/>
      <c r="C190" s="45"/>
      <c r="D190" s="45"/>
      <c r="E190" s="45"/>
      <c r="F190" s="45"/>
      <c r="G190" s="45"/>
      <c r="H190" s="45"/>
      <c r="I190" s="45"/>
      <c r="J190" s="45"/>
      <c r="K190" s="45"/>
      <c r="L190" s="45"/>
      <c r="M190" s="45"/>
      <c r="N190" s="45"/>
      <c r="O190" s="45"/>
      <c r="P190" s="45"/>
    </row>
    <row r="191" spans="1:16" ht="16.05" customHeight="1">
      <c r="A191" s="45"/>
      <c r="B191" s="45"/>
      <c r="C191" s="45"/>
      <c r="D191" s="45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</row>
    <row r="192" spans="1:16" ht="16.05" customHeight="1">
      <c r="A192" s="45"/>
      <c r="B192" s="45"/>
      <c r="C192" s="45"/>
      <c r="D192" s="45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</row>
    <row r="193" spans="1:16" ht="16.05" customHeight="1">
      <c r="A193" s="45"/>
      <c r="B193" s="45"/>
      <c r="C193" s="45"/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</row>
    <row r="194" spans="1:16" ht="16.05" customHeight="1">
      <c r="A194" s="45"/>
      <c r="B194" s="45"/>
      <c r="C194" s="45"/>
      <c r="D194" s="45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</row>
    <row r="195" spans="1:16" ht="16.05" customHeight="1">
      <c r="A195" s="45"/>
      <c r="B195" s="45"/>
      <c r="C195" s="45"/>
      <c r="D195" s="45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</row>
    <row r="196" spans="1:16" ht="16.05" customHeight="1">
      <c r="A196" s="45"/>
      <c r="B196" s="45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</row>
    <row r="197" spans="1:16" ht="16.05" customHeight="1">
      <c r="A197" s="45"/>
      <c r="B197" s="45"/>
      <c r="C197" s="45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</row>
    <row r="198" spans="1:16" ht="16.05" customHeight="1">
      <c r="A198" s="45"/>
      <c r="B198" s="45"/>
      <c r="C198" s="45"/>
      <c r="D198" s="45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</row>
    <row r="199" spans="1:16" ht="16.05" customHeight="1">
      <c r="A199" s="45"/>
      <c r="B199" s="45"/>
      <c r="C199" s="45"/>
      <c r="D199" s="45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</row>
    <row r="200" spans="1:16" ht="16.05" customHeight="1">
      <c r="A200" s="45"/>
      <c r="B200" s="45"/>
      <c r="C200" s="45"/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</row>
    <row r="201" spans="1:16" ht="16.05" customHeight="1">
      <c r="A201" s="45"/>
      <c r="B201" s="45"/>
      <c r="C201" s="45"/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</row>
    <row r="202" spans="1:16" ht="16.05" customHeight="1">
      <c r="A202" s="45"/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</row>
    <row r="203" spans="1:16" ht="16.05" customHeight="1">
      <c r="A203" s="45"/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</row>
    <row r="204" spans="1:16" ht="16.05" customHeight="1">
      <c r="A204" s="45"/>
      <c r="B204" s="45"/>
      <c r="C204" s="45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</row>
    <row r="205" spans="1:16" ht="16.05" customHeight="1">
      <c r="A205" s="45"/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</row>
    <row r="206" spans="1:16" ht="16.05" customHeight="1">
      <c r="A206" s="45"/>
      <c r="B206" s="45"/>
      <c r="C206" s="45"/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</row>
    <row r="207" spans="1:16" ht="16.05" customHeight="1">
      <c r="A207" s="45"/>
      <c r="B207" s="45"/>
      <c r="C207" s="45"/>
      <c r="D207" s="45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</row>
    <row r="208" spans="1:16" ht="16.05" customHeight="1">
      <c r="A208" s="45"/>
      <c r="B208" s="45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</row>
    <row r="209" spans="1:16" ht="16.05" customHeight="1">
      <c r="A209" s="45"/>
      <c r="B209" s="45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</row>
    <row r="210" spans="1:16" ht="16.05" customHeight="1">
      <c r="A210" s="45"/>
      <c r="B210" s="45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</row>
    <row r="211" spans="1:16" ht="16.05" customHeight="1">
      <c r="A211" s="45"/>
      <c r="B211" s="45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</row>
    <row r="212" spans="1:16" ht="16.05" customHeight="1">
      <c r="A212" s="45"/>
      <c r="B212" s="45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</row>
    <row r="213" spans="1:16" ht="16.05" customHeight="1">
      <c r="A213" s="45"/>
      <c r="B213" s="45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</row>
    <row r="214" spans="1:16" ht="16.05" customHeight="1">
      <c r="A214" s="45"/>
      <c r="B214" s="45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</row>
    <row r="215" spans="1:16" ht="16.05" customHeight="1">
      <c r="A215" s="45"/>
      <c r="B215" s="45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</row>
    <row r="216" spans="1:16" ht="16.05" customHeight="1">
      <c r="A216" s="45"/>
      <c r="B216" s="45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</row>
    <row r="217" spans="1:16" ht="16.05" customHeight="1">
      <c r="A217" s="45"/>
      <c r="B217" s="45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</row>
    <row r="218" spans="1:16" ht="16.05" customHeight="1">
      <c r="A218" s="45"/>
      <c r="B218" s="45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</row>
    <row r="219" spans="1:16" ht="16.05" customHeight="1">
      <c r="A219" s="45"/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</row>
    <row r="220" spans="1:16" ht="16.05" customHeight="1">
      <c r="A220" s="45"/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</row>
    <row r="221" spans="1:16" ht="16.05" customHeight="1">
      <c r="A221" s="45"/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</row>
    <row r="222" spans="1:16" ht="16.05" customHeight="1">
      <c r="A222" s="45"/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</row>
    <row r="223" spans="1:16" ht="16.05" customHeight="1">
      <c r="A223" s="45"/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</row>
    <row r="224" spans="1:16" ht="16.05" customHeight="1">
      <c r="A224" s="45"/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</row>
    <row r="225" spans="1:16" ht="16.05" customHeight="1">
      <c r="A225" s="45"/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</row>
    <row r="226" spans="1:16" ht="16.05" customHeight="1">
      <c r="A226" s="45"/>
      <c r="B226" s="45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</row>
    <row r="227" spans="1:16" ht="16.05" customHeight="1">
      <c r="A227" s="45"/>
      <c r="B227" s="45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</row>
    <row r="228" spans="1:16" ht="16.05" customHeight="1">
      <c r="A228" s="45"/>
      <c r="B228" s="45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</row>
    <row r="229" spans="1:16" ht="16.05" customHeight="1">
      <c r="A229" s="45"/>
      <c r="B229" s="45"/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</row>
    <row r="230" spans="1:16" ht="16.05" customHeight="1">
      <c r="A230" s="45"/>
      <c r="B230" s="45"/>
      <c r="C230" s="45"/>
      <c r="D230" s="45"/>
      <c r="E230" s="45"/>
      <c r="F230" s="45"/>
      <c r="G230" s="45"/>
      <c r="H230" s="45"/>
      <c r="I230" s="45"/>
      <c r="J230" s="45"/>
      <c r="K230" s="45"/>
      <c r="L230" s="45"/>
      <c r="M230" s="45"/>
      <c r="N230" s="45"/>
      <c r="O230" s="45"/>
      <c r="P230" s="45"/>
    </row>
    <row r="231" spans="1:16" ht="16.05" customHeight="1">
      <c r="A231" s="45"/>
      <c r="B231" s="45"/>
      <c r="C231" s="45"/>
      <c r="D231" s="45"/>
      <c r="E231" s="45"/>
      <c r="F231" s="45"/>
      <c r="G231" s="45"/>
      <c r="H231" s="45"/>
      <c r="I231" s="45"/>
      <c r="J231" s="45"/>
      <c r="K231" s="45"/>
      <c r="L231" s="45"/>
      <c r="M231" s="45"/>
      <c r="N231" s="45"/>
      <c r="O231" s="45"/>
      <c r="P231" s="45"/>
    </row>
    <row r="232" spans="1:16" ht="16.05" customHeight="1">
      <c r="A232" s="45"/>
      <c r="B232" s="45"/>
      <c r="C232" s="45"/>
      <c r="D232" s="45"/>
      <c r="E232" s="45"/>
      <c r="F232" s="45"/>
      <c r="G232" s="45"/>
      <c r="H232" s="45"/>
      <c r="I232" s="45"/>
      <c r="J232" s="45"/>
      <c r="K232" s="45"/>
      <c r="L232" s="45"/>
      <c r="M232" s="45"/>
      <c r="N232" s="45"/>
      <c r="O232" s="45"/>
      <c r="P232" s="45"/>
    </row>
    <row r="233" spans="1:16" ht="16.05" customHeight="1">
      <c r="A233" s="45"/>
      <c r="B233" s="45"/>
      <c r="C233" s="45"/>
      <c r="D233" s="45"/>
      <c r="E233" s="45"/>
      <c r="F233" s="45"/>
      <c r="G233" s="45"/>
      <c r="H233" s="45"/>
      <c r="I233" s="45"/>
      <c r="J233" s="45"/>
      <c r="K233" s="45"/>
      <c r="L233" s="45"/>
      <c r="M233" s="45"/>
      <c r="N233" s="45"/>
      <c r="O233" s="45"/>
      <c r="P233" s="45"/>
    </row>
    <row r="234" spans="1:16" ht="16.05" customHeight="1">
      <c r="A234" s="45"/>
      <c r="B234" s="45"/>
      <c r="C234" s="45"/>
      <c r="D234" s="45"/>
      <c r="E234" s="45"/>
      <c r="F234" s="45"/>
      <c r="G234" s="45"/>
      <c r="H234" s="45"/>
      <c r="I234" s="45"/>
      <c r="J234" s="45"/>
      <c r="K234" s="45"/>
      <c r="L234" s="45"/>
      <c r="M234" s="45"/>
      <c r="N234" s="45"/>
      <c r="O234" s="45"/>
      <c r="P234" s="45"/>
    </row>
    <row r="235" spans="1:16" ht="16.05" customHeight="1">
      <c r="A235" s="45"/>
      <c r="B235" s="45"/>
      <c r="C235" s="45"/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</row>
    <row r="236" spans="1:16" ht="16.05" customHeight="1">
      <c r="A236" s="45"/>
      <c r="B236" s="45"/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</row>
    <row r="237" spans="1:16" ht="16.05" customHeight="1">
      <c r="A237" s="45"/>
      <c r="B237" s="45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</row>
    <row r="238" spans="1:16" ht="16.05" customHeight="1">
      <c r="A238" s="45"/>
      <c r="B238" s="45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</row>
    <row r="239" spans="1:16" ht="16.05" customHeight="1">
      <c r="A239" s="45"/>
      <c r="B239" s="45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</row>
    <row r="240" spans="1:16" ht="16.05" customHeight="1">
      <c r="A240" s="45"/>
      <c r="B240" s="45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</row>
    <row r="241" spans="1:16" ht="16.05" customHeight="1">
      <c r="A241" s="45"/>
      <c r="B241" s="45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</row>
    <row r="242" spans="1:16" ht="16.05" customHeight="1">
      <c r="A242" s="45"/>
      <c r="B242" s="45"/>
      <c r="C242" s="45"/>
      <c r="D242" s="45"/>
      <c r="E242" s="45"/>
      <c r="F242" s="45"/>
      <c r="G242" s="45"/>
      <c r="H242" s="45"/>
      <c r="I242" s="45"/>
      <c r="J242" s="45"/>
      <c r="K242" s="45"/>
      <c r="L242" s="45"/>
      <c r="M242" s="45"/>
      <c r="N242" s="45"/>
      <c r="O242" s="45"/>
      <c r="P242" s="45"/>
    </row>
    <row r="243" spans="1:16" ht="16.05" customHeight="1">
      <c r="A243" s="45"/>
      <c r="B243" s="45"/>
      <c r="C243" s="45"/>
      <c r="D243" s="45"/>
      <c r="E243" s="45"/>
      <c r="F243" s="45"/>
      <c r="G243" s="45"/>
      <c r="H243" s="45"/>
      <c r="I243" s="45"/>
      <c r="J243" s="45"/>
      <c r="K243" s="45"/>
      <c r="L243" s="45"/>
      <c r="M243" s="45"/>
      <c r="N243" s="45"/>
      <c r="O243" s="45"/>
      <c r="P243" s="45"/>
    </row>
    <row r="244" spans="1:16" ht="16.05" customHeight="1">
      <c r="A244" s="45"/>
      <c r="B244" s="45"/>
      <c r="C244" s="45"/>
      <c r="D244" s="45"/>
      <c r="E244" s="45"/>
      <c r="F244" s="45"/>
      <c r="G244" s="45"/>
      <c r="H244" s="45"/>
      <c r="I244" s="45"/>
      <c r="J244" s="45"/>
      <c r="K244" s="45"/>
      <c r="L244" s="45"/>
      <c r="M244" s="45"/>
      <c r="N244" s="45"/>
      <c r="O244" s="45"/>
      <c r="P244" s="45"/>
    </row>
    <row r="245" spans="1:16" ht="16.05" customHeight="1">
      <c r="A245" s="45"/>
      <c r="B245" s="45"/>
      <c r="C245" s="45"/>
      <c r="D245" s="45"/>
      <c r="E245" s="45"/>
      <c r="F245" s="45"/>
      <c r="G245" s="45"/>
      <c r="H245" s="45"/>
      <c r="I245" s="45"/>
      <c r="J245" s="45"/>
      <c r="K245" s="45"/>
      <c r="L245" s="45"/>
      <c r="M245" s="45"/>
      <c r="N245" s="45"/>
      <c r="O245" s="45"/>
      <c r="P245" s="45"/>
    </row>
    <row r="246" spans="1:16" ht="16.05" customHeight="1">
      <c r="A246" s="45"/>
      <c r="B246" s="45"/>
      <c r="C246" s="45"/>
      <c r="D246" s="45"/>
      <c r="E246" s="45"/>
      <c r="F246" s="45"/>
      <c r="G246" s="45"/>
      <c r="H246" s="45"/>
      <c r="I246" s="45"/>
      <c r="J246" s="45"/>
      <c r="K246" s="45"/>
      <c r="L246" s="45"/>
      <c r="M246" s="45"/>
      <c r="N246" s="45"/>
      <c r="O246" s="45"/>
      <c r="P246" s="45"/>
    </row>
    <row r="247" spans="1:16" ht="16.05" customHeight="1">
      <c r="A247" s="45"/>
      <c r="B247" s="45"/>
      <c r="C247" s="45"/>
      <c r="D247" s="45"/>
      <c r="E247" s="45"/>
      <c r="F247" s="45"/>
      <c r="G247" s="45"/>
      <c r="H247" s="45"/>
      <c r="I247" s="45"/>
      <c r="J247" s="45"/>
      <c r="K247" s="45"/>
      <c r="L247" s="45"/>
      <c r="M247" s="45"/>
      <c r="N247" s="45"/>
      <c r="O247" s="45"/>
      <c r="P247" s="45"/>
    </row>
    <row r="248" spans="1:16" ht="16.05" customHeight="1">
      <c r="A248" s="45"/>
      <c r="B248" s="45"/>
      <c r="C248" s="45"/>
      <c r="D248" s="45"/>
      <c r="E248" s="45"/>
      <c r="F248" s="45"/>
      <c r="G248" s="45"/>
      <c r="H248" s="45"/>
      <c r="I248" s="45"/>
      <c r="J248" s="45"/>
      <c r="K248" s="45"/>
      <c r="L248" s="45"/>
      <c r="M248" s="45"/>
      <c r="N248" s="45"/>
      <c r="O248" s="45"/>
      <c r="P248" s="45"/>
    </row>
    <row r="249" spans="1:16" ht="16.05" customHeight="1">
      <c r="A249" s="45"/>
      <c r="B249" s="45"/>
      <c r="C249" s="45"/>
      <c r="D249" s="45"/>
      <c r="E249" s="45"/>
      <c r="F249" s="45"/>
      <c r="G249" s="45"/>
      <c r="H249" s="45"/>
      <c r="I249" s="45"/>
      <c r="J249" s="45"/>
      <c r="K249" s="45"/>
      <c r="L249" s="45"/>
      <c r="M249" s="45"/>
      <c r="N249" s="45"/>
      <c r="O249" s="45"/>
      <c r="P249" s="45"/>
    </row>
    <row r="250" spans="1:16" ht="16.05" customHeight="1">
      <c r="A250" s="45"/>
      <c r="B250" s="45"/>
      <c r="C250" s="45"/>
      <c r="D250" s="45"/>
      <c r="E250" s="45"/>
      <c r="F250" s="45"/>
      <c r="G250" s="45"/>
      <c r="H250" s="45"/>
      <c r="I250" s="45"/>
      <c r="J250" s="45"/>
      <c r="K250" s="45"/>
      <c r="L250" s="45"/>
      <c r="M250" s="45"/>
      <c r="N250" s="45"/>
      <c r="O250" s="45"/>
      <c r="P250" s="45"/>
    </row>
    <row r="251" spans="1:16" ht="16.05" customHeight="1">
      <c r="A251" s="45"/>
      <c r="B251" s="45"/>
      <c r="C251" s="45"/>
      <c r="D251" s="45"/>
      <c r="E251" s="45"/>
      <c r="F251" s="45"/>
      <c r="G251" s="45"/>
      <c r="H251" s="45"/>
      <c r="I251" s="45"/>
      <c r="J251" s="45"/>
      <c r="K251" s="45"/>
      <c r="L251" s="45"/>
      <c r="M251" s="45"/>
      <c r="N251" s="45"/>
      <c r="O251" s="45"/>
      <c r="P251" s="45"/>
    </row>
    <row r="252" spans="1:16" ht="16.05" customHeight="1">
      <c r="A252" s="45"/>
      <c r="B252" s="45"/>
      <c r="C252" s="45"/>
      <c r="D252" s="45"/>
      <c r="E252" s="45"/>
      <c r="F252" s="45"/>
      <c r="G252" s="45"/>
      <c r="H252" s="45"/>
      <c r="I252" s="45"/>
      <c r="J252" s="45"/>
      <c r="K252" s="45"/>
      <c r="L252" s="45"/>
      <c r="M252" s="45"/>
      <c r="N252" s="45"/>
      <c r="O252" s="45"/>
      <c r="P252" s="45"/>
    </row>
    <row r="253" spans="1:16" ht="16.05" customHeight="1">
      <c r="A253" s="45"/>
      <c r="B253" s="45"/>
      <c r="C253" s="45"/>
      <c r="D253" s="45"/>
      <c r="E253" s="45"/>
      <c r="F253" s="45"/>
      <c r="G253" s="45"/>
      <c r="H253" s="45"/>
      <c r="I253" s="45"/>
      <c r="J253" s="45"/>
      <c r="K253" s="45"/>
      <c r="L253" s="45"/>
      <c r="M253" s="45"/>
      <c r="N253" s="45"/>
      <c r="O253" s="45"/>
      <c r="P253" s="45"/>
    </row>
    <row r="254" spans="1:16" ht="16.05" customHeight="1">
      <c r="A254" s="45"/>
      <c r="B254" s="45"/>
      <c r="C254" s="45"/>
      <c r="D254" s="45"/>
      <c r="E254" s="45"/>
      <c r="F254" s="45"/>
      <c r="G254" s="45"/>
      <c r="H254" s="45"/>
      <c r="I254" s="45"/>
      <c r="J254" s="45"/>
      <c r="K254" s="45"/>
      <c r="L254" s="45"/>
      <c r="M254" s="45"/>
      <c r="N254" s="45"/>
      <c r="O254" s="45"/>
      <c r="P254" s="45"/>
    </row>
    <row r="255" spans="1:16" ht="16.05" customHeight="1">
      <c r="A255" s="45"/>
      <c r="B255" s="45"/>
      <c r="C255" s="45"/>
      <c r="D255" s="45"/>
      <c r="E255" s="45"/>
      <c r="F255" s="45"/>
      <c r="G255" s="45"/>
      <c r="H255" s="45"/>
      <c r="I255" s="45"/>
      <c r="J255" s="45"/>
      <c r="K255" s="45"/>
      <c r="L255" s="45"/>
      <c r="M255" s="45"/>
      <c r="N255" s="45"/>
      <c r="O255" s="45"/>
      <c r="P255" s="45"/>
    </row>
    <row r="256" spans="1:16" ht="16.05" customHeight="1">
      <c r="A256" s="45"/>
      <c r="B256" s="45"/>
      <c r="C256" s="45"/>
      <c r="D256" s="45"/>
      <c r="E256" s="45"/>
      <c r="F256" s="45"/>
      <c r="G256" s="45"/>
      <c r="H256" s="45"/>
      <c r="I256" s="45"/>
      <c r="J256" s="45"/>
      <c r="K256" s="45"/>
      <c r="L256" s="45"/>
      <c r="M256" s="45"/>
      <c r="N256" s="45"/>
      <c r="O256" s="45"/>
      <c r="P256" s="45"/>
    </row>
    <row r="257" spans="1:16" ht="16.05" customHeight="1">
      <c r="A257" s="45"/>
      <c r="B257" s="45"/>
      <c r="C257" s="45"/>
      <c r="D257" s="45"/>
      <c r="E257" s="45"/>
      <c r="F257" s="45"/>
      <c r="G257" s="45"/>
      <c r="H257" s="45"/>
      <c r="I257" s="45"/>
      <c r="J257" s="45"/>
      <c r="K257" s="45"/>
      <c r="L257" s="45"/>
      <c r="M257" s="45"/>
      <c r="N257" s="45"/>
      <c r="O257" s="45"/>
      <c r="P257" s="45"/>
    </row>
    <row r="258" spans="1:16" ht="16.05" customHeight="1">
      <c r="A258" s="45"/>
      <c r="B258" s="45"/>
      <c r="C258" s="45"/>
      <c r="D258" s="45"/>
      <c r="E258" s="45"/>
      <c r="F258" s="45"/>
      <c r="G258" s="45"/>
      <c r="H258" s="45"/>
      <c r="I258" s="45"/>
      <c r="J258" s="45"/>
      <c r="K258" s="45"/>
      <c r="L258" s="45"/>
      <c r="M258" s="45"/>
      <c r="N258" s="45"/>
      <c r="O258" s="45"/>
      <c r="P258" s="45"/>
    </row>
    <row r="259" spans="1:16" ht="16.05" customHeight="1">
      <c r="A259" s="45"/>
      <c r="B259" s="45"/>
      <c r="C259" s="45"/>
      <c r="D259" s="45"/>
      <c r="E259" s="45"/>
      <c r="F259" s="45"/>
      <c r="G259" s="45"/>
      <c r="H259" s="45"/>
      <c r="I259" s="45"/>
      <c r="J259" s="45"/>
      <c r="K259" s="45"/>
      <c r="L259" s="45"/>
      <c r="M259" s="45"/>
      <c r="N259" s="45"/>
      <c r="O259" s="45"/>
      <c r="P259" s="45"/>
    </row>
    <row r="260" spans="1:16" ht="16.05" customHeight="1">
      <c r="A260" s="45"/>
      <c r="B260" s="45"/>
      <c r="C260" s="45"/>
      <c r="D260" s="45"/>
      <c r="E260" s="45"/>
      <c r="F260" s="45"/>
      <c r="G260" s="45"/>
      <c r="H260" s="45"/>
      <c r="I260" s="45"/>
      <c r="J260" s="45"/>
      <c r="K260" s="45"/>
      <c r="L260" s="45"/>
      <c r="M260" s="45"/>
      <c r="N260" s="45"/>
      <c r="O260" s="45"/>
      <c r="P260" s="45"/>
    </row>
    <row r="261" spans="1:16" ht="16.05" customHeight="1">
      <c r="A261" s="45"/>
      <c r="B261" s="45"/>
      <c r="C261" s="45"/>
      <c r="D261" s="45"/>
      <c r="E261" s="45"/>
      <c r="F261" s="45"/>
      <c r="G261" s="45"/>
      <c r="H261" s="45"/>
      <c r="I261" s="45"/>
      <c r="J261" s="45"/>
      <c r="K261" s="45"/>
      <c r="L261" s="45"/>
      <c r="M261" s="45"/>
      <c r="N261" s="45"/>
      <c r="O261" s="45"/>
      <c r="P261" s="45"/>
    </row>
    <row r="262" spans="1:16" ht="16.05" customHeight="1">
      <c r="A262" s="45"/>
      <c r="B262" s="45"/>
      <c r="C262" s="45"/>
      <c r="D262" s="45"/>
      <c r="E262" s="45"/>
      <c r="F262" s="45"/>
      <c r="G262" s="45"/>
      <c r="H262" s="45"/>
      <c r="I262" s="45"/>
      <c r="J262" s="45"/>
      <c r="K262" s="45"/>
      <c r="L262" s="45"/>
      <c r="M262" s="45"/>
      <c r="N262" s="45"/>
      <c r="O262" s="45"/>
      <c r="P262" s="45"/>
    </row>
    <row r="263" spans="1:16" ht="16.05" customHeight="1">
      <c r="A263" s="45"/>
      <c r="B263" s="45"/>
      <c r="C263" s="45"/>
      <c r="D263" s="45"/>
      <c r="E263" s="45"/>
      <c r="F263" s="45"/>
      <c r="G263" s="45"/>
      <c r="H263" s="45"/>
      <c r="I263" s="45"/>
      <c r="J263" s="45"/>
      <c r="K263" s="45"/>
      <c r="L263" s="45"/>
      <c r="M263" s="45"/>
      <c r="N263" s="45"/>
      <c r="O263" s="45"/>
      <c r="P263" s="45"/>
    </row>
    <row r="264" spans="1:16" ht="16.05" customHeight="1">
      <c r="A264" s="45"/>
      <c r="B264" s="45"/>
      <c r="C264" s="45"/>
      <c r="D264" s="45"/>
      <c r="E264" s="45"/>
      <c r="F264" s="45"/>
      <c r="G264" s="45"/>
      <c r="H264" s="45"/>
      <c r="I264" s="45"/>
      <c r="J264" s="45"/>
      <c r="K264" s="45"/>
      <c r="L264" s="45"/>
      <c r="M264" s="45"/>
      <c r="N264" s="45"/>
      <c r="O264" s="45"/>
      <c r="P264" s="45"/>
    </row>
    <row r="265" spans="1:16" ht="16.05" customHeight="1">
      <c r="A265" s="45"/>
      <c r="B265" s="45"/>
      <c r="C265" s="45"/>
      <c r="D265" s="45"/>
      <c r="E265" s="45"/>
      <c r="F265" s="45"/>
      <c r="G265" s="45"/>
      <c r="H265" s="45"/>
      <c r="I265" s="45"/>
      <c r="J265" s="45"/>
      <c r="K265" s="45"/>
      <c r="L265" s="45"/>
      <c r="M265" s="45"/>
      <c r="N265" s="45"/>
      <c r="O265" s="45"/>
      <c r="P265" s="45"/>
    </row>
    <row r="266" spans="1:16" ht="16.05" customHeight="1">
      <c r="A266" s="45"/>
      <c r="B266" s="45"/>
      <c r="C266" s="45"/>
      <c r="D266" s="45"/>
      <c r="E266" s="45"/>
      <c r="F266" s="45"/>
      <c r="G266" s="45"/>
      <c r="H266" s="45"/>
      <c r="I266" s="45"/>
      <c r="J266" s="45"/>
      <c r="K266" s="45"/>
      <c r="L266" s="45"/>
      <c r="M266" s="45"/>
      <c r="N266" s="45"/>
      <c r="O266" s="45"/>
      <c r="P266" s="45"/>
    </row>
    <row r="267" spans="1:16" ht="16.05" customHeight="1">
      <c r="A267" s="45"/>
      <c r="B267" s="45"/>
      <c r="C267" s="45"/>
      <c r="D267" s="45"/>
      <c r="E267" s="45"/>
      <c r="F267" s="45"/>
      <c r="G267" s="45"/>
      <c r="H267" s="45"/>
      <c r="I267" s="45"/>
      <c r="J267" s="45"/>
      <c r="K267" s="45"/>
      <c r="L267" s="45"/>
      <c r="M267" s="45"/>
      <c r="N267" s="45"/>
      <c r="O267" s="45"/>
      <c r="P267" s="45"/>
    </row>
    <row r="268" spans="1:16" ht="16.05" customHeight="1">
      <c r="A268" s="45"/>
      <c r="B268" s="45"/>
      <c r="C268" s="45"/>
      <c r="D268" s="45"/>
      <c r="E268" s="45"/>
      <c r="F268" s="45"/>
      <c r="G268" s="45"/>
      <c r="H268" s="45"/>
      <c r="I268" s="45"/>
      <c r="J268" s="45"/>
      <c r="K268" s="45"/>
      <c r="L268" s="45"/>
      <c r="M268" s="45"/>
      <c r="N268" s="45"/>
      <c r="O268" s="45"/>
      <c r="P268" s="45"/>
    </row>
    <row r="269" spans="1:16" ht="16.05" customHeight="1">
      <c r="A269" s="45"/>
      <c r="B269" s="45"/>
      <c r="C269" s="45"/>
      <c r="D269" s="45"/>
      <c r="E269" s="45"/>
      <c r="F269" s="45"/>
      <c r="G269" s="45"/>
      <c r="H269" s="45"/>
      <c r="I269" s="45"/>
      <c r="J269" s="45"/>
      <c r="K269" s="45"/>
      <c r="L269" s="45"/>
      <c r="M269" s="45"/>
      <c r="N269" s="45"/>
      <c r="O269" s="45"/>
      <c r="P269" s="45"/>
    </row>
    <row r="270" spans="1:16" ht="16.05" customHeight="1">
      <c r="A270" s="45"/>
      <c r="B270" s="45"/>
      <c r="C270" s="45"/>
      <c r="D270" s="45"/>
      <c r="E270" s="45"/>
      <c r="F270" s="45"/>
      <c r="G270" s="45"/>
      <c r="H270" s="45"/>
      <c r="I270" s="45"/>
      <c r="J270" s="45"/>
      <c r="K270" s="45"/>
      <c r="L270" s="45"/>
      <c r="M270" s="45"/>
      <c r="N270" s="45"/>
      <c r="O270" s="45"/>
      <c r="P270" s="45"/>
    </row>
    <row r="271" spans="1:16" ht="16.05" customHeight="1">
      <c r="A271" s="45"/>
      <c r="B271" s="45"/>
      <c r="C271" s="45"/>
      <c r="D271" s="45"/>
      <c r="E271" s="45"/>
      <c r="F271" s="45"/>
      <c r="G271" s="45"/>
      <c r="H271" s="45"/>
      <c r="I271" s="45"/>
      <c r="J271" s="45"/>
      <c r="K271" s="45"/>
      <c r="L271" s="45"/>
      <c r="M271" s="45"/>
      <c r="N271" s="45"/>
      <c r="O271" s="45"/>
      <c r="P271" s="45"/>
    </row>
    <row r="272" spans="1:16" ht="16.05" customHeight="1">
      <c r="A272" s="45"/>
      <c r="B272" s="45"/>
      <c r="C272" s="45"/>
      <c r="D272" s="45"/>
      <c r="E272" s="45"/>
      <c r="F272" s="45"/>
      <c r="G272" s="45"/>
      <c r="H272" s="45"/>
      <c r="I272" s="45"/>
      <c r="J272" s="45"/>
      <c r="K272" s="45"/>
      <c r="L272" s="45"/>
      <c r="M272" s="45"/>
      <c r="N272" s="45"/>
      <c r="O272" s="45"/>
      <c r="P272" s="45"/>
    </row>
    <row r="273" spans="1:16" ht="16.05" customHeight="1">
      <c r="A273" s="45"/>
      <c r="B273" s="45"/>
      <c r="C273" s="45"/>
      <c r="D273" s="45"/>
      <c r="E273" s="45"/>
      <c r="F273" s="45"/>
      <c r="G273" s="45"/>
      <c r="H273" s="45"/>
      <c r="I273" s="45"/>
      <c r="J273" s="45"/>
      <c r="K273" s="45"/>
      <c r="L273" s="45"/>
      <c r="M273" s="45"/>
      <c r="N273" s="45"/>
      <c r="O273" s="45"/>
      <c r="P273" s="45"/>
    </row>
    <row r="274" spans="1:16" ht="16.05" customHeight="1">
      <c r="A274" s="45"/>
      <c r="B274" s="45"/>
      <c r="C274" s="45"/>
      <c r="D274" s="45"/>
      <c r="E274" s="45"/>
      <c r="F274" s="45"/>
      <c r="G274" s="45"/>
      <c r="H274" s="45"/>
      <c r="I274" s="45"/>
      <c r="J274" s="45"/>
      <c r="K274" s="45"/>
      <c r="L274" s="45"/>
      <c r="M274" s="45"/>
      <c r="N274" s="45"/>
      <c r="O274" s="45"/>
      <c r="P274" s="45"/>
    </row>
    <row r="275" spans="1:16" ht="16.05" customHeight="1">
      <c r="A275" s="45"/>
      <c r="B275" s="45"/>
      <c r="C275" s="45"/>
      <c r="D275" s="45"/>
      <c r="E275" s="45"/>
      <c r="F275" s="45"/>
      <c r="G275" s="45"/>
      <c r="H275" s="45"/>
      <c r="I275" s="45"/>
      <c r="J275" s="45"/>
      <c r="K275" s="45"/>
      <c r="L275" s="45"/>
      <c r="M275" s="45"/>
      <c r="N275" s="45"/>
      <c r="O275" s="45"/>
      <c r="P275" s="45"/>
    </row>
    <row r="276" spans="1:16" ht="16.05" customHeight="1">
      <c r="A276" s="45"/>
      <c r="B276" s="45"/>
      <c r="C276" s="45"/>
      <c r="D276" s="45"/>
      <c r="E276" s="45"/>
      <c r="F276" s="45"/>
      <c r="G276" s="45"/>
      <c r="H276" s="45"/>
      <c r="I276" s="45"/>
      <c r="J276" s="45"/>
      <c r="K276" s="45"/>
      <c r="L276" s="45"/>
      <c r="M276" s="45"/>
      <c r="N276" s="45"/>
      <c r="O276" s="45"/>
      <c r="P276" s="45"/>
    </row>
    <row r="277" spans="1:16" ht="16.05" customHeight="1">
      <c r="A277" s="45"/>
      <c r="B277" s="45"/>
      <c r="C277" s="45"/>
      <c r="D277" s="45"/>
      <c r="E277" s="45"/>
      <c r="F277" s="45"/>
      <c r="G277" s="45"/>
      <c r="H277" s="45"/>
      <c r="I277" s="45"/>
      <c r="J277" s="45"/>
      <c r="K277" s="45"/>
      <c r="L277" s="45"/>
      <c r="M277" s="45"/>
      <c r="N277" s="45"/>
      <c r="O277" s="45"/>
      <c r="P277" s="45"/>
    </row>
    <row r="278" spans="1:16" ht="16.05" customHeight="1">
      <c r="A278" s="45"/>
      <c r="B278" s="45"/>
      <c r="C278" s="45"/>
      <c r="D278" s="45"/>
      <c r="E278" s="45"/>
      <c r="F278" s="45"/>
      <c r="G278" s="45"/>
      <c r="H278" s="45"/>
      <c r="I278" s="45"/>
      <c r="J278" s="45"/>
      <c r="K278" s="45"/>
      <c r="L278" s="45"/>
      <c r="M278" s="45"/>
      <c r="N278" s="45"/>
      <c r="O278" s="45"/>
      <c r="P278" s="45"/>
    </row>
    <row r="279" spans="1:16" ht="16.05" customHeight="1">
      <c r="A279" s="45"/>
      <c r="B279" s="45"/>
      <c r="C279" s="45"/>
      <c r="D279" s="45"/>
      <c r="E279" s="45"/>
      <c r="F279" s="45"/>
      <c r="G279" s="45"/>
      <c r="H279" s="45"/>
      <c r="I279" s="45"/>
      <c r="J279" s="45"/>
      <c r="K279" s="45"/>
      <c r="L279" s="45"/>
      <c r="M279" s="45"/>
      <c r="N279" s="45"/>
      <c r="O279" s="45"/>
      <c r="P279" s="45"/>
    </row>
    <row r="280" spans="1:16" ht="16.05" customHeight="1">
      <c r="A280" s="45"/>
      <c r="B280" s="45"/>
      <c r="C280" s="45"/>
      <c r="D280" s="45"/>
      <c r="E280" s="45"/>
      <c r="F280" s="45"/>
      <c r="G280" s="45"/>
      <c r="H280" s="45"/>
      <c r="I280" s="45"/>
      <c r="J280" s="45"/>
      <c r="K280" s="45"/>
      <c r="L280" s="45"/>
      <c r="M280" s="45"/>
      <c r="N280" s="45"/>
      <c r="O280" s="45"/>
      <c r="P280" s="45"/>
    </row>
    <row r="281" spans="1:16" ht="16.05" customHeight="1">
      <c r="A281" s="45"/>
      <c r="B281" s="45"/>
      <c r="C281" s="45"/>
      <c r="D281" s="45"/>
      <c r="E281" s="45"/>
      <c r="F281" s="45"/>
      <c r="G281" s="45"/>
      <c r="H281" s="45"/>
      <c r="I281" s="45"/>
      <c r="J281" s="45"/>
      <c r="K281" s="45"/>
      <c r="L281" s="45"/>
      <c r="M281" s="45"/>
      <c r="N281" s="45"/>
      <c r="O281" s="45"/>
      <c r="P281" s="45"/>
    </row>
    <row r="282" spans="1:16" ht="16.05" customHeight="1">
      <c r="A282" s="45"/>
      <c r="B282" s="45"/>
      <c r="C282" s="45"/>
      <c r="D282" s="45"/>
      <c r="E282" s="45"/>
      <c r="F282" s="45"/>
      <c r="G282" s="45"/>
      <c r="H282" s="45"/>
      <c r="I282" s="45"/>
      <c r="J282" s="45"/>
      <c r="K282" s="45"/>
      <c r="L282" s="45"/>
      <c r="M282" s="45"/>
      <c r="N282" s="45"/>
      <c r="O282" s="45"/>
      <c r="P282" s="45"/>
    </row>
    <row r="283" spans="1:16" ht="16.05" customHeight="1">
      <c r="A283" s="45"/>
      <c r="B283" s="45"/>
      <c r="C283" s="45"/>
      <c r="D283" s="45"/>
      <c r="E283" s="45"/>
      <c r="F283" s="45"/>
      <c r="G283" s="45"/>
      <c r="H283" s="45"/>
      <c r="I283" s="45"/>
      <c r="J283" s="45"/>
      <c r="K283" s="45"/>
      <c r="L283" s="45"/>
      <c r="M283" s="45"/>
      <c r="N283" s="45"/>
      <c r="O283" s="45"/>
      <c r="P283" s="45"/>
    </row>
    <row r="284" spans="1:16" ht="16.05" customHeight="1">
      <c r="A284" s="45"/>
      <c r="B284" s="45"/>
      <c r="C284" s="45"/>
      <c r="D284" s="45"/>
      <c r="E284" s="45"/>
      <c r="F284" s="45"/>
      <c r="G284" s="45"/>
      <c r="H284" s="45"/>
      <c r="I284" s="45"/>
      <c r="J284" s="45"/>
      <c r="K284" s="45"/>
      <c r="L284" s="45"/>
      <c r="M284" s="45"/>
      <c r="N284" s="45"/>
      <c r="O284" s="45"/>
      <c r="P284" s="45"/>
    </row>
    <row r="285" spans="1:16" ht="16.05" customHeight="1">
      <c r="A285" s="45"/>
      <c r="B285" s="45"/>
      <c r="C285" s="45"/>
      <c r="D285" s="45"/>
      <c r="E285" s="45"/>
      <c r="F285" s="45"/>
      <c r="G285" s="45"/>
      <c r="H285" s="45"/>
      <c r="I285" s="45"/>
      <c r="J285" s="45"/>
      <c r="K285" s="45"/>
      <c r="L285" s="45"/>
      <c r="M285" s="45"/>
      <c r="N285" s="45"/>
      <c r="O285" s="45"/>
      <c r="P285" s="45"/>
    </row>
    <row r="286" spans="1:16" ht="16.05" customHeight="1">
      <c r="A286" s="45"/>
      <c r="B286" s="45"/>
      <c r="C286" s="45"/>
      <c r="D286" s="45"/>
      <c r="E286" s="45"/>
      <c r="F286" s="45"/>
      <c r="G286" s="45"/>
      <c r="H286" s="45"/>
      <c r="I286" s="45"/>
      <c r="J286" s="45"/>
      <c r="K286" s="45"/>
      <c r="L286" s="45"/>
      <c r="M286" s="45"/>
      <c r="N286" s="45"/>
      <c r="O286" s="45"/>
      <c r="P286" s="45"/>
    </row>
    <row r="287" spans="1:16" ht="16.05" customHeight="1">
      <c r="A287" s="45"/>
      <c r="B287" s="45"/>
      <c r="C287" s="45"/>
      <c r="D287" s="45"/>
      <c r="E287" s="45"/>
      <c r="F287" s="45"/>
      <c r="G287" s="45"/>
      <c r="H287" s="45"/>
      <c r="I287" s="45"/>
      <c r="J287" s="45"/>
      <c r="K287" s="45"/>
      <c r="L287" s="45"/>
      <c r="M287" s="45"/>
      <c r="N287" s="45"/>
      <c r="O287" s="45"/>
      <c r="P287" s="45"/>
    </row>
    <row r="288" spans="1:16" ht="16.05" customHeight="1">
      <c r="A288" s="45"/>
      <c r="B288" s="45"/>
      <c r="C288" s="45"/>
      <c r="D288" s="45"/>
      <c r="E288" s="45"/>
      <c r="F288" s="45"/>
      <c r="G288" s="45"/>
      <c r="H288" s="45"/>
      <c r="I288" s="45"/>
      <c r="J288" s="45"/>
      <c r="K288" s="45"/>
      <c r="L288" s="45"/>
      <c r="M288" s="45"/>
      <c r="N288" s="45"/>
      <c r="O288" s="45"/>
      <c r="P288" s="45"/>
    </row>
    <row r="289" spans="1:16" ht="16.05" customHeight="1">
      <c r="A289" s="45"/>
      <c r="B289" s="45"/>
      <c r="C289" s="45"/>
      <c r="D289" s="45"/>
      <c r="E289" s="45"/>
      <c r="F289" s="45"/>
      <c r="G289" s="45"/>
      <c r="H289" s="45"/>
      <c r="I289" s="45"/>
      <c r="J289" s="45"/>
      <c r="K289" s="45"/>
      <c r="L289" s="45"/>
      <c r="M289" s="45"/>
      <c r="N289" s="45"/>
      <c r="O289" s="45"/>
      <c r="P289" s="45"/>
    </row>
    <row r="290" spans="1:16" ht="16.05" customHeight="1">
      <c r="A290" s="45"/>
      <c r="B290" s="45"/>
      <c r="C290" s="45"/>
      <c r="D290" s="45"/>
      <c r="E290" s="45"/>
      <c r="F290" s="45"/>
      <c r="G290" s="45"/>
      <c r="H290" s="45"/>
      <c r="I290" s="45"/>
      <c r="J290" s="45"/>
      <c r="K290" s="45"/>
      <c r="L290" s="45"/>
      <c r="M290" s="45"/>
      <c r="N290" s="45"/>
      <c r="O290" s="45"/>
      <c r="P290" s="45"/>
    </row>
    <row r="291" spans="1:16" ht="16.05" customHeight="1">
      <c r="A291" s="45"/>
      <c r="B291" s="45"/>
      <c r="C291" s="45"/>
      <c r="D291" s="45"/>
      <c r="E291" s="45"/>
      <c r="F291" s="45"/>
      <c r="G291" s="45"/>
      <c r="H291" s="45"/>
      <c r="I291" s="45"/>
      <c r="J291" s="45"/>
      <c r="K291" s="45"/>
      <c r="L291" s="45"/>
      <c r="M291" s="45"/>
      <c r="N291" s="45"/>
      <c r="O291" s="45"/>
      <c r="P291" s="45"/>
    </row>
    <row r="292" spans="1:16" ht="16.05" customHeight="1">
      <c r="A292" s="45"/>
      <c r="B292" s="45"/>
      <c r="C292" s="45"/>
      <c r="D292" s="45"/>
      <c r="E292" s="45"/>
      <c r="F292" s="45"/>
      <c r="G292" s="45"/>
      <c r="H292" s="45"/>
      <c r="I292" s="45"/>
      <c r="J292" s="45"/>
      <c r="K292" s="45"/>
      <c r="L292" s="45"/>
      <c r="M292" s="45"/>
      <c r="N292" s="45"/>
      <c r="O292" s="45"/>
      <c r="P292" s="45"/>
    </row>
    <row r="293" spans="1:16" ht="16.05" customHeight="1">
      <c r="A293" s="45"/>
      <c r="B293" s="45"/>
      <c r="C293" s="45"/>
      <c r="D293" s="45"/>
      <c r="E293" s="45"/>
      <c r="F293" s="45"/>
      <c r="G293" s="45"/>
      <c r="H293" s="45"/>
      <c r="I293" s="45"/>
      <c r="J293" s="45"/>
      <c r="K293" s="45"/>
      <c r="L293" s="45"/>
      <c r="M293" s="45"/>
      <c r="N293" s="45"/>
      <c r="O293" s="45"/>
      <c r="P293" s="45"/>
    </row>
    <row r="294" spans="1:16" ht="16.05" customHeight="1">
      <c r="A294" s="45"/>
      <c r="B294" s="45"/>
      <c r="C294" s="45"/>
      <c r="D294" s="45"/>
      <c r="E294" s="45"/>
      <c r="F294" s="45"/>
      <c r="G294" s="45"/>
      <c r="H294" s="45"/>
      <c r="I294" s="45"/>
      <c r="J294" s="45"/>
      <c r="K294" s="45"/>
      <c r="L294" s="45"/>
      <c r="M294" s="45"/>
      <c r="N294" s="45"/>
      <c r="O294" s="45"/>
      <c r="P294" s="45"/>
    </row>
    <row r="295" spans="1:16" ht="16.05" customHeight="1">
      <c r="A295" s="45"/>
      <c r="B295" s="45"/>
      <c r="C295" s="45"/>
      <c r="D295" s="45"/>
      <c r="E295" s="45"/>
      <c r="F295" s="45"/>
      <c r="G295" s="45"/>
      <c r="H295" s="45"/>
      <c r="I295" s="45"/>
      <c r="J295" s="45"/>
      <c r="K295" s="45"/>
      <c r="L295" s="45"/>
      <c r="M295" s="45"/>
      <c r="N295" s="45"/>
      <c r="O295" s="45"/>
      <c r="P295" s="45"/>
    </row>
    <row r="296" spans="1:16" ht="16.05" customHeight="1">
      <c r="A296" s="45"/>
      <c r="B296" s="45"/>
      <c r="C296" s="45"/>
      <c r="D296" s="45"/>
      <c r="E296" s="45"/>
      <c r="F296" s="45"/>
      <c r="G296" s="45"/>
      <c r="H296" s="45"/>
      <c r="I296" s="45"/>
      <c r="J296" s="45"/>
      <c r="K296" s="45"/>
      <c r="L296" s="45"/>
      <c r="M296" s="45"/>
      <c r="N296" s="45"/>
      <c r="O296" s="45"/>
      <c r="P296" s="45"/>
    </row>
    <row r="297" spans="1:16" ht="16.05" customHeight="1">
      <c r="A297" s="45"/>
      <c r="B297" s="45"/>
      <c r="C297" s="45"/>
      <c r="D297" s="45"/>
      <c r="E297" s="45"/>
      <c r="F297" s="45"/>
      <c r="G297" s="45"/>
      <c r="H297" s="45"/>
      <c r="I297" s="45"/>
      <c r="J297" s="45"/>
      <c r="K297" s="45"/>
      <c r="L297" s="45"/>
      <c r="M297" s="45"/>
      <c r="N297" s="45"/>
      <c r="O297" s="45"/>
      <c r="P297" s="45"/>
    </row>
    <row r="298" spans="1:16" ht="16.05" customHeight="1">
      <c r="A298" s="45"/>
      <c r="B298" s="45"/>
      <c r="C298" s="45"/>
      <c r="D298" s="45"/>
      <c r="E298" s="45"/>
      <c r="F298" s="45"/>
      <c r="G298" s="45"/>
      <c r="H298" s="45"/>
      <c r="I298" s="45"/>
      <c r="J298" s="45"/>
      <c r="K298" s="45"/>
      <c r="L298" s="45"/>
      <c r="M298" s="45"/>
      <c r="N298" s="45"/>
      <c r="O298" s="45"/>
      <c r="P298" s="45"/>
    </row>
    <row r="299" spans="1:16" ht="16.05" customHeight="1">
      <c r="A299" s="45"/>
      <c r="B299" s="45"/>
      <c r="C299" s="45"/>
      <c r="D299" s="45"/>
      <c r="E299" s="45"/>
      <c r="F299" s="45"/>
      <c r="G299" s="45"/>
      <c r="H299" s="45"/>
      <c r="I299" s="45"/>
      <c r="J299" s="45"/>
      <c r="K299" s="45"/>
      <c r="L299" s="45"/>
      <c r="M299" s="45"/>
      <c r="N299" s="45"/>
      <c r="O299" s="45"/>
      <c r="P299" s="45"/>
    </row>
    <row r="300" spans="1:16" ht="16.05" customHeight="1">
      <c r="A300" s="45"/>
      <c r="B300" s="45"/>
      <c r="C300" s="45"/>
      <c r="D300" s="45"/>
      <c r="E300" s="45"/>
      <c r="F300" s="45"/>
      <c r="G300" s="45"/>
      <c r="H300" s="45"/>
      <c r="I300" s="45"/>
      <c r="J300" s="45"/>
      <c r="K300" s="45"/>
      <c r="L300" s="45"/>
      <c r="M300" s="45"/>
      <c r="N300" s="45"/>
      <c r="O300" s="45"/>
      <c r="P300" s="45"/>
    </row>
    <row r="301" spans="1:16" ht="16.05" customHeight="1">
      <c r="A301" s="45"/>
      <c r="B301" s="45"/>
      <c r="C301" s="45"/>
      <c r="D301" s="45"/>
      <c r="E301" s="45"/>
      <c r="F301" s="45"/>
      <c r="G301" s="45"/>
      <c r="H301" s="45"/>
      <c r="I301" s="45"/>
      <c r="J301" s="45"/>
      <c r="K301" s="45"/>
      <c r="L301" s="45"/>
      <c r="M301" s="45"/>
      <c r="N301" s="45"/>
      <c r="O301" s="45"/>
      <c r="P301" s="45"/>
    </row>
    <row r="302" spans="1:16" ht="16.05" customHeight="1">
      <c r="A302" s="45"/>
      <c r="B302" s="45"/>
      <c r="C302" s="45"/>
      <c r="D302" s="45"/>
      <c r="E302" s="45"/>
      <c r="F302" s="45"/>
      <c r="G302" s="45"/>
      <c r="H302" s="45"/>
      <c r="I302" s="45"/>
      <c r="J302" s="45"/>
      <c r="K302" s="45"/>
      <c r="L302" s="45"/>
      <c r="M302" s="45"/>
      <c r="N302" s="45"/>
      <c r="O302" s="45"/>
      <c r="P302" s="45"/>
    </row>
    <row r="303" spans="1:16" ht="16.05" customHeight="1">
      <c r="A303" s="45"/>
      <c r="B303" s="45"/>
      <c r="C303" s="45"/>
      <c r="D303" s="45"/>
      <c r="E303" s="45"/>
      <c r="F303" s="45"/>
      <c r="G303" s="45"/>
      <c r="H303" s="45"/>
      <c r="I303" s="45"/>
      <c r="J303" s="45"/>
      <c r="K303" s="45"/>
      <c r="L303" s="45"/>
      <c r="M303" s="45"/>
      <c r="N303" s="45"/>
      <c r="O303" s="45"/>
      <c r="P303" s="45"/>
    </row>
    <row r="304" spans="1:16" ht="16.05" customHeight="1">
      <c r="A304" s="45"/>
      <c r="B304" s="45"/>
      <c r="C304" s="45"/>
      <c r="D304" s="45"/>
      <c r="E304" s="45"/>
      <c r="F304" s="45"/>
      <c r="G304" s="45"/>
      <c r="H304" s="45"/>
      <c r="I304" s="45"/>
      <c r="J304" s="45"/>
      <c r="K304" s="45"/>
      <c r="L304" s="45"/>
      <c r="M304" s="45"/>
      <c r="N304" s="45"/>
      <c r="O304" s="45"/>
      <c r="P304" s="45"/>
    </row>
    <row r="305" spans="1:16" ht="16.05" customHeight="1">
      <c r="A305" s="45"/>
      <c r="B305" s="45"/>
      <c r="C305" s="45"/>
      <c r="D305" s="45"/>
      <c r="E305" s="45"/>
      <c r="F305" s="45"/>
      <c r="G305" s="45"/>
      <c r="H305" s="45"/>
      <c r="I305" s="45"/>
      <c r="J305" s="45"/>
      <c r="K305" s="45"/>
      <c r="L305" s="45"/>
      <c r="M305" s="45"/>
      <c r="N305" s="45"/>
      <c r="O305" s="45"/>
      <c r="P305" s="45"/>
    </row>
    <row r="306" spans="1:16" ht="16.05" customHeight="1">
      <c r="A306" s="45"/>
      <c r="B306" s="45"/>
      <c r="C306" s="45"/>
      <c r="D306" s="45"/>
      <c r="E306" s="45"/>
      <c r="F306" s="45"/>
      <c r="G306" s="45"/>
      <c r="H306" s="45"/>
      <c r="I306" s="45"/>
      <c r="J306" s="45"/>
      <c r="K306" s="45"/>
      <c r="L306" s="45"/>
      <c r="M306" s="45"/>
      <c r="N306" s="45"/>
      <c r="O306" s="45"/>
      <c r="P306" s="45"/>
    </row>
    <row r="307" spans="1:16" ht="16.05" customHeight="1">
      <c r="A307" s="45"/>
      <c r="B307" s="45"/>
      <c r="C307" s="45"/>
      <c r="D307" s="45"/>
      <c r="E307" s="45"/>
      <c r="F307" s="45"/>
      <c r="G307" s="45"/>
      <c r="H307" s="45"/>
      <c r="I307" s="45"/>
      <c r="J307" s="45"/>
      <c r="K307" s="45"/>
      <c r="L307" s="45"/>
      <c r="M307" s="45"/>
      <c r="N307" s="45"/>
      <c r="O307" s="45"/>
      <c r="P307" s="45"/>
    </row>
    <row r="308" spans="1:16" ht="16.05" customHeight="1">
      <c r="A308" s="45"/>
      <c r="B308" s="45"/>
      <c r="C308" s="45"/>
      <c r="D308" s="45"/>
      <c r="E308" s="45"/>
      <c r="F308" s="45"/>
      <c r="G308" s="45"/>
      <c r="H308" s="45"/>
      <c r="I308" s="45"/>
      <c r="J308" s="45"/>
      <c r="K308" s="45"/>
      <c r="L308" s="45"/>
      <c r="M308" s="45"/>
      <c r="N308" s="45"/>
      <c r="O308" s="45"/>
      <c r="P308" s="45"/>
    </row>
    <row r="309" spans="1:16" ht="16.05" customHeight="1">
      <c r="A309" s="45"/>
      <c r="B309" s="45"/>
      <c r="C309" s="45"/>
      <c r="D309" s="45"/>
      <c r="E309" s="45"/>
      <c r="F309" s="45"/>
      <c r="G309" s="45"/>
      <c r="H309" s="45"/>
      <c r="I309" s="45"/>
      <c r="J309" s="45"/>
      <c r="K309" s="45"/>
      <c r="L309" s="45"/>
      <c r="M309" s="45"/>
      <c r="N309" s="45"/>
      <c r="O309" s="45"/>
      <c r="P309" s="45"/>
    </row>
    <row r="310" spans="1:16" ht="16.05" customHeight="1">
      <c r="A310" s="45"/>
      <c r="B310" s="45"/>
      <c r="C310" s="45"/>
      <c r="D310" s="45"/>
      <c r="E310" s="45"/>
      <c r="F310" s="45"/>
      <c r="G310" s="45"/>
      <c r="H310" s="45"/>
      <c r="I310" s="45"/>
      <c r="J310" s="45"/>
      <c r="K310" s="45"/>
      <c r="L310" s="45"/>
      <c r="M310" s="45"/>
      <c r="N310" s="45"/>
      <c r="O310" s="45"/>
      <c r="P310" s="45"/>
    </row>
    <row r="311" spans="1:16" ht="16.05" customHeight="1">
      <c r="A311" s="45"/>
      <c r="B311" s="45"/>
      <c r="C311" s="45"/>
      <c r="D311" s="45"/>
      <c r="E311" s="45"/>
      <c r="F311" s="45"/>
      <c r="G311" s="45"/>
      <c r="H311" s="45"/>
      <c r="I311" s="45"/>
      <c r="J311" s="45"/>
      <c r="K311" s="45"/>
      <c r="L311" s="45"/>
      <c r="M311" s="45"/>
      <c r="N311" s="45"/>
      <c r="O311" s="45"/>
      <c r="P311" s="45"/>
    </row>
    <row r="312" spans="1:16" ht="16.05" customHeight="1">
      <c r="A312" s="45"/>
      <c r="B312" s="45"/>
      <c r="C312" s="45"/>
      <c r="D312" s="45"/>
      <c r="E312" s="45"/>
      <c r="F312" s="45"/>
      <c r="G312" s="45"/>
      <c r="H312" s="45"/>
      <c r="I312" s="45"/>
      <c r="J312" s="45"/>
      <c r="K312" s="45"/>
      <c r="L312" s="45"/>
      <c r="M312" s="45"/>
      <c r="N312" s="45"/>
      <c r="O312" s="45"/>
      <c r="P312" s="45"/>
    </row>
    <row r="313" spans="1:16" ht="16.05" customHeight="1">
      <c r="A313" s="45"/>
      <c r="B313" s="45"/>
      <c r="C313" s="45"/>
      <c r="D313" s="45"/>
      <c r="E313" s="45"/>
      <c r="F313" s="45"/>
      <c r="G313" s="45"/>
      <c r="H313" s="45"/>
      <c r="I313" s="45"/>
      <c r="J313" s="45"/>
      <c r="K313" s="45"/>
      <c r="L313" s="45"/>
      <c r="M313" s="45"/>
      <c r="N313" s="45"/>
      <c r="O313" s="45"/>
      <c r="P313" s="45"/>
    </row>
    <row r="314" spans="1:16" ht="16.05" customHeight="1">
      <c r="A314" s="45"/>
      <c r="B314" s="45"/>
      <c r="C314" s="45"/>
      <c r="D314" s="45"/>
      <c r="E314" s="45"/>
      <c r="F314" s="45"/>
      <c r="G314" s="45"/>
      <c r="H314" s="45"/>
      <c r="I314" s="45"/>
      <c r="J314" s="45"/>
      <c r="K314" s="45"/>
      <c r="L314" s="45"/>
      <c r="M314" s="45"/>
      <c r="N314" s="45"/>
      <c r="O314" s="45"/>
      <c r="P314" s="45"/>
    </row>
    <row r="315" spans="1:16" ht="16.05" customHeight="1">
      <c r="A315" s="45"/>
      <c r="B315" s="45"/>
      <c r="C315" s="45"/>
      <c r="D315" s="45"/>
      <c r="E315" s="45"/>
      <c r="F315" s="45"/>
      <c r="G315" s="45"/>
      <c r="H315" s="45"/>
      <c r="I315" s="45"/>
      <c r="J315" s="45"/>
      <c r="K315" s="45"/>
      <c r="L315" s="45"/>
      <c r="M315" s="45"/>
      <c r="N315" s="45"/>
      <c r="O315" s="45"/>
      <c r="P315" s="45"/>
    </row>
    <row r="316" spans="1:16" ht="16.05" customHeight="1">
      <c r="A316" s="45"/>
      <c r="B316" s="45"/>
      <c r="C316" s="45"/>
      <c r="D316" s="45"/>
      <c r="E316" s="45"/>
      <c r="F316" s="45"/>
      <c r="G316" s="45"/>
      <c r="H316" s="45"/>
      <c r="I316" s="45"/>
      <c r="J316" s="45"/>
      <c r="K316" s="45"/>
      <c r="L316" s="45"/>
      <c r="M316" s="45"/>
      <c r="N316" s="45"/>
      <c r="O316" s="45"/>
      <c r="P316" s="45"/>
    </row>
    <row r="317" spans="1:16" ht="16.05" customHeight="1">
      <c r="A317" s="45"/>
      <c r="B317" s="45"/>
      <c r="C317" s="45"/>
      <c r="D317" s="45"/>
      <c r="E317" s="45"/>
      <c r="F317" s="45"/>
      <c r="G317" s="45"/>
      <c r="H317" s="45"/>
      <c r="I317" s="45"/>
      <c r="J317" s="45"/>
      <c r="K317" s="45"/>
      <c r="L317" s="45"/>
      <c r="M317" s="45"/>
      <c r="N317" s="45"/>
      <c r="O317" s="45"/>
      <c r="P317" s="45"/>
    </row>
    <row r="318" spans="1:16" ht="16.05" customHeight="1">
      <c r="A318" s="45"/>
      <c r="B318" s="45"/>
      <c r="C318" s="45"/>
      <c r="D318" s="45"/>
      <c r="E318" s="45"/>
      <c r="F318" s="45"/>
      <c r="G318" s="45"/>
      <c r="H318" s="45"/>
      <c r="I318" s="45"/>
      <c r="J318" s="45"/>
      <c r="K318" s="45"/>
      <c r="L318" s="45"/>
      <c r="M318" s="45"/>
      <c r="N318" s="45"/>
      <c r="O318" s="45"/>
      <c r="P318" s="45"/>
    </row>
    <row r="319" spans="1:16" ht="16.05" customHeight="1">
      <c r="A319" s="45"/>
      <c r="B319" s="45"/>
      <c r="C319" s="45"/>
      <c r="D319" s="45"/>
      <c r="E319" s="45"/>
      <c r="F319" s="45"/>
      <c r="G319" s="45"/>
      <c r="H319" s="45"/>
      <c r="I319" s="45"/>
      <c r="J319" s="45"/>
      <c r="K319" s="45"/>
      <c r="L319" s="45"/>
      <c r="M319" s="45"/>
      <c r="N319" s="45"/>
      <c r="O319" s="45"/>
      <c r="P319" s="45"/>
    </row>
    <row r="320" spans="1:16" ht="16.05" customHeight="1">
      <c r="A320" s="45"/>
      <c r="B320" s="45"/>
      <c r="C320" s="45"/>
      <c r="D320" s="45"/>
      <c r="E320" s="45"/>
      <c r="F320" s="45"/>
      <c r="G320" s="45"/>
      <c r="H320" s="45"/>
      <c r="I320" s="45"/>
      <c r="J320" s="45"/>
      <c r="K320" s="45"/>
      <c r="L320" s="45"/>
      <c r="M320" s="45"/>
      <c r="N320" s="45"/>
      <c r="O320" s="45"/>
      <c r="P320" s="45"/>
    </row>
    <row r="321" spans="1:16" ht="16.05" customHeight="1">
      <c r="A321" s="45"/>
      <c r="B321" s="45"/>
      <c r="C321" s="45"/>
      <c r="D321" s="45"/>
      <c r="E321" s="45"/>
      <c r="F321" s="45"/>
      <c r="G321" s="45"/>
      <c r="H321" s="45"/>
      <c r="I321" s="45"/>
      <c r="J321" s="45"/>
      <c r="K321" s="45"/>
      <c r="L321" s="45"/>
      <c r="M321" s="45"/>
      <c r="N321" s="45"/>
      <c r="O321" s="45"/>
      <c r="P321" s="45"/>
    </row>
    <row r="322" spans="1:16" ht="16.05" customHeight="1">
      <c r="A322" s="45"/>
      <c r="B322" s="45"/>
      <c r="C322" s="45"/>
      <c r="D322" s="45"/>
      <c r="E322" s="45"/>
      <c r="F322" s="45"/>
      <c r="G322" s="45"/>
      <c r="H322" s="45"/>
      <c r="I322" s="45"/>
      <c r="J322" s="45"/>
      <c r="K322" s="45"/>
      <c r="L322" s="45"/>
      <c r="M322" s="45"/>
      <c r="N322" s="45"/>
      <c r="O322" s="45"/>
      <c r="P322" s="45"/>
    </row>
    <row r="323" spans="1:16" ht="16.05" customHeight="1">
      <c r="A323" s="45"/>
      <c r="B323" s="45"/>
      <c r="C323" s="45"/>
      <c r="D323" s="45"/>
      <c r="E323" s="45"/>
      <c r="F323" s="45"/>
      <c r="G323" s="45"/>
      <c r="H323" s="45"/>
      <c r="I323" s="45"/>
      <c r="J323" s="45"/>
      <c r="K323" s="45"/>
      <c r="L323" s="45"/>
      <c r="M323" s="45"/>
      <c r="N323" s="45"/>
      <c r="O323" s="45"/>
      <c r="P323" s="45"/>
    </row>
    <row r="324" spans="1:16" ht="16.05" customHeight="1">
      <c r="A324" s="45"/>
      <c r="B324" s="45"/>
      <c r="C324" s="45"/>
      <c r="D324" s="45"/>
      <c r="E324" s="45"/>
      <c r="F324" s="45"/>
      <c r="G324" s="45"/>
      <c r="H324" s="45"/>
      <c r="I324" s="45"/>
      <c r="J324" s="45"/>
      <c r="K324" s="45"/>
      <c r="L324" s="45"/>
      <c r="M324" s="45"/>
      <c r="N324" s="45"/>
      <c r="O324" s="45"/>
      <c r="P324" s="45"/>
    </row>
    <row r="325" spans="1:16" ht="16.05" customHeight="1">
      <c r="A325" s="45"/>
      <c r="B325" s="45"/>
      <c r="C325" s="45"/>
      <c r="D325" s="45"/>
      <c r="E325" s="45"/>
      <c r="F325" s="45"/>
      <c r="G325" s="45"/>
      <c r="H325" s="45"/>
      <c r="I325" s="45"/>
      <c r="J325" s="45"/>
      <c r="K325" s="45"/>
      <c r="L325" s="45"/>
      <c r="M325" s="45"/>
      <c r="N325" s="45"/>
      <c r="O325" s="45"/>
      <c r="P325" s="45"/>
    </row>
    <row r="326" spans="1:16" ht="16.05" customHeight="1">
      <c r="A326" s="45"/>
      <c r="B326" s="45"/>
      <c r="C326" s="45"/>
      <c r="D326" s="45"/>
      <c r="E326" s="45"/>
      <c r="F326" s="45"/>
      <c r="G326" s="45"/>
      <c r="H326" s="45"/>
      <c r="I326" s="45"/>
      <c r="J326" s="45"/>
      <c r="K326" s="45"/>
      <c r="L326" s="45"/>
      <c r="M326" s="45"/>
      <c r="N326" s="45"/>
      <c r="O326" s="45"/>
      <c r="P326" s="45"/>
    </row>
    <row r="327" spans="1:16" ht="16.05" customHeight="1">
      <c r="A327" s="45"/>
      <c r="B327" s="45"/>
      <c r="C327" s="45"/>
      <c r="D327" s="45"/>
      <c r="E327" s="45"/>
      <c r="F327" s="45"/>
      <c r="G327" s="45"/>
      <c r="H327" s="45"/>
      <c r="I327" s="45"/>
      <c r="J327" s="45"/>
      <c r="K327" s="45"/>
      <c r="L327" s="45"/>
      <c r="M327" s="45"/>
      <c r="N327" s="45"/>
      <c r="O327" s="45"/>
      <c r="P327" s="45"/>
    </row>
    <row r="328" spans="1:16" ht="16.05" customHeight="1">
      <c r="A328" s="45"/>
      <c r="B328" s="45"/>
      <c r="C328" s="45"/>
      <c r="D328" s="45"/>
      <c r="E328" s="45"/>
      <c r="F328" s="45"/>
      <c r="G328" s="45"/>
      <c r="H328" s="45"/>
      <c r="I328" s="45"/>
      <c r="J328" s="45"/>
      <c r="K328" s="45"/>
      <c r="L328" s="45"/>
      <c r="M328" s="45"/>
      <c r="N328" s="45"/>
      <c r="O328" s="45"/>
      <c r="P328" s="45"/>
    </row>
    <row r="329" spans="1:16" ht="16.05" customHeight="1">
      <c r="A329" s="45"/>
      <c r="B329" s="45"/>
      <c r="C329" s="45"/>
      <c r="D329" s="45"/>
      <c r="E329" s="45"/>
      <c r="F329" s="45"/>
      <c r="G329" s="45"/>
      <c r="H329" s="45"/>
      <c r="I329" s="45"/>
      <c r="J329" s="45"/>
      <c r="K329" s="45"/>
      <c r="L329" s="45"/>
      <c r="M329" s="45"/>
      <c r="N329" s="45"/>
      <c r="O329" s="45"/>
      <c r="P329" s="45"/>
    </row>
    <row r="330" spans="1:16" ht="16.05" customHeight="1">
      <c r="A330" s="45"/>
      <c r="B330" s="45"/>
      <c r="C330" s="45"/>
      <c r="D330" s="45"/>
      <c r="E330" s="45"/>
      <c r="F330" s="45"/>
      <c r="G330" s="45"/>
      <c r="H330" s="45"/>
      <c r="I330" s="45"/>
      <c r="J330" s="45"/>
      <c r="K330" s="45"/>
      <c r="L330" s="45"/>
      <c r="M330" s="45"/>
      <c r="N330" s="45"/>
      <c r="O330" s="45"/>
      <c r="P330" s="45"/>
    </row>
    <row r="331" spans="1:16" ht="16.05" customHeight="1">
      <c r="A331" s="45"/>
      <c r="B331" s="45"/>
      <c r="C331" s="45"/>
      <c r="D331" s="45"/>
      <c r="E331" s="45"/>
      <c r="F331" s="45"/>
      <c r="G331" s="45"/>
      <c r="H331" s="45"/>
      <c r="I331" s="45"/>
      <c r="J331" s="45"/>
      <c r="K331" s="45"/>
      <c r="L331" s="45"/>
      <c r="M331" s="45"/>
      <c r="N331" s="45"/>
      <c r="O331" s="45"/>
      <c r="P331" s="45"/>
    </row>
    <row r="332" spans="1:16" ht="16.05" customHeight="1">
      <c r="A332" s="45"/>
      <c r="B332" s="45"/>
      <c r="C332" s="45"/>
      <c r="D332" s="45"/>
      <c r="E332" s="45"/>
      <c r="F332" s="45"/>
      <c r="G332" s="45"/>
      <c r="H332" s="45"/>
      <c r="I332" s="45"/>
      <c r="J332" s="45"/>
      <c r="K332" s="45"/>
      <c r="L332" s="45"/>
      <c r="M332" s="45"/>
      <c r="N332" s="45"/>
      <c r="O332" s="45"/>
      <c r="P332" s="45"/>
    </row>
    <row r="333" spans="1:16" ht="16.05" customHeight="1">
      <c r="A333" s="45"/>
      <c r="B333" s="45"/>
      <c r="C333" s="45"/>
      <c r="D333" s="45"/>
      <c r="E333" s="45"/>
      <c r="F333" s="45"/>
      <c r="G333" s="45"/>
      <c r="H333" s="45"/>
      <c r="I333" s="45"/>
      <c r="J333" s="45"/>
      <c r="K333" s="45"/>
      <c r="L333" s="45"/>
      <c r="M333" s="45"/>
      <c r="N333" s="45"/>
      <c r="O333" s="45"/>
      <c r="P333" s="45"/>
    </row>
    <row r="334" spans="1:16" ht="16.05" customHeight="1">
      <c r="A334" s="45"/>
      <c r="B334" s="45"/>
      <c r="C334" s="45"/>
      <c r="D334" s="45"/>
      <c r="E334" s="45"/>
      <c r="F334" s="45"/>
      <c r="G334" s="45"/>
      <c r="H334" s="45"/>
      <c r="I334" s="45"/>
      <c r="J334" s="45"/>
      <c r="K334" s="45"/>
      <c r="L334" s="45"/>
      <c r="M334" s="45"/>
      <c r="N334" s="45"/>
      <c r="O334" s="45"/>
      <c r="P334" s="45"/>
    </row>
    <row r="335" spans="1:16" ht="16.05" customHeight="1">
      <c r="A335" s="45"/>
      <c r="B335" s="45"/>
      <c r="C335" s="45"/>
      <c r="D335" s="45"/>
      <c r="E335" s="45"/>
      <c r="F335" s="45"/>
      <c r="G335" s="45"/>
      <c r="H335" s="45"/>
      <c r="I335" s="45"/>
      <c r="J335" s="45"/>
      <c r="K335" s="45"/>
      <c r="L335" s="45"/>
      <c r="M335" s="45"/>
      <c r="N335" s="45"/>
      <c r="O335" s="45"/>
      <c r="P335" s="45"/>
    </row>
    <row r="336" spans="1:16" ht="16.05" customHeight="1">
      <c r="A336" s="45"/>
      <c r="B336" s="45"/>
      <c r="C336" s="45"/>
      <c r="D336" s="45"/>
      <c r="E336" s="45"/>
      <c r="F336" s="45"/>
      <c r="G336" s="45"/>
      <c r="H336" s="45"/>
      <c r="I336" s="45"/>
      <c r="J336" s="45"/>
      <c r="K336" s="45"/>
      <c r="L336" s="45"/>
      <c r="M336" s="45"/>
      <c r="N336" s="45"/>
      <c r="O336" s="45"/>
      <c r="P336" s="45"/>
    </row>
    <row r="337" spans="1:16" ht="16.05" customHeight="1">
      <c r="A337" s="45"/>
      <c r="B337" s="45"/>
      <c r="C337" s="45"/>
      <c r="D337" s="45"/>
      <c r="E337" s="45"/>
      <c r="F337" s="45"/>
      <c r="G337" s="45"/>
      <c r="H337" s="45"/>
      <c r="I337" s="45"/>
      <c r="J337" s="45"/>
      <c r="K337" s="45"/>
      <c r="L337" s="45"/>
      <c r="M337" s="45"/>
      <c r="N337" s="45"/>
      <c r="O337" s="45"/>
      <c r="P337" s="45"/>
    </row>
    <row r="338" spans="1:16" ht="16.05" customHeight="1">
      <c r="A338" s="45"/>
      <c r="B338" s="45"/>
      <c r="C338" s="45"/>
      <c r="D338" s="45"/>
      <c r="E338" s="45"/>
      <c r="F338" s="45"/>
      <c r="G338" s="45"/>
      <c r="H338" s="45"/>
      <c r="I338" s="45"/>
      <c r="J338" s="45"/>
      <c r="K338" s="45"/>
      <c r="L338" s="45"/>
      <c r="M338" s="45"/>
      <c r="N338" s="45"/>
      <c r="O338" s="45"/>
      <c r="P338" s="45"/>
    </row>
    <row r="339" spans="1:16" ht="16.05" customHeight="1">
      <c r="A339" s="45"/>
      <c r="B339" s="45"/>
      <c r="C339" s="45"/>
      <c r="D339" s="45"/>
      <c r="E339" s="45"/>
      <c r="F339" s="45"/>
      <c r="G339" s="45"/>
      <c r="H339" s="45"/>
      <c r="I339" s="45"/>
      <c r="J339" s="45"/>
      <c r="K339" s="45"/>
      <c r="L339" s="45"/>
      <c r="M339" s="45"/>
      <c r="N339" s="45"/>
      <c r="O339" s="45"/>
      <c r="P339" s="45"/>
    </row>
    <row r="340" spans="1:16" ht="16.05" customHeight="1">
      <c r="A340" s="45"/>
      <c r="B340" s="45"/>
      <c r="C340" s="45"/>
      <c r="D340" s="45"/>
      <c r="E340" s="45"/>
      <c r="F340" s="45"/>
      <c r="G340" s="45"/>
      <c r="H340" s="45"/>
      <c r="I340" s="45"/>
      <c r="J340" s="45"/>
      <c r="K340" s="45"/>
      <c r="L340" s="45"/>
      <c r="M340" s="45"/>
      <c r="N340" s="45"/>
      <c r="O340" s="45"/>
      <c r="P340" s="45"/>
    </row>
    <row r="341" spans="1:16" ht="16.05" customHeight="1">
      <c r="A341" s="45"/>
      <c r="B341" s="45"/>
      <c r="C341" s="45"/>
      <c r="D341" s="45"/>
      <c r="E341" s="45"/>
      <c r="F341" s="45"/>
      <c r="G341" s="45"/>
      <c r="H341" s="45"/>
      <c r="I341" s="45"/>
      <c r="J341" s="45"/>
      <c r="K341" s="45"/>
      <c r="L341" s="45"/>
      <c r="M341" s="45"/>
      <c r="N341" s="45"/>
      <c r="O341" s="45"/>
      <c r="P341" s="45"/>
    </row>
    <row r="342" spans="1:16" ht="16.05" customHeight="1">
      <c r="A342" s="45"/>
      <c r="B342" s="45"/>
      <c r="C342" s="45"/>
      <c r="D342" s="45"/>
      <c r="E342" s="45"/>
      <c r="F342" s="45"/>
      <c r="G342" s="45"/>
      <c r="H342" s="45"/>
      <c r="I342" s="45"/>
      <c r="J342" s="45"/>
      <c r="K342" s="45"/>
      <c r="L342" s="45"/>
      <c r="M342" s="45"/>
      <c r="N342" s="45"/>
      <c r="O342" s="45"/>
      <c r="P342" s="45"/>
    </row>
    <row r="343" spans="1:16" ht="16.05" customHeight="1">
      <c r="A343" s="45"/>
      <c r="B343" s="45"/>
      <c r="C343" s="45"/>
      <c r="D343" s="45"/>
      <c r="E343" s="45"/>
      <c r="F343" s="45"/>
      <c r="G343" s="45"/>
      <c r="H343" s="45"/>
      <c r="I343" s="45"/>
      <c r="J343" s="45"/>
      <c r="K343" s="45"/>
      <c r="L343" s="45"/>
      <c r="M343" s="45"/>
      <c r="N343" s="45"/>
      <c r="O343" s="45"/>
      <c r="P343" s="45"/>
    </row>
    <row r="344" spans="1:16" ht="16.05" customHeight="1">
      <c r="A344" s="45"/>
      <c r="B344" s="45"/>
      <c r="C344" s="45"/>
      <c r="D344" s="45"/>
      <c r="E344" s="45"/>
      <c r="F344" s="45"/>
      <c r="G344" s="45"/>
      <c r="H344" s="45"/>
      <c r="I344" s="45"/>
      <c r="J344" s="45"/>
      <c r="K344" s="45"/>
      <c r="L344" s="45"/>
      <c r="M344" s="45"/>
      <c r="N344" s="45"/>
      <c r="O344" s="45"/>
      <c r="P344" s="45"/>
    </row>
    <row r="345" spans="1:16" ht="16.05" customHeight="1">
      <c r="A345" s="45"/>
      <c r="B345" s="45"/>
      <c r="C345" s="45"/>
      <c r="D345" s="45"/>
      <c r="E345" s="45"/>
      <c r="F345" s="45"/>
      <c r="G345" s="45"/>
      <c r="H345" s="45"/>
      <c r="I345" s="45"/>
      <c r="J345" s="45"/>
      <c r="K345" s="45"/>
      <c r="L345" s="45"/>
      <c r="M345" s="45"/>
      <c r="N345" s="45"/>
      <c r="O345" s="45"/>
      <c r="P345" s="45"/>
    </row>
    <row r="346" spans="1:16" ht="16.05" customHeight="1">
      <c r="A346" s="45"/>
      <c r="B346" s="45"/>
      <c r="C346" s="45"/>
      <c r="D346" s="45"/>
      <c r="E346" s="45"/>
      <c r="F346" s="45"/>
      <c r="G346" s="45"/>
      <c r="H346" s="45"/>
      <c r="I346" s="45"/>
      <c r="J346" s="45"/>
      <c r="K346" s="45"/>
      <c r="L346" s="45"/>
      <c r="M346" s="45"/>
      <c r="N346" s="45"/>
      <c r="O346" s="45"/>
      <c r="P346" s="45"/>
    </row>
    <row r="347" spans="1:16" ht="16.05" customHeight="1">
      <c r="A347" s="45"/>
      <c r="B347" s="45"/>
      <c r="C347" s="45"/>
      <c r="D347" s="45"/>
      <c r="E347" s="45"/>
      <c r="F347" s="45"/>
      <c r="G347" s="45"/>
      <c r="H347" s="45"/>
      <c r="I347" s="45"/>
      <c r="J347" s="45"/>
      <c r="K347" s="45"/>
      <c r="L347" s="45"/>
      <c r="M347" s="45"/>
      <c r="N347" s="45"/>
      <c r="O347" s="45"/>
      <c r="P347" s="45"/>
    </row>
    <row r="348" spans="1:16" ht="16.05" customHeight="1">
      <c r="A348" s="45"/>
      <c r="B348" s="45"/>
      <c r="C348" s="45"/>
      <c r="D348" s="45"/>
      <c r="E348" s="45"/>
      <c r="F348" s="45"/>
      <c r="G348" s="45"/>
      <c r="H348" s="45"/>
      <c r="I348" s="45"/>
      <c r="J348" s="45"/>
      <c r="K348" s="45"/>
      <c r="L348" s="45"/>
      <c r="M348" s="45"/>
      <c r="N348" s="45"/>
      <c r="O348" s="45"/>
      <c r="P348" s="45"/>
    </row>
    <row r="349" spans="1:16" ht="16.05" customHeight="1">
      <c r="A349" s="45"/>
      <c r="B349" s="45"/>
      <c r="C349" s="45"/>
      <c r="D349" s="45"/>
      <c r="E349" s="45"/>
      <c r="F349" s="45"/>
      <c r="G349" s="45"/>
      <c r="H349" s="45"/>
      <c r="I349" s="45"/>
      <c r="J349" s="45"/>
      <c r="K349" s="45"/>
      <c r="L349" s="45"/>
      <c r="M349" s="45"/>
      <c r="N349" s="45"/>
      <c r="O349" s="45"/>
      <c r="P349" s="45"/>
    </row>
    <row r="350" spans="1:16" ht="16.05" customHeight="1">
      <c r="A350" s="45"/>
      <c r="B350" s="45"/>
      <c r="C350" s="45"/>
      <c r="D350" s="45"/>
      <c r="E350" s="45"/>
      <c r="F350" s="45"/>
      <c r="G350" s="45"/>
      <c r="H350" s="45"/>
      <c r="I350" s="45"/>
      <c r="J350" s="45"/>
      <c r="K350" s="45"/>
      <c r="L350" s="45"/>
      <c r="M350" s="45"/>
      <c r="N350" s="45"/>
      <c r="O350" s="45"/>
      <c r="P350" s="45"/>
    </row>
    <row r="351" spans="1:16" ht="16.05" customHeight="1">
      <c r="A351" s="45"/>
      <c r="B351" s="45"/>
      <c r="C351" s="45"/>
      <c r="D351" s="45"/>
      <c r="E351" s="45"/>
      <c r="F351" s="45"/>
      <c r="G351" s="45"/>
      <c r="H351" s="45"/>
      <c r="I351" s="45"/>
      <c r="J351" s="45"/>
      <c r="K351" s="45"/>
      <c r="L351" s="45"/>
      <c r="M351" s="45"/>
      <c r="N351" s="45"/>
      <c r="O351" s="45"/>
      <c r="P351" s="45"/>
    </row>
    <row r="352" spans="1:16" ht="16.05" customHeight="1">
      <c r="A352" s="45"/>
      <c r="B352" s="45"/>
      <c r="C352" s="45"/>
      <c r="D352" s="45"/>
      <c r="E352" s="45"/>
      <c r="F352" s="45"/>
      <c r="G352" s="45"/>
      <c r="H352" s="45"/>
      <c r="I352" s="45"/>
      <c r="J352" s="45"/>
      <c r="K352" s="45"/>
      <c r="L352" s="45"/>
      <c r="M352" s="45"/>
      <c r="N352" s="45"/>
      <c r="O352" s="45"/>
      <c r="P352" s="45"/>
    </row>
    <row r="353" spans="1:16" ht="16.05" customHeight="1">
      <c r="A353" s="45"/>
      <c r="B353" s="45"/>
      <c r="C353" s="45"/>
      <c r="D353" s="45"/>
      <c r="E353" s="45"/>
      <c r="F353" s="45"/>
      <c r="G353" s="45"/>
      <c r="H353" s="45"/>
      <c r="I353" s="45"/>
      <c r="J353" s="45"/>
      <c r="K353" s="45"/>
      <c r="L353" s="45"/>
      <c r="M353" s="45"/>
      <c r="N353" s="45"/>
      <c r="O353" s="45"/>
      <c r="P353" s="45"/>
    </row>
    <row r="354" spans="1:16" ht="16.05" customHeight="1">
      <c r="A354" s="45"/>
      <c r="B354" s="45"/>
      <c r="C354" s="45"/>
      <c r="D354" s="45"/>
      <c r="E354" s="45"/>
      <c r="F354" s="45"/>
      <c r="G354" s="45"/>
      <c r="H354" s="45"/>
      <c r="I354" s="45"/>
      <c r="J354" s="45"/>
      <c r="K354" s="45"/>
      <c r="L354" s="45"/>
      <c r="M354" s="45"/>
      <c r="N354" s="45"/>
      <c r="O354" s="45"/>
      <c r="P354" s="45"/>
    </row>
    <row r="355" spans="1:16" ht="16.05" customHeight="1">
      <c r="A355" s="45"/>
      <c r="B355" s="45"/>
      <c r="C355" s="45"/>
      <c r="D355" s="45"/>
      <c r="E355" s="45"/>
      <c r="F355" s="45"/>
      <c r="G355" s="45"/>
      <c r="H355" s="45"/>
      <c r="I355" s="45"/>
      <c r="J355" s="45"/>
      <c r="K355" s="45"/>
      <c r="L355" s="45"/>
      <c r="M355" s="45"/>
      <c r="N355" s="45"/>
      <c r="O355" s="45"/>
      <c r="P355" s="45"/>
    </row>
    <row r="356" spans="1:16" ht="16.05" customHeight="1">
      <c r="A356" s="45"/>
      <c r="B356" s="45"/>
      <c r="C356" s="45"/>
      <c r="D356" s="45"/>
      <c r="E356" s="45"/>
      <c r="F356" s="45"/>
      <c r="G356" s="45"/>
      <c r="H356" s="45"/>
      <c r="I356" s="45"/>
      <c r="J356" s="45"/>
      <c r="K356" s="45"/>
      <c r="L356" s="45"/>
      <c r="M356" s="45"/>
      <c r="N356" s="45"/>
      <c r="O356" s="45"/>
      <c r="P356" s="45"/>
    </row>
    <row r="357" spans="1:16" ht="16.05" customHeight="1">
      <c r="A357" s="45"/>
      <c r="B357" s="45"/>
      <c r="C357" s="45"/>
      <c r="D357" s="45"/>
      <c r="E357" s="45"/>
      <c r="F357" s="45"/>
      <c r="G357" s="45"/>
      <c r="H357" s="45"/>
      <c r="I357" s="45"/>
      <c r="J357" s="45"/>
      <c r="K357" s="45"/>
      <c r="L357" s="45"/>
      <c r="M357" s="45"/>
      <c r="N357" s="45"/>
      <c r="O357" s="45"/>
      <c r="P357" s="45"/>
    </row>
    <row r="358" spans="1:16" ht="16.05" customHeight="1">
      <c r="A358" s="45"/>
      <c r="B358" s="45"/>
      <c r="C358" s="45"/>
      <c r="D358" s="45"/>
      <c r="E358" s="45"/>
      <c r="F358" s="45"/>
      <c r="G358" s="45"/>
      <c r="H358" s="45"/>
      <c r="I358" s="45"/>
      <c r="J358" s="45"/>
      <c r="K358" s="45"/>
      <c r="L358" s="45"/>
      <c r="M358" s="45"/>
      <c r="N358" s="45"/>
      <c r="O358" s="45"/>
      <c r="P358" s="45"/>
    </row>
    <row r="359" spans="1:16" ht="16.05" customHeight="1">
      <c r="A359" s="45"/>
      <c r="B359" s="45"/>
      <c r="C359" s="45"/>
      <c r="D359" s="45"/>
      <c r="E359" s="45"/>
      <c r="F359" s="45"/>
      <c r="G359" s="45"/>
      <c r="H359" s="45"/>
      <c r="I359" s="45"/>
      <c r="J359" s="45"/>
      <c r="K359" s="45"/>
      <c r="L359" s="45"/>
      <c r="M359" s="45"/>
      <c r="N359" s="45"/>
      <c r="O359" s="45"/>
      <c r="P359" s="45"/>
    </row>
    <row r="360" spans="1:16" ht="16.05" customHeight="1">
      <c r="A360" s="45"/>
      <c r="B360" s="45"/>
      <c r="C360" s="45"/>
      <c r="D360" s="45"/>
      <c r="E360" s="45"/>
      <c r="F360" s="45"/>
      <c r="G360" s="45"/>
      <c r="H360" s="45"/>
      <c r="I360" s="45"/>
      <c r="J360" s="45"/>
      <c r="K360" s="45"/>
      <c r="L360" s="45"/>
      <c r="M360" s="45"/>
      <c r="N360" s="45"/>
      <c r="O360" s="45"/>
      <c r="P360" s="45"/>
    </row>
    <row r="361" spans="1:16" ht="16.05" customHeight="1">
      <c r="A361" s="45"/>
      <c r="B361" s="45"/>
      <c r="C361" s="45"/>
      <c r="D361" s="45"/>
      <c r="E361" s="45"/>
      <c r="F361" s="45"/>
      <c r="G361" s="45"/>
      <c r="H361" s="45"/>
      <c r="I361" s="45"/>
      <c r="J361" s="45"/>
      <c r="K361" s="45"/>
      <c r="L361" s="45"/>
      <c r="M361" s="45"/>
      <c r="N361" s="45"/>
      <c r="O361" s="45"/>
      <c r="P361" s="45"/>
    </row>
    <row r="362" spans="1:16" ht="16.05" customHeight="1">
      <c r="A362" s="45"/>
      <c r="B362" s="45"/>
      <c r="C362" s="45"/>
      <c r="D362" s="45"/>
      <c r="E362" s="45"/>
      <c r="F362" s="45"/>
      <c r="G362" s="45"/>
      <c r="H362" s="45"/>
      <c r="I362" s="45"/>
      <c r="J362" s="45"/>
      <c r="K362" s="45"/>
      <c r="L362" s="45"/>
      <c r="M362" s="45"/>
      <c r="N362" s="45"/>
      <c r="O362" s="45"/>
      <c r="P362" s="45"/>
    </row>
    <row r="363" spans="1:16" ht="16.05" customHeight="1">
      <c r="A363" s="45"/>
      <c r="B363" s="45"/>
      <c r="C363" s="45"/>
      <c r="D363" s="45"/>
      <c r="E363" s="45"/>
      <c r="F363" s="45"/>
      <c r="G363" s="45"/>
      <c r="H363" s="45"/>
      <c r="I363" s="45"/>
      <c r="J363" s="45"/>
      <c r="K363" s="45"/>
      <c r="L363" s="45"/>
      <c r="M363" s="45"/>
      <c r="N363" s="45"/>
      <c r="O363" s="45"/>
      <c r="P363" s="45"/>
    </row>
    <row r="364" spans="1:16" ht="16.05" customHeight="1">
      <c r="A364" s="45"/>
      <c r="B364" s="45"/>
      <c r="C364" s="45"/>
      <c r="D364" s="45"/>
      <c r="E364" s="45"/>
      <c r="F364" s="45"/>
      <c r="G364" s="45"/>
      <c r="H364" s="45"/>
      <c r="I364" s="45"/>
      <c r="J364" s="45"/>
      <c r="K364" s="45"/>
      <c r="L364" s="45"/>
      <c r="M364" s="45"/>
      <c r="N364" s="45"/>
      <c r="O364" s="45"/>
      <c r="P364" s="45"/>
    </row>
    <row r="365" spans="1:16" ht="16.05" customHeight="1">
      <c r="A365" s="45"/>
      <c r="B365" s="45"/>
      <c r="C365" s="45"/>
      <c r="D365" s="45"/>
      <c r="E365" s="45"/>
      <c r="F365" s="45"/>
      <c r="G365" s="45"/>
      <c r="H365" s="45"/>
      <c r="I365" s="45"/>
      <c r="J365" s="45"/>
      <c r="K365" s="45"/>
      <c r="L365" s="45"/>
      <c r="M365" s="45"/>
      <c r="N365" s="45"/>
      <c r="O365" s="45"/>
      <c r="P365" s="45"/>
    </row>
    <row r="366" spans="1:16" ht="16.05" customHeight="1">
      <c r="A366" s="45"/>
      <c r="B366" s="45"/>
      <c r="C366" s="45"/>
      <c r="D366" s="45"/>
      <c r="E366" s="45"/>
      <c r="F366" s="45"/>
      <c r="G366" s="45"/>
      <c r="H366" s="45"/>
      <c r="I366" s="45"/>
      <c r="J366" s="45"/>
      <c r="K366" s="45"/>
      <c r="L366" s="45"/>
      <c r="M366" s="45"/>
      <c r="N366" s="45"/>
      <c r="O366" s="45"/>
      <c r="P366" s="45"/>
    </row>
    <row r="367" spans="1:16" ht="16.05" customHeight="1">
      <c r="A367" s="45"/>
      <c r="B367" s="45"/>
      <c r="C367" s="45"/>
      <c r="D367" s="45"/>
      <c r="E367" s="45"/>
      <c r="F367" s="45"/>
      <c r="G367" s="45"/>
      <c r="H367" s="45"/>
      <c r="I367" s="45"/>
      <c r="J367" s="45"/>
      <c r="K367" s="45"/>
      <c r="L367" s="45"/>
      <c r="M367" s="45"/>
      <c r="N367" s="45"/>
      <c r="O367" s="45"/>
      <c r="P367" s="45"/>
    </row>
    <row r="368" spans="1:16" ht="16.05" customHeight="1">
      <c r="A368" s="45"/>
      <c r="B368" s="45"/>
      <c r="C368" s="45"/>
      <c r="D368" s="45"/>
      <c r="E368" s="45"/>
      <c r="F368" s="45"/>
      <c r="G368" s="45"/>
      <c r="H368" s="45"/>
      <c r="I368" s="45"/>
      <c r="J368" s="45"/>
      <c r="K368" s="45"/>
      <c r="L368" s="45"/>
      <c r="M368" s="45"/>
      <c r="N368" s="45"/>
      <c r="O368" s="45"/>
      <c r="P368" s="45"/>
    </row>
    <row r="369" spans="1:16" ht="16.05" customHeight="1">
      <c r="A369" s="45"/>
      <c r="B369" s="45"/>
      <c r="C369" s="45"/>
      <c r="D369" s="45"/>
      <c r="E369" s="45"/>
      <c r="F369" s="45"/>
      <c r="G369" s="45"/>
      <c r="H369" s="45"/>
      <c r="I369" s="45"/>
      <c r="J369" s="45"/>
      <c r="K369" s="45"/>
      <c r="L369" s="45"/>
      <c r="M369" s="45"/>
      <c r="N369" s="45"/>
      <c r="O369" s="45"/>
      <c r="P369" s="45"/>
    </row>
    <row r="370" spans="1:16" ht="16.05" customHeight="1">
      <c r="A370" s="45"/>
      <c r="B370" s="45"/>
      <c r="C370" s="45"/>
      <c r="D370" s="45"/>
      <c r="E370" s="45"/>
      <c r="F370" s="45"/>
      <c r="G370" s="45"/>
      <c r="H370" s="45"/>
      <c r="I370" s="45"/>
      <c r="J370" s="45"/>
      <c r="K370" s="45"/>
      <c r="L370" s="45"/>
      <c r="M370" s="45"/>
      <c r="N370" s="45"/>
      <c r="O370" s="45"/>
      <c r="P370" s="45"/>
    </row>
    <row r="371" spans="1:16" ht="16.05" customHeight="1">
      <c r="A371" s="45"/>
      <c r="B371" s="45"/>
      <c r="C371" s="45"/>
      <c r="D371" s="45"/>
      <c r="E371" s="45"/>
      <c r="F371" s="45"/>
      <c r="G371" s="45"/>
      <c r="H371" s="45"/>
      <c r="I371" s="45"/>
      <c r="J371" s="45"/>
      <c r="K371" s="45"/>
      <c r="L371" s="45"/>
      <c r="M371" s="45"/>
      <c r="N371" s="45"/>
      <c r="O371" s="45"/>
      <c r="P371" s="45"/>
    </row>
    <row r="372" spans="1:16" ht="16.05" customHeight="1">
      <c r="A372" s="45"/>
      <c r="B372" s="45"/>
      <c r="C372" s="45"/>
      <c r="D372" s="45"/>
      <c r="E372" s="45"/>
      <c r="F372" s="45"/>
      <c r="G372" s="45"/>
      <c r="H372" s="45"/>
      <c r="I372" s="45"/>
      <c r="J372" s="45"/>
      <c r="K372" s="45"/>
      <c r="L372" s="45"/>
      <c r="M372" s="45"/>
      <c r="N372" s="45"/>
      <c r="O372" s="45"/>
      <c r="P372" s="45"/>
    </row>
    <row r="373" spans="1:16" ht="16.05" customHeight="1">
      <c r="A373" s="45"/>
      <c r="B373" s="45"/>
      <c r="C373" s="45"/>
      <c r="D373" s="45"/>
      <c r="E373" s="45"/>
      <c r="F373" s="45"/>
      <c r="G373" s="45"/>
      <c r="H373" s="45"/>
      <c r="I373" s="45"/>
      <c r="J373" s="45"/>
      <c r="K373" s="45"/>
      <c r="L373" s="45"/>
      <c r="M373" s="45"/>
      <c r="N373" s="45"/>
      <c r="O373" s="45"/>
      <c r="P373" s="45"/>
    </row>
    <row r="374" spans="1:16" ht="16.05" customHeight="1">
      <c r="A374" s="45"/>
      <c r="B374" s="45"/>
      <c r="C374" s="45"/>
      <c r="D374" s="45"/>
      <c r="E374" s="45"/>
      <c r="F374" s="45"/>
      <c r="G374" s="45"/>
      <c r="H374" s="45"/>
      <c r="I374" s="45"/>
      <c r="J374" s="45"/>
      <c r="K374" s="45"/>
      <c r="L374" s="45"/>
      <c r="M374" s="45"/>
      <c r="N374" s="45"/>
      <c r="O374" s="45"/>
      <c r="P374" s="45"/>
    </row>
    <row r="375" spans="1:16" ht="16.05" customHeight="1">
      <c r="A375" s="45"/>
      <c r="B375" s="45"/>
      <c r="C375" s="45"/>
      <c r="D375" s="45"/>
      <c r="E375" s="45"/>
      <c r="F375" s="45"/>
      <c r="G375" s="45"/>
      <c r="H375" s="45"/>
      <c r="I375" s="45"/>
      <c r="J375" s="45"/>
      <c r="K375" s="45"/>
      <c r="L375" s="45"/>
      <c r="M375" s="45"/>
      <c r="N375" s="45"/>
      <c r="O375" s="45"/>
      <c r="P375" s="45"/>
    </row>
    <row r="376" spans="1:16" ht="16.05" customHeight="1">
      <c r="A376" s="45"/>
      <c r="B376" s="45"/>
      <c r="C376" s="45"/>
      <c r="D376" s="45"/>
      <c r="E376" s="45"/>
      <c r="F376" s="45"/>
      <c r="G376" s="45"/>
      <c r="H376" s="45"/>
      <c r="I376" s="45"/>
      <c r="J376" s="45"/>
      <c r="K376" s="45"/>
      <c r="L376" s="45"/>
      <c r="M376" s="45"/>
      <c r="N376" s="45"/>
      <c r="O376" s="45"/>
      <c r="P376" s="45"/>
    </row>
    <row r="377" spans="1:16" ht="16.05" customHeight="1">
      <c r="A377" s="45"/>
      <c r="B377" s="45"/>
      <c r="C377" s="45"/>
      <c r="D377" s="45"/>
      <c r="E377" s="45"/>
      <c r="F377" s="45"/>
      <c r="G377" s="45"/>
      <c r="H377" s="45"/>
      <c r="I377" s="45"/>
      <c r="J377" s="45"/>
      <c r="K377" s="45"/>
      <c r="L377" s="45"/>
      <c r="M377" s="45"/>
      <c r="N377" s="45"/>
      <c r="O377" s="45"/>
      <c r="P377" s="45"/>
    </row>
    <row r="378" spans="1:16" ht="16.05" customHeight="1">
      <c r="A378" s="45"/>
      <c r="B378" s="45"/>
      <c r="C378" s="45"/>
      <c r="D378" s="45"/>
      <c r="E378" s="45"/>
      <c r="F378" s="45"/>
      <c r="G378" s="45"/>
      <c r="H378" s="45"/>
      <c r="I378" s="45"/>
      <c r="J378" s="45"/>
      <c r="K378" s="45"/>
      <c r="L378" s="45"/>
      <c r="M378" s="45"/>
      <c r="N378" s="45"/>
      <c r="O378" s="45"/>
      <c r="P378" s="45"/>
    </row>
    <row r="379" spans="1:16" ht="16.05" customHeight="1">
      <c r="A379" s="45"/>
      <c r="B379" s="45"/>
      <c r="C379" s="45"/>
      <c r="D379" s="45"/>
      <c r="E379" s="45"/>
      <c r="F379" s="45"/>
      <c r="G379" s="45"/>
      <c r="H379" s="45"/>
      <c r="I379" s="45"/>
      <c r="J379" s="45"/>
      <c r="K379" s="45"/>
      <c r="L379" s="45"/>
      <c r="M379" s="45"/>
      <c r="N379" s="45"/>
      <c r="O379" s="45"/>
      <c r="P379" s="45"/>
    </row>
    <row r="380" spans="1:16" ht="16.05" customHeight="1">
      <c r="A380" s="45"/>
      <c r="B380" s="45"/>
      <c r="C380" s="45"/>
      <c r="D380" s="45"/>
      <c r="E380" s="45"/>
      <c r="F380" s="45"/>
      <c r="G380" s="45"/>
      <c r="H380" s="45"/>
      <c r="I380" s="45"/>
      <c r="J380" s="45"/>
      <c r="K380" s="45"/>
      <c r="L380" s="45"/>
      <c r="M380" s="45"/>
      <c r="N380" s="45"/>
      <c r="O380" s="45"/>
      <c r="P380" s="45"/>
    </row>
    <row r="381" spans="1:16" ht="16.05" customHeight="1">
      <c r="A381" s="45"/>
      <c r="B381" s="45"/>
      <c r="C381" s="45"/>
      <c r="D381" s="45"/>
      <c r="E381" s="45"/>
      <c r="F381" s="45"/>
      <c r="G381" s="45"/>
      <c r="H381" s="45"/>
      <c r="I381" s="45"/>
      <c r="J381" s="45"/>
      <c r="K381" s="45"/>
      <c r="L381" s="45"/>
      <c r="M381" s="45"/>
      <c r="N381" s="45"/>
      <c r="O381" s="45"/>
      <c r="P381" s="45"/>
    </row>
    <row r="382" spans="1:16" ht="16.05" customHeight="1">
      <c r="A382" s="45"/>
      <c r="B382" s="45"/>
      <c r="C382" s="45"/>
      <c r="D382" s="45"/>
      <c r="E382" s="45"/>
      <c r="F382" s="45"/>
      <c r="G382" s="45"/>
      <c r="H382" s="45"/>
      <c r="I382" s="45"/>
      <c r="J382" s="45"/>
      <c r="K382" s="45"/>
      <c r="L382" s="45"/>
      <c r="M382" s="45"/>
      <c r="N382" s="45"/>
      <c r="O382" s="45"/>
      <c r="P382" s="45"/>
    </row>
    <row r="383" spans="1:16" ht="16.05" customHeight="1">
      <c r="A383" s="45"/>
      <c r="B383" s="45"/>
      <c r="C383" s="45"/>
      <c r="D383" s="45"/>
      <c r="E383" s="45"/>
      <c r="F383" s="45"/>
      <c r="G383" s="45"/>
      <c r="H383" s="45"/>
      <c r="I383" s="45"/>
      <c r="J383" s="45"/>
      <c r="K383" s="45"/>
      <c r="L383" s="45"/>
      <c r="M383" s="45"/>
      <c r="N383" s="45"/>
      <c r="O383" s="45"/>
      <c r="P383" s="45"/>
    </row>
    <row r="384" spans="1:16" ht="16.05" customHeight="1">
      <c r="A384" s="45"/>
      <c r="B384" s="45"/>
      <c r="C384" s="45"/>
      <c r="D384" s="45"/>
      <c r="E384" s="45"/>
      <c r="F384" s="45"/>
      <c r="G384" s="45"/>
      <c r="H384" s="45"/>
      <c r="I384" s="45"/>
      <c r="J384" s="45"/>
      <c r="K384" s="45"/>
      <c r="L384" s="45"/>
      <c r="M384" s="45"/>
      <c r="N384" s="45"/>
      <c r="O384" s="45"/>
      <c r="P384" s="45"/>
    </row>
    <row r="385" spans="1:16" ht="16.05" customHeight="1">
      <c r="A385" s="45"/>
      <c r="B385" s="45"/>
      <c r="C385" s="45"/>
      <c r="D385" s="45"/>
      <c r="E385" s="45"/>
      <c r="F385" s="45"/>
      <c r="G385" s="45"/>
      <c r="H385" s="45"/>
      <c r="I385" s="45"/>
      <c r="J385" s="45"/>
      <c r="K385" s="45"/>
      <c r="L385" s="45"/>
      <c r="M385" s="45"/>
      <c r="N385" s="45"/>
      <c r="O385" s="45"/>
      <c r="P385" s="45"/>
    </row>
    <row r="386" spans="1:16" ht="16.05" customHeight="1">
      <c r="A386" s="45"/>
      <c r="B386" s="45"/>
      <c r="C386" s="45"/>
      <c r="D386" s="45"/>
      <c r="E386" s="45"/>
      <c r="F386" s="45"/>
      <c r="G386" s="45"/>
      <c r="H386" s="45"/>
      <c r="I386" s="45"/>
      <c r="J386" s="45"/>
      <c r="K386" s="45"/>
      <c r="L386" s="45"/>
      <c r="M386" s="45"/>
      <c r="N386" s="45"/>
      <c r="O386" s="45"/>
      <c r="P386" s="45"/>
    </row>
    <row r="387" spans="1:16" ht="16.05" customHeight="1">
      <c r="A387" s="45"/>
      <c r="B387" s="45"/>
      <c r="C387" s="45"/>
      <c r="D387" s="45"/>
      <c r="E387" s="45"/>
      <c r="F387" s="45"/>
      <c r="G387" s="45"/>
      <c r="H387" s="45"/>
      <c r="I387" s="45"/>
      <c r="J387" s="45"/>
      <c r="K387" s="45"/>
      <c r="L387" s="45"/>
      <c r="M387" s="45"/>
      <c r="N387" s="45"/>
      <c r="O387" s="45"/>
      <c r="P387" s="45"/>
    </row>
    <row r="388" spans="1:16" ht="16.05" customHeight="1">
      <c r="A388" s="45"/>
      <c r="B388" s="45"/>
      <c r="C388" s="45"/>
      <c r="D388" s="45"/>
      <c r="E388" s="45"/>
      <c r="F388" s="45"/>
      <c r="G388" s="45"/>
      <c r="H388" s="45"/>
      <c r="I388" s="45"/>
      <c r="J388" s="45"/>
      <c r="K388" s="45"/>
      <c r="L388" s="45"/>
      <c r="M388" s="45"/>
      <c r="N388" s="45"/>
      <c r="O388" s="45"/>
      <c r="P388" s="45"/>
    </row>
    <row r="389" spans="1:16" ht="16.05" customHeight="1">
      <c r="A389" s="45"/>
      <c r="B389" s="45"/>
      <c r="C389" s="45"/>
      <c r="D389" s="45"/>
      <c r="E389" s="45"/>
      <c r="F389" s="45"/>
      <c r="G389" s="45"/>
      <c r="H389" s="45"/>
      <c r="I389" s="45"/>
      <c r="J389" s="45"/>
      <c r="K389" s="45"/>
      <c r="L389" s="45"/>
      <c r="M389" s="45"/>
      <c r="N389" s="45"/>
      <c r="O389" s="45"/>
      <c r="P389" s="45"/>
    </row>
    <row r="390" spans="1:16" ht="16.05" customHeight="1">
      <c r="A390" s="45"/>
      <c r="B390" s="45"/>
      <c r="C390" s="45"/>
      <c r="D390" s="45"/>
      <c r="E390" s="45"/>
      <c r="F390" s="45"/>
      <c r="G390" s="45"/>
      <c r="H390" s="45"/>
      <c r="I390" s="45"/>
      <c r="J390" s="45"/>
      <c r="K390" s="45"/>
      <c r="L390" s="45"/>
      <c r="M390" s="45"/>
      <c r="N390" s="45"/>
      <c r="O390" s="45"/>
      <c r="P390" s="45"/>
    </row>
    <row r="391" spans="1:16" ht="16.05" customHeight="1">
      <c r="A391" s="45"/>
      <c r="B391" s="45"/>
      <c r="C391" s="45"/>
      <c r="D391" s="45"/>
      <c r="E391" s="45"/>
      <c r="F391" s="45"/>
      <c r="G391" s="45"/>
      <c r="H391" s="45"/>
      <c r="I391" s="45"/>
      <c r="J391" s="45"/>
      <c r="K391" s="45"/>
      <c r="L391" s="45"/>
      <c r="M391" s="45"/>
      <c r="N391" s="45"/>
      <c r="O391" s="45"/>
      <c r="P391" s="45"/>
    </row>
    <row r="392" spans="1:16" ht="16.05" customHeight="1">
      <c r="A392" s="45"/>
      <c r="B392" s="45"/>
      <c r="C392" s="45"/>
      <c r="D392" s="45"/>
      <c r="E392" s="45"/>
      <c r="F392" s="45"/>
      <c r="G392" s="45"/>
      <c r="H392" s="45"/>
      <c r="I392" s="45"/>
      <c r="J392" s="45"/>
      <c r="K392" s="45"/>
      <c r="L392" s="45"/>
      <c r="M392" s="45"/>
      <c r="N392" s="45"/>
      <c r="O392" s="45"/>
      <c r="P392" s="45"/>
    </row>
    <row r="393" spans="1:16" ht="16.05" customHeight="1">
      <c r="A393" s="45"/>
      <c r="B393" s="45"/>
      <c r="C393" s="45"/>
      <c r="D393" s="45"/>
      <c r="E393" s="45"/>
      <c r="F393" s="45"/>
      <c r="G393" s="45"/>
      <c r="H393" s="45"/>
      <c r="I393" s="45"/>
      <c r="J393" s="45"/>
      <c r="K393" s="45"/>
      <c r="L393" s="45"/>
      <c r="M393" s="45"/>
      <c r="N393" s="45"/>
      <c r="O393" s="45"/>
      <c r="P393" s="45"/>
    </row>
    <row r="394" spans="1:16" ht="16.05" customHeight="1">
      <c r="A394" s="45"/>
      <c r="B394" s="45"/>
      <c r="C394" s="45"/>
      <c r="D394" s="45"/>
      <c r="E394" s="45"/>
      <c r="F394" s="45"/>
      <c r="G394" s="45"/>
      <c r="H394" s="45"/>
      <c r="I394" s="45"/>
      <c r="J394" s="45"/>
      <c r="K394" s="45"/>
      <c r="L394" s="45"/>
      <c r="M394" s="45"/>
      <c r="N394" s="45"/>
      <c r="O394" s="45"/>
      <c r="P394" s="45"/>
    </row>
    <row r="395" spans="1:16" ht="16.05" customHeight="1">
      <c r="A395" s="45"/>
      <c r="B395" s="45"/>
      <c r="C395" s="45"/>
      <c r="D395" s="45"/>
      <c r="E395" s="45"/>
      <c r="F395" s="45"/>
      <c r="G395" s="45"/>
      <c r="H395" s="45"/>
      <c r="I395" s="45"/>
      <c r="J395" s="45"/>
      <c r="K395" s="45"/>
      <c r="L395" s="45"/>
      <c r="M395" s="45"/>
      <c r="N395" s="45"/>
      <c r="O395" s="45"/>
      <c r="P395" s="45"/>
    </row>
    <row r="396" spans="1:16" ht="16.05" customHeight="1">
      <c r="A396" s="45"/>
      <c r="B396" s="45"/>
      <c r="C396" s="45"/>
      <c r="D396" s="45"/>
      <c r="E396" s="45"/>
      <c r="F396" s="45"/>
      <c r="G396" s="45"/>
      <c r="H396" s="45"/>
      <c r="I396" s="45"/>
      <c r="J396" s="45"/>
      <c r="K396" s="45"/>
      <c r="L396" s="45"/>
      <c r="M396" s="45"/>
      <c r="N396" s="45"/>
      <c r="O396" s="45"/>
      <c r="P396" s="45"/>
    </row>
    <row r="397" spans="1:16" ht="16.05" customHeight="1">
      <c r="A397" s="45"/>
      <c r="B397" s="45"/>
      <c r="C397" s="45"/>
      <c r="D397" s="45"/>
      <c r="E397" s="45"/>
      <c r="F397" s="45"/>
      <c r="G397" s="45"/>
      <c r="H397" s="45"/>
      <c r="I397" s="45"/>
      <c r="J397" s="45"/>
      <c r="K397" s="45"/>
      <c r="L397" s="45"/>
      <c r="M397" s="45"/>
      <c r="N397" s="45"/>
      <c r="O397" s="45"/>
      <c r="P397" s="45"/>
    </row>
    <row r="398" spans="1:16" ht="16.05" customHeight="1">
      <c r="A398" s="45"/>
      <c r="B398" s="45"/>
      <c r="C398" s="45"/>
      <c r="D398" s="45"/>
      <c r="E398" s="45"/>
      <c r="F398" s="45"/>
      <c r="G398" s="45"/>
      <c r="H398" s="45"/>
      <c r="I398" s="45"/>
      <c r="J398" s="45"/>
      <c r="K398" s="45"/>
      <c r="L398" s="45"/>
      <c r="M398" s="45"/>
      <c r="N398" s="45"/>
      <c r="O398" s="45"/>
      <c r="P398" s="45"/>
    </row>
    <row r="399" spans="1:16" ht="16.05" customHeight="1">
      <c r="A399" s="45"/>
      <c r="B399" s="45"/>
      <c r="C399" s="45"/>
      <c r="D399" s="45"/>
      <c r="E399" s="45"/>
      <c r="F399" s="45"/>
      <c r="G399" s="45"/>
      <c r="H399" s="45"/>
      <c r="I399" s="45"/>
      <c r="J399" s="45"/>
      <c r="K399" s="45"/>
      <c r="L399" s="45"/>
      <c r="M399" s="45"/>
      <c r="N399" s="45"/>
      <c r="O399" s="45"/>
      <c r="P399" s="45"/>
    </row>
    <row r="400" spans="1:16" ht="16.05" customHeight="1">
      <c r="A400" s="45"/>
      <c r="B400" s="45"/>
      <c r="C400" s="45"/>
      <c r="D400" s="45"/>
      <c r="E400" s="45"/>
      <c r="F400" s="45"/>
      <c r="G400" s="45"/>
      <c r="H400" s="45"/>
      <c r="I400" s="45"/>
      <c r="J400" s="45"/>
      <c r="K400" s="45"/>
      <c r="L400" s="45"/>
      <c r="M400" s="45"/>
      <c r="N400" s="45"/>
      <c r="O400" s="45"/>
      <c r="P400" s="45"/>
    </row>
    <row r="401" spans="1:16" ht="16.05" customHeight="1">
      <c r="A401" s="45"/>
      <c r="B401" s="45"/>
      <c r="C401" s="45"/>
      <c r="D401" s="45"/>
      <c r="E401" s="45"/>
      <c r="F401" s="45"/>
      <c r="G401" s="45"/>
      <c r="H401" s="45"/>
      <c r="I401" s="45"/>
      <c r="J401" s="45"/>
      <c r="K401" s="45"/>
      <c r="L401" s="45"/>
      <c r="M401" s="45"/>
      <c r="N401" s="45"/>
      <c r="O401" s="45"/>
      <c r="P401" s="45"/>
    </row>
    <row r="402" spans="1:16" ht="16.05" customHeight="1">
      <c r="A402" s="45"/>
      <c r="B402" s="45"/>
      <c r="C402" s="45"/>
      <c r="D402" s="45"/>
      <c r="E402" s="45"/>
      <c r="F402" s="45"/>
      <c r="G402" s="45"/>
      <c r="H402" s="45"/>
      <c r="I402" s="45"/>
      <c r="J402" s="45"/>
      <c r="K402" s="45"/>
      <c r="L402" s="45"/>
      <c r="M402" s="45"/>
      <c r="N402" s="45"/>
      <c r="O402" s="45"/>
      <c r="P402" s="45"/>
    </row>
    <row r="403" spans="1:16" ht="16.05" customHeight="1">
      <c r="A403" s="45"/>
      <c r="B403" s="45"/>
      <c r="C403" s="45"/>
      <c r="D403" s="45"/>
      <c r="E403" s="45"/>
      <c r="F403" s="45"/>
      <c r="G403" s="45"/>
      <c r="H403" s="45"/>
      <c r="I403" s="45"/>
      <c r="J403" s="45"/>
      <c r="K403" s="45"/>
      <c r="L403" s="45"/>
      <c r="M403" s="45"/>
      <c r="N403" s="45"/>
      <c r="O403" s="45"/>
      <c r="P403" s="45"/>
    </row>
    <row r="404" spans="1:16" ht="16.05" customHeight="1">
      <c r="A404" s="45"/>
      <c r="B404" s="45"/>
      <c r="C404" s="45"/>
      <c r="D404" s="45"/>
      <c r="E404" s="45"/>
      <c r="F404" s="45"/>
      <c r="G404" s="45"/>
      <c r="H404" s="45"/>
      <c r="I404" s="45"/>
      <c r="J404" s="45"/>
      <c r="K404" s="45"/>
      <c r="L404" s="45"/>
      <c r="M404" s="45"/>
      <c r="N404" s="45"/>
      <c r="O404" s="45"/>
      <c r="P404" s="45"/>
    </row>
    <row r="405" spans="1:16" ht="16.05" customHeight="1">
      <c r="A405" s="45"/>
      <c r="B405" s="45"/>
      <c r="C405" s="45"/>
      <c r="D405" s="45"/>
      <c r="E405" s="45"/>
      <c r="F405" s="45"/>
      <c r="G405" s="45"/>
      <c r="H405" s="45"/>
      <c r="I405" s="45"/>
      <c r="J405" s="45"/>
      <c r="K405" s="45"/>
      <c r="L405" s="45"/>
      <c r="M405" s="45"/>
      <c r="N405" s="45"/>
      <c r="O405" s="45"/>
      <c r="P405" s="45"/>
    </row>
    <row r="406" spans="1:16" ht="16.05" customHeight="1">
      <c r="A406" s="45"/>
      <c r="B406" s="45"/>
      <c r="C406" s="45"/>
      <c r="D406" s="45"/>
      <c r="E406" s="45"/>
      <c r="F406" s="45"/>
      <c r="G406" s="45"/>
      <c r="H406" s="45"/>
      <c r="I406" s="45"/>
      <c r="J406" s="45"/>
      <c r="K406" s="45"/>
      <c r="L406" s="45"/>
      <c r="M406" s="45"/>
      <c r="N406" s="45"/>
      <c r="O406" s="45"/>
      <c r="P406" s="45"/>
    </row>
    <row r="407" spans="1:16" ht="16.05" customHeight="1">
      <c r="A407" s="45"/>
      <c r="B407" s="45"/>
      <c r="C407" s="45"/>
      <c r="D407" s="45"/>
      <c r="E407" s="45"/>
      <c r="F407" s="45"/>
      <c r="G407" s="45"/>
      <c r="H407" s="45"/>
      <c r="I407" s="45"/>
      <c r="J407" s="45"/>
      <c r="K407" s="45"/>
      <c r="L407" s="45"/>
      <c r="M407" s="45"/>
      <c r="N407" s="45"/>
      <c r="O407" s="45"/>
      <c r="P407" s="45"/>
    </row>
    <row r="408" spans="1:16" ht="16.05" customHeight="1">
      <c r="A408" s="45"/>
      <c r="B408" s="45"/>
      <c r="C408" s="45"/>
      <c r="D408" s="45"/>
      <c r="E408" s="45"/>
      <c r="F408" s="45"/>
      <c r="G408" s="45"/>
      <c r="H408" s="45"/>
      <c r="I408" s="45"/>
      <c r="J408" s="45"/>
      <c r="K408" s="45"/>
      <c r="L408" s="45"/>
      <c r="M408" s="45"/>
      <c r="N408" s="45"/>
      <c r="O408" s="45"/>
      <c r="P408" s="45"/>
    </row>
    <row r="409" spans="1:16" ht="16.05" customHeight="1">
      <c r="A409" s="45"/>
      <c r="B409" s="45"/>
      <c r="C409" s="45"/>
      <c r="D409" s="45"/>
      <c r="E409" s="45"/>
      <c r="F409" s="45"/>
      <c r="G409" s="45"/>
      <c r="H409" s="45"/>
      <c r="I409" s="45"/>
      <c r="J409" s="45"/>
      <c r="K409" s="45"/>
      <c r="L409" s="45"/>
      <c r="M409" s="45"/>
      <c r="N409" s="45"/>
      <c r="O409" s="45"/>
      <c r="P409" s="45"/>
    </row>
    <row r="410" spans="1:16" ht="16.05" customHeight="1">
      <c r="A410" s="45"/>
      <c r="B410" s="45"/>
      <c r="C410" s="45"/>
      <c r="D410" s="45"/>
      <c r="E410" s="45"/>
      <c r="F410" s="45"/>
      <c r="G410" s="45"/>
      <c r="H410" s="45"/>
      <c r="I410" s="45"/>
      <c r="J410" s="45"/>
      <c r="K410" s="45"/>
      <c r="L410" s="45"/>
      <c r="M410" s="45"/>
      <c r="N410" s="45"/>
      <c r="O410" s="45"/>
      <c r="P410" s="45"/>
    </row>
  </sheetData>
  <mergeCells count="14">
    <mergeCell ref="L13:L14"/>
    <mergeCell ref="L3:L4"/>
    <mergeCell ref="L5:L6"/>
    <mergeCell ref="L7:L8"/>
    <mergeCell ref="L9:L10"/>
    <mergeCell ref="L11:L12"/>
    <mergeCell ref="L27:L28"/>
    <mergeCell ref="L29:L30"/>
    <mergeCell ref="L15:L16"/>
    <mergeCell ref="L17:L18"/>
    <mergeCell ref="L19:L20"/>
    <mergeCell ref="L21:L22"/>
    <mergeCell ref="L23:L24"/>
    <mergeCell ref="L25:L26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53FFD-160D-4738-850B-FECE2C702763}">
  <dimension ref="A1:G2487"/>
  <sheetViews>
    <sheetView workbookViewId="0">
      <selection activeCell="J6" sqref="J6"/>
    </sheetView>
  </sheetViews>
  <sheetFormatPr defaultColWidth="10.77734375" defaultRowHeight="16.05" customHeight="1"/>
  <cols>
    <col min="1" max="3" width="15.6640625" style="99" customWidth="1"/>
    <col min="4" max="4" width="5.6640625" style="47" customWidth="1"/>
    <col min="5" max="7" width="15.6640625" style="47" customWidth="1"/>
    <col min="8" max="16384" width="10.77734375" style="118"/>
  </cols>
  <sheetData>
    <row r="1" spans="1:7" ht="16.05" customHeight="1">
      <c r="A1" s="100" t="s">
        <v>405</v>
      </c>
    </row>
    <row r="2" spans="1:7" ht="16.05" customHeight="1">
      <c r="A2" s="198" t="s">
        <v>406</v>
      </c>
      <c r="B2" s="199"/>
      <c r="C2" s="200"/>
      <c r="E2" s="198" t="s">
        <v>407</v>
      </c>
      <c r="F2" s="199"/>
      <c r="G2" s="200"/>
    </row>
    <row r="3" spans="1:7" ht="16.05" customHeight="1">
      <c r="A3" s="10" t="s">
        <v>408</v>
      </c>
      <c r="B3" s="10" t="s">
        <v>409</v>
      </c>
      <c r="C3" s="18" t="s">
        <v>410</v>
      </c>
      <c r="E3" s="119" t="s">
        <v>408</v>
      </c>
      <c r="F3" s="119" t="s">
        <v>409</v>
      </c>
      <c r="G3" s="120" t="s">
        <v>410</v>
      </c>
    </row>
    <row r="4" spans="1:7" ht="16.05" customHeight="1">
      <c r="A4" s="15">
        <v>1</v>
      </c>
      <c r="B4" s="15">
        <v>101701357</v>
      </c>
      <c r="C4" s="66">
        <v>101701429</v>
      </c>
      <c r="E4" s="86">
        <v>1</v>
      </c>
      <c r="F4" s="86">
        <v>110610990</v>
      </c>
      <c r="G4" s="46">
        <v>110611071</v>
      </c>
    </row>
    <row r="5" spans="1:7" ht="16.05" customHeight="1">
      <c r="A5" s="15">
        <v>1</v>
      </c>
      <c r="B5" s="15">
        <v>101701488</v>
      </c>
      <c r="C5" s="66">
        <v>101701576</v>
      </c>
      <c r="E5" s="86">
        <v>1</v>
      </c>
      <c r="F5" s="86">
        <v>119527216</v>
      </c>
      <c r="G5" s="46">
        <v>119527366</v>
      </c>
    </row>
    <row r="6" spans="1:7" ht="16.05" customHeight="1">
      <c r="A6" s="15">
        <v>1</v>
      </c>
      <c r="B6" s="15">
        <v>101702592</v>
      </c>
      <c r="C6" s="66">
        <v>101702788</v>
      </c>
      <c r="E6" s="86">
        <v>1</v>
      </c>
      <c r="F6" s="86">
        <v>119527372</v>
      </c>
      <c r="G6" s="46">
        <v>119527551</v>
      </c>
    </row>
    <row r="7" spans="1:7" ht="16.05" customHeight="1">
      <c r="A7" s="15">
        <v>1</v>
      </c>
      <c r="B7" s="15">
        <v>101702818</v>
      </c>
      <c r="C7" s="66">
        <v>101702954</v>
      </c>
      <c r="E7" s="86">
        <v>1</v>
      </c>
      <c r="F7" s="86">
        <v>119528293</v>
      </c>
      <c r="G7" s="46">
        <v>119528436</v>
      </c>
    </row>
    <row r="8" spans="1:7" ht="16.05" customHeight="1">
      <c r="A8" s="15">
        <v>1</v>
      </c>
      <c r="B8" s="15">
        <v>103573663</v>
      </c>
      <c r="C8" s="66">
        <v>103573911</v>
      </c>
      <c r="E8" s="86">
        <v>1</v>
      </c>
      <c r="F8" s="86">
        <v>119528464</v>
      </c>
      <c r="G8" s="46">
        <v>119528556</v>
      </c>
    </row>
    <row r="9" spans="1:7" ht="16.05" customHeight="1">
      <c r="A9" s="15">
        <v>1</v>
      </c>
      <c r="B9" s="15">
        <v>107682712</v>
      </c>
      <c r="C9" s="66">
        <v>107682824</v>
      </c>
      <c r="E9" s="86">
        <v>1</v>
      </c>
      <c r="F9" s="86">
        <v>119530616</v>
      </c>
      <c r="G9" s="46">
        <v>119530717</v>
      </c>
    </row>
    <row r="10" spans="1:7" ht="16.05" customHeight="1">
      <c r="A10" s="15">
        <v>1</v>
      </c>
      <c r="B10" s="15">
        <v>107683360</v>
      </c>
      <c r="C10" s="66">
        <v>107683538</v>
      </c>
      <c r="E10" s="86">
        <v>1</v>
      </c>
      <c r="F10" s="86">
        <v>119531200</v>
      </c>
      <c r="G10" s="46">
        <v>119531278</v>
      </c>
    </row>
    <row r="11" spans="1:7" ht="16.05" customHeight="1">
      <c r="A11" s="15">
        <v>1</v>
      </c>
      <c r="B11" s="15">
        <v>108508490</v>
      </c>
      <c r="C11" s="66">
        <v>108508654</v>
      </c>
      <c r="E11" s="86">
        <v>1</v>
      </c>
      <c r="F11" s="86">
        <v>162255004</v>
      </c>
      <c r="G11" s="46">
        <v>162255046</v>
      </c>
    </row>
    <row r="12" spans="1:7" ht="16.05" customHeight="1">
      <c r="A12" s="15">
        <v>1</v>
      </c>
      <c r="B12" s="15">
        <v>109203589</v>
      </c>
      <c r="C12" s="66">
        <v>109203782</v>
      </c>
      <c r="E12" s="86">
        <v>1</v>
      </c>
      <c r="F12" s="86">
        <v>170630452</v>
      </c>
      <c r="G12" s="46">
        <v>170630764</v>
      </c>
    </row>
    <row r="13" spans="1:7" ht="16.05" customHeight="1">
      <c r="A13" s="15">
        <v>1</v>
      </c>
      <c r="B13" s="15">
        <v>109656979</v>
      </c>
      <c r="C13" s="66">
        <v>109657090</v>
      </c>
      <c r="E13" s="86">
        <v>1</v>
      </c>
      <c r="F13" s="86">
        <v>193155697</v>
      </c>
      <c r="G13" s="46">
        <v>193155708</v>
      </c>
    </row>
    <row r="14" spans="1:7" ht="16.05" customHeight="1">
      <c r="A14" s="15">
        <v>1</v>
      </c>
      <c r="B14" s="15">
        <v>110610725</v>
      </c>
      <c r="C14" s="66">
        <v>110610960</v>
      </c>
      <c r="E14" s="86">
        <v>1</v>
      </c>
      <c r="F14" s="86">
        <v>197879610</v>
      </c>
      <c r="G14" s="46">
        <v>197879808</v>
      </c>
    </row>
    <row r="15" spans="1:7" ht="16.05" customHeight="1">
      <c r="A15" s="15">
        <v>1</v>
      </c>
      <c r="B15" s="15">
        <v>110610990</v>
      </c>
      <c r="C15" s="66">
        <v>110611071</v>
      </c>
      <c r="E15" s="86">
        <v>1</v>
      </c>
      <c r="F15" s="86">
        <v>197879841</v>
      </c>
      <c r="G15" s="46">
        <v>197879929</v>
      </c>
    </row>
    <row r="16" spans="1:7" ht="16.05" customHeight="1">
      <c r="A16" s="15">
        <v>1</v>
      </c>
      <c r="B16" s="15">
        <v>110611648</v>
      </c>
      <c r="C16" s="66">
        <v>110611864</v>
      </c>
      <c r="E16" s="86">
        <v>1</v>
      </c>
      <c r="F16" s="86">
        <v>197888842</v>
      </c>
      <c r="G16" s="46">
        <v>197889055</v>
      </c>
    </row>
    <row r="17" spans="1:7" ht="16.05" customHeight="1">
      <c r="A17" s="15">
        <v>1</v>
      </c>
      <c r="B17" s="15">
        <v>110611876</v>
      </c>
      <c r="C17" s="66">
        <v>110611973</v>
      </c>
      <c r="E17" s="86">
        <v>1</v>
      </c>
      <c r="F17" s="86">
        <v>235814140</v>
      </c>
      <c r="G17" s="46">
        <v>235814303</v>
      </c>
    </row>
    <row r="18" spans="1:7" ht="16.05" customHeight="1">
      <c r="A18" s="15">
        <v>1</v>
      </c>
      <c r="B18" s="15">
        <v>110626845</v>
      </c>
      <c r="C18" s="66">
        <v>110626910</v>
      </c>
      <c r="E18" s="86">
        <v>1</v>
      </c>
      <c r="F18" s="86">
        <v>47696616</v>
      </c>
      <c r="G18" s="46">
        <v>47696741</v>
      </c>
    </row>
    <row r="19" spans="1:7" ht="16.05" customHeight="1">
      <c r="A19" s="15">
        <v>1</v>
      </c>
      <c r="B19" s="15">
        <v>110626972</v>
      </c>
      <c r="C19" s="66">
        <v>110627155</v>
      </c>
      <c r="E19" s="86">
        <v>1</v>
      </c>
      <c r="F19" s="86">
        <v>50886774</v>
      </c>
      <c r="G19" s="46">
        <v>50887060</v>
      </c>
    </row>
    <row r="20" spans="1:7" ht="16.05" customHeight="1">
      <c r="A20" s="15">
        <v>1</v>
      </c>
      <c r="B20" s="15">
        <v>110672907</v>
      </c>
      <c r="C20" s="66">
        <v>110673279</v>
      </c>
      <c r="E20" s="86">
        <v>1</v>
      </c>
      <c r="F20" s="86">
        <v>50887059</v>
      </c>
      <c r="G20" s="46">
        <v>50887143</v>
      </c>
    </row>
    <row r="21" spans="1:7" ht="16.05" customHeight="1">
      <c r="A21" s="15">
        <v>1</v>
      </c>
      <c r="B21" s="15">
        <v>114696941</v>
      </c>
      <c r="C21" s="66">
        <v>114697119</v>
      </c>
      <c r="E21" s="86">
        <v>1</v>
      </c>
      <c r="F21" s="86">
        <v>62660601</v>
      </c>
      <c r="G21" s="46">
        <v>62660907</v>
      </c>
    </row>
    <row r="22" spans="1:7" ht="16.05" customHeight="1">
      <c r="A22" s="15">
        <v>1</v>
      </c>
      <c r="B22" s="15">
        <v>114697159</v>
      </c>
      <c r="C22" s="66">
        <v>114697274</v>
      </c>
      <c r="E22" s="86">
        <v>1</v>
      </c>
      <c r="F22" s="86">
        <v>63785403</v>
      </c>
      <c r="G22" s="46">
        <v>63785624</v>
      </c>
    </row>
    <row r="23" spans="1:7" ht="16.05" customHeight="1">
      <c r="A23" s="15">
        <v>1</v>
      </c>
      <c r="B23" s="15">
        <v>119527216</v>
      </c>
      <c r="C23" s="66">
        <v>119527366</v>
      </c>
      <c r="E23" s="86">
        <v>1</v>
      </c>
      <c r="F23" s="86">
        <v>63785932</v>
      </c>
      <c r="G23" s="46">
        <v>63786245</v>
      </c>
    </row>
    <row r="24" spans="1:7" ht="16.05" customHeight="1">
      <c r="A24" s="15">
        <v>1</v>
      </c>
      <c r="B24" s="15">
        <v>119527372</v>
      </c>
      <c r="C24" s="66">
        <v>119527551</v>
      </c>
      <c r="E24" s="86">
        <v>1</v>
      </c>
      <c r="F24" s="86">
        <v>63787042</v>
      </c>
      <c r="G24" s="46">
        <v>63787100</v>
      </c>
    </row>
    <row r="25" spans="1:7" ht="16.05" customHeight="1">
      <c r="A25" s="15">
        <v>1</v>
      </c>
      <c r="B25" s="15">
        <v>119528293</v>
      </c>
      <c r="C25" s="66">
        <v>119528436</v>
      </c>
      <c r="E25" s="86">
        <v>1</v>
      </c>
      <c r="F25" s="86">
        <v>63791831</v>
      </c>
      <c r="G25" s="46">
        <v>63791937</v>
      </c>
    </row>
    <row r="26" spans="1:7" ht="16.05" customHeight="1">
      <c r="A26" s="15">
        <v>1</v>
      </c>
      <c r="B26" s="15">
        <v>119528464</v>
      </c>
      <c r="C26" s="66">
        <v>119528556</v>
      </c>
      <c r="E26" s="86">
        <v>1</v>
      </c>
      <c r="F26" s="86">
        <v>67217945</v>
      </c>
      <c r="G26" s="46">
        <v>67218003</v>
      </c>
    </row>
    <row r="27" spans="1:7" ht="16.05" customHeight="1">
      <c r="A27" s="15">
        <v>1</v>
      </c>
      <c r="B27" s="15">
        <v>119530438</v>
      </c>
      <c r="C27" s="66">
        <v>119530619</v>
      </c>
      <c r="E27" s="86">
        <v>1</v>
      </c>
      <c r="F27" s="86">
        <v>91185251</v>
      </c>
      <c r="G27" s="46">
        <v>91185494</v>
      </c>
    </row>
    <row r="28" spans="1:7" ht="16.05" customHeight="1">
      <c r="A28" s="15">
        <v>1</v>
      </c>
      <c r="B28" s="15">
        <v>119530616</v>
      </c>
      <c r="C28" s="66">
        <v>119530717</v>
      </c>
      <c r="E28" s="86">
        <v>1</v>
      </c>
      <c r="F28" s="86">
        <v>91185490</v>
      </c>
      <c r="G28" s="46">
        <v>91185582</v>
      </c>
    </row>
    <row r="29" spans="1:7" ht="16.05" customHeight="1">
      <c r="A29" s="15">
        <v>1</v>
      </c>
      <c r="B29" s="15">
        <v>119530844</v>
      </c>
      <c r="C29" s="66">
        <v>119531149</v>
      </c>
      <c r="E29" s="86">
        <v>1</v>
      </c>
      <c r="F29" s="86">
        <v>91190449</v>
      </c>
      <c r="G29" s="46">
        <v>91190716</v>
      </c>
    </row>
    <row r="30" spans="1:7" ht="16.05" customHeight="1">
      <c r="A30" s="15">
        <v>1</v>
      </c>
      <c r="B30" s="15">
        <v>119531200</v>
      </c>
      <c r="C30" s="66">
        <v>119531278</v>
      </c>
      <c r="E30" s="86">
        <v>1</v>
      </c>
      <c r="F30" s="86">
        <v>91194503</v>
      </c>
      <c r="G30" s="46">
        <v>91194602</v>
      </c>
    </row>
    <row r="31" spans="1:7" ht="16.05" customHeight="1">
      <c r="A31" s="15">
        <v>1</v>
      </c>
      <c r="B31" s="15">
        <v>119543177</v>
      </c>
      <c r="C31" s="66">
        <v>119543301</v>
      </c>
      <c r="E31" s="86">
        <v>1</v>
      </c>
      <c r="F31" s="86">
        <v>91195043</v>
      </c>
      <c r="G31" s="46">
        <v>91195086</v>
      </c>
    </row>
    <row r="32" spans="1:7" ht="16.05" customHeight="1">
      <c r="A32" s="15">
        <v>1</v>
      </c>
      <c r="B32" s="15">
        <v>119543303</v>
      </c>
      <c r="C32" s="66">
        <v>119543459</v>
      </c>
      <c r="E32" s="86">
        <v>2</v>
      </c>
      <c r="F32" s="86">
        <v>105478773</v>
      </c>
      <c r="G32" s="46">
        <v>105478821</v>
      </c>
    </row>
    <row r="33" spans="1:7" ht="16.05" customHeight="1">
      <c r="A33" s="15">
        <v>1</v>
      </c>
      <c r="B33" s="15">
        <v>119550647</v>
      </c>
      <c r="C33" s="66">
        <v>119550765</v>
      </c>
      <c r="E33" s="86">
        <v>2</v>
      </c>
      <c r="F33" s="86">
        <v>106681826</v>
      </c>
      <c r="G33" s="46">
        <v>106681951</v>
      </c>
    </row>
    <row r="34" spans="1:7" ht="16.05" customHeight="1">
      <c r="A34" s="15">
        <v>1</v>
      </c>
      <c r="B34" s="15">
        <v>119550798</v>
      </c>
      <c r="C34" s="66">
        <v>119551112</v>
      </c>
      <c r="E34" s="86">
        <v>2</v>
      </c>
      <c r="F34" s="86">
        <v>162283974</v>
      </c>
      <c r="G34" s="46">
        <v>162284141</v>
      </c>
    </row>
    <row r="35" spans="1:7" ht="16.05" customHeight="1">
      <c r="A35" s="15">
        <v>1</v>
      </c>
      <c r="B35" s="15">
        <v>12123133</v>
      </c>
      <c r="C35" s="66">
        <v>12123268</v>
      </c>
      <c r="E35" s="86">
        <v>2</v>
      </c>
      <c r="F35" s="86">
        <v>175199704</v>
      </c>
      <c r="G35" s="46">
        <v>175199927</v>
      </c>
    </row>
    <row r="36" spans="1:7" ht="16.05" customHeight="1">
      <c r="A36" s="15">
        <v>1</v>
      </c>
      <c r="B36" s="15">
        <v>12123432</v>
      </c>
      <c r="C36" s="66">
        <v>12123710</v>
      </c>
      <c r="E36" s="86">
        <v>2</v>
      </c>
      <c r="F36" s="86">
        <v>176947781</v>
      </c>
      <c r="G36" s="46">
        <v>176947895</v>
      </c>
    </row>
    <row r="37" spans="1:7" ht="16.05" customHeight="1">
      <c r="A37" s="15">
        <v>1</v>
      </c>
      <c r="B37" s="15">
        <v>13910066</v>
      </c>
      <c r="C37" s="66">
        <v>13910077</v>
      </c>
      <c r="E37" s="86">
        <v>2</v>
      </c>
      <c r="F37" s="86">
        <v>176948011</v>
      </c>
      <c r="G37" s="46">
        <v>176948114</v>
      </c>
    </row>
    <row r="38" spans="1:7" ht="16.05" customHeight="1">
      <c r="A38" s="15">
        <v>1</v>
      </c>
      <c r="B38" s="15">
        <v>13910133</v>
      </c>
      <c r="C38" s="66">
        <v>13910295</v>
      </c>
      <c r="E38" s="86">
        <v>2</v>
      </c>
      <c r="F38" s="86">
        <v>190044482</v>
      </c>
      <c r="G38" s="46">
        <v>190044510</v>
      </c>
    </row>
    <row r="39" spans="1:7" ht="16.05" customHeight="1">
      <c r="A39" s="15">
        <v>1</v>
      </c>
      <c r="B39" s="15">
        <v>145075433</v>
      </c>
      <c r="C39" s="66">
        <v>145075490</v>
      </c>
      <c r="E39" s="86">
        <v>2</v>
      </c>
      <c r="F39" s="86">
        <v>190044596</v>
      </c>
      <c r="G39" s="46">
        <v>190044644</v>
      </c>
    </row>
    <row r="40" spans="1:7" ht="16.05" customHeight="1">
      <c r="A40" s="15">
        <v>1</v>
      </c>
      <c r="B40" s="15">
        <v>145075496</v>
      </c>
      <c r="C40" s="66">
        <v>145075711</v>
      </c>
      <c r="E40" s="86">
        <v>2</v>
      </c>
      <c r="F40" s="86">
        <v>223163371</v>
      </c>
      <c r="G40" s="46">
        <v>223163495</v>
      </c>
    </row>
    <row r="41" spans="1:7" ht="16.05" customHeight="1">
      <c r="A41" s="15">
        <v>1</v>
      </c>
      <c r="B41" s="15">
        <v>146556549</v>
      </c>
      <c r="C41" s="66">
        <v>146556646</v>
      </c>
      <c r="E41" s="86">
        <v>2</v>
      </c>
      <c r="F41" s="86">
        <v>5833245</v>
      </c>
      <c r="G41" s="46">
        <v>5833325</v>
      </c>
    </row>
    <row r="42" spans="1:7" ht="16.05" customHeight="1">
      <c r="A42" s="15">
        <v>1</v>
      </c>
      <c r="B42" s="15">
        <v>147752649</v>
      </c>
      <c r="C42" s="66">
        <v>147752829</v>
      </c>
      <c r="E42" s="86">
        <v>2</v>
      </c>
      <c r="F42" s="86">
        <v>5833347</v>
      </c>
      <c r="G42" s="46">
        <v>5833487</v>
      </c>
    </row>
    <row r="43" spans="1:7" ht="16.05" customHeight="1">
      <c r="A43" s="15">
        <v>1</v>
      </c>
      <c r="B43" s="15">
        <v>147752855</v>
      </c>
      <c r="C43" s="66">
        <v>147752978</v>
      </c>
      <c r="E43" s="86">
        <v>2</v>
      </c>
      <c r="F43" s="86">
        <v>63280963</v>
      </c>
      <c r="G43" s="46">
        <v>63281001</v>
      </c>
    </row>
    <row r="44" spans="1:7" ht="16.05" customHeight="1">
      <c r="A44" s="15">
        <v>1</v>
      </c>
      <c r="B44" s="15">
        <v>147775409</v>
      </c>
      <c r="C44" s="66">
        <v>147775502</v>
      </c>
      <c r="E44" s="86">
        <v>2</v>
      </c>
      <c r="F44" s="86">
        <v>63281030</v>
      </c>
      <c r="G44" s="46">
        <v>63281243</v>
      </c>
    </row>
    <row r="45" spans="1:7" ht="16.05" customHeight="1">
      <c r="A45" s="15">
        <v>1</v>
      </c>
      <c r="B45" s="15">
        <v>147775517</v>
      </c>
      <c r="C45" s="66">
        <v>147775776</v>
      </c>
      <c r="E45" s="86">
        <v>2</v>
      </c>
      <c r="F45" s="86">
        <v>73147307</v>
      </c>
      <c r="G45" s="46">
        <v>73147444</v>
      </c>
    </row>
    <row r="46" spans="1:7" ht="16.05" customHeight="1">
      <c r="A46" s="15">
        <v>1</v>
      </c>
      <c r="B46" s="15">
        <v>148193489</v>
      </c>
      <c r="C46" s="66">
        <v>148193500</v>
      </c>
      <c r="E46" s="86">
        <v>3</v>
      </c>
      <c r="F46" s="86">
        <v>147106531</v>
      </c>
      <c r="G46" s="46">
        <v>147106643</v>
      </c>
    </row>
    <row r="47" spans="1:7" ht="16.05" customHeight="1">
      <c r="A47" s="15">
        <v>1</v>
      </c>
      <c r="B47" s="15">
        <v>151694387</v>
      </c>
      <c r="C47" s="66">
        <v>151694398</v>
      </c>
      <c r="E47" s="86">
        <v>3</v>
      </c>
      <c r="F47" s="86">
        <v>157821427</v>
      </c>
      <c r="G47" s="46">
        <v>157821524</v>
      </c>
    </row>
    <row r="48" spans="1:7" ht="16.05" customHeight="1">
      <c r="A48" s="15">
        <v>1</v>
      </c>
      <c r="B48" s="15">
        <v>152085164</v>
      </c>
      <c r="C48" s="66">
        <v>152085292</v>
      </c>
      <c r="E48" s="86">
        <v>3</v>
      </c>
      <c r="F48" s="86">
        <v>172165934</v>
      </c>
      <c r="G48" s="46">
        <v>172166059</v>
      </c>
    </row>
    <row r="49" spans="1:7" ht="16.05" customHeight="1">
      <c r="A49" s="15">
        <v>1</v>
      </c>
      <c r="B49" s="15">
        <v>152488088</v>
      </c>
      <c r="C49" s="66">
        <v>152488319</v>
      </c>
      <c r="E49" s="86">
        <v>3</v>
      </c>
      <c r="F49" s="86">
        <v>181414268</v>
      </c>
      <c r="G49" s="46">
        <v>181414279</v>
      </c>
    </row>
    <row r="50" spans="1:7" ht="16.05" customHeight="1">
      <c r="A50" s="15">
        <v>1</v>
      </c>
      <c r="B50" s="15">
        <v>154843117</v>
      </c>
      <c r="C50" s="66">
        <v>154843193</v>
      </c>
      <c r="E50" s="86">
        <v>3</v>
      </c>
      <c r="F50" s="86">
        <v>181437140</v>
      </c>
      <c r="G50" s="46">
        <v>181437341</v>
      </c>
    </row>
    <row r="51" spans="1:7" ht="16.05" customHeight="1">
      <c r="A51" s="15">
        <v>1</v>
      </c>
      <c r="B51" s="15">
        <v>155830289</v>
      </c>
      <c r="C51" s="66">
        <v>155830434</v>
      </c>
      <c r="E51" s="86">
        <v>3</v>
      </c>
      <c r="F51" s="86">
        <v>181437378</v>
      </c>
      <c r="G51" s="46">
        <v>181437453</v>
      </c>
    </row>
    <row r="52" spans="1:7" ht="16.05" customHeight="1">
      <c r="A52" s="15">
        <v>1</v>
      </c>
      <c r="B52" s="15">
        <v>156358061</v>
      </c>
      <c r="C52" s="66">
        <v>156358558</v>
      </c>
      <c r="E52" s="86">
        <v>4</v>
      </c>
      <c r="F52" s="86">
        <v>107958621</v>
      </c>
      <c r="G52" s="46">
        <v>107958632</v>
      </c>
    </row>
    <row r="53" spans="1:7" ht="16.05" customHeight="1">
      <c r="A53" s="15">
        <v>1</v>
      </c>
      <c r="B53" s="15">
        <v>156391363</v>
      </c>
      <c r="C53" s="66">
        <v>156391461</v>
      </c>
      <c r="E53" s="86">
        <v>4</v>
      </c>
      <c r="F53" s="86">
        <v>188916552</v>
      </c>
      <c r="G53" s="46">
        <v>188916635</v>
      </c>
    </row>
    <row r="54" spans="1:7" ht="16.05" customHeight="1">
      <c r="A54" s="15">
        <v>1</v>
      </c>
      <c r="B54" s="15">
        <v>156405928</v>
      </c>
      <c r="C54" s="66">
        <v>156406008</v>
      </c>
      <c r="E54" s="86">
        <v>4</v>
      </c>
      <c r="F54" s="86">
        <v>188916628</v>
      </c>
      <c r="G54" s="46">
        <v>188916881</v>
      </c>
    </row>
    <row r="55" spans="1:7" ht="16.05" customHeight="1">
      <c r="A55" s="15">
        <v>1</v>
      </c>
      <c r="B55" s="15">
        <v>156406129</v>
      </c>
      <c r="C55" s="66">
        <v>156406277</v>
      </c>
      <c r="E55" s="86">
        <v>4</v>
      </c>
      <c r="F55" s="86">
        <v>57521925</v>
      </c>
      <c r="G55" s="46">
        <v>57522077</v>
      </c>
    </row>
    <row r="56" spans="1:7" ht="16.05" customHeight="1">
      <c r="A56" s="15">
        <v>1</v>
      </c>
      <c r="B56" s="15">
        <v>156815127</v>
      </c>
      <c r="C56" s="66">
        <v>156815361</v>
      </c>
      <c r="E56" s="86">
        <v>4</v>
      </c>
      <c r="F56" s="86">
        <v>57522078</v>
      </c>
      <c r="G56" s="46">
        <v>57522267</v>
      </c>
    </row>
    <row r="57" spans="1:7" ht="16.05" customHeight="1">
      <c r="A57" s="15">
        <v>1</v>
      </c>
      <c r="B57" s="15">
        <v>158082996</v>
      </c>
      <c r="C57" s="66">
        <v>158083099</v>
      </c>
      <c r="E57" s="86">
        <v>5</v>
      </c>
      <c r="F57" s="86">
        <v>134880231</v>
      </c>
      <c r="G57" s="46">
        <v>134880493</v>
      </c>
    </row>
    <row r="58" spans="1:7" ht="16.05" customHeight="1">
      <c r="A58" s="15">
        <v>1</v>
      </c>
      <c r="B58" s="15">
        <v>158151199</v>
      </c>
      <c r="C58" s="66">
        <v>158151495</v>
      </c>
      <c r="E58" s="86">
        <v>5</v>
      </c>
      <c r="F58" s="86">
        <v>16179831</v>
      </c>
      <c r="G58" s="46">
        <v>16179935</v>
      </c>
    </row>
    <row r="59" spans="1:7" ht="16.05" customHeight="1">
      <c r="A59" s="15">
        <v>1</v>
      </c>
      <c r="B59" s="15">
        <v>158151497</v>
      </c>
      <c r="C59" s="66">
        <v>158151508</v>
      </c>
      <c r="E59" s="86">
        <v>5</v>
      </c>
      <c r="F59" s="86">
        <v>16179933</v>
      </c>
      <c r="G59" s="46">
        <v>16180189</v>
      </c>
    </row>
    <row r="60" spans="1:7" ht="16.05" customHeight="1">
      <c r="A60" s="15">
        <v>1</v>
      </c>
      <c r="B60" s="15">
        <v>161276058</v>
      </c>
      <c r="C60" s="66">
        <v>161276246</v>
      </c>
      <c r="E60" s="86">
        <v>5</v>
      </c>
      <c r="F60" s="86">
        <v>170742668</v>
      </c>
      <c r="G60" s="46">
        <v>170742756</v>
      </c>
    </row>
    <row r="61" spans="1:7" ht="16.05" customHeight="1">
      <c r="A61" s="15">
        <v>1</v>
      </c>
      <c r="B61" s="15">
        <v>161276312</v>
      </c>
      <c r="C61" s="66">
        <v>161276323</v>
      </c>
      <c r="E61" s="86">
        <v>5</v>
      </c>
      <c r="F61" s="86">
        <v>170743508</v>
      </c>
      <c r="G61" s="46">
        <v>170743731</v>
      </c>
    </row>
    <row r="62" spans="1:7" ht="16.05" customHeight="1">
      <c r="A62" s="15">
        <v>1</v>
      </c>
      <c r="B62" s="15">
        <v>165204823</v>
      </c>
      <c r="C62" s="66">
        <v>165205009</v>
      </c>
      <c r="E62" s="86">
        <v>5</v>
      </c>
      <c r="F62" s="86">
        <v>17219278</v>
      </c>
      <c r="G62" s="46">
        <v>17219358</v>
      </c>
    </row>
    <row r="63" spans="1:7" ht="16.05" customHeight="1">
      <c r="A63" s="15">
        <v>1</v>
      </c>
      <c r="B63" s="15">
        <v>165205422</v>
      </c>
      <c r="C63" s="66">
        <v>165205599</v>
      </c>
      <c r="E63" s="86">
        <v>5</v>
      </c>
      <c r="F63" s="86">
        <v>42952002</v>
      </c>
      <c r="G63" s="46">
        <v>42952286</v>
      </c>
    </row>
    <row r="64" spans="1:7" ht="16.05" customHeight="1">
      <c r="A64" s="15">
        <v>1</v>
      </c>
      <c r="B64" s="15">
        <v>165323519</v>
      </c>
      <c r="C64" s="66">
        <v>165323748</v>
      </c>
      <c r="E64" s="86">
        <v>5</v>
      </c>
      <c r="F64" s="86">
        <v>72529811</v>
      </c>
      <c r="G64" s="46">
        <v>72529875</v>
      </c>
    </row>
    <row r="65" spans="1:7" ht="16.05" customHeight="1">
      <c r="A65" s="15">
        <v>1</v>
      </c>
      <c r="B65" s="15">
        <v>165323763</v>
      </c>
      <c r="C65" s="66">
        <v>165323816</v>
      </c>
      <c r="E65" s="86">
        <v>5</v>
      </c>
      <c r="F65" s="86">
        <v>72595553</v>
      </c>
      <c r="G65" s="46">
        <v>72595631</v>
      </c>
    </row>
    <row r="66" spans="1:7" ht="16.05" customHeight="1">
      <c r="A66" s="15">
        <v>1</v>
      </c>
      <c r="B66" s="15">
        <v>166134508</v>
      </c>
      <c r="C66" s="66">
        <v>166134872</v>
      </c>
      <c r="E66" s="86">
        <v>5</v>
      </c>
      <c r="F66" s="86">
        <v>76924020</v>
      </c>
      <c r="G66" s="46">
        <v>76924099</v>
      </c>
    </row>
    <row r="67" spans="1:7" ht="16.05" customHeight="1">
      <c r="A67" s="15">
        <v>1</v>
      </c>
      <c r="B67" s="15">
        <v>166135188</v>
      </c>
      <c r="C67" s="66">
        <v>166135437</v>
      </c>
      <c r="E67" s="86">
        <v>5</v>
      </c>
      <c r="F67" s="86">
        <v>77268937</v>
      </c>
      <c r="G67" s="46">
        <v>77268961</v>
      </c>
    </row>
    <row r="68" spans="1:7" ht="16.05" customHeight="1">
      <c r="A68" s="15">
        <v>1</v>
      </c>
      <c r="B68" s="15">
        <v>166853521</v>
      </c>
      <c r="C68" s="66">
        <v>166853739</v>
      </c>
      <c r="E68" s="86">
        <v>6</v>
      </c>
      <c r="F68" s="86">
        <v>108488362</v>
      </c>
      <c r="G68" s="46">
        <v>108488436</v>
      </c>
    </row>
    <row r="69" spans="1:7" ht="16.05" customHeight="1">
      <c r="A69" s="15">
        <v>1</v>
      </c>
      <c r="B69" s="15">
        <v>166916722</v>
      </c>
      <c r="C69" s="66">
        <v>166916779</v>
      </c>
      <c r="E69" s="86">
        <v>6</v>
      </c>
      <c r="F69" s="86">
        <v>150286333</v>
      </c>
      <c r="G69" s="46">
        <v>150286545</v>
      </c>
    </row>
    <row r="70" spans="1:7" ht="16.05" customHeight="1">
      <c r="A70" s="15">
        <v>1</v>
      </c>
      <c r="B70" s="15">
        <v>169396486</v>
      </c>
      <c r="C70" s="66">
        <v>169396985</v>
      </c>
      <c r="E70" s="86">
        <v>6</v>
      </c>
      <c r="F70" s="86">
        <v>36808533</v>
      </c>
      <c r="G70" s="46">
        <v>36808653</v>
      </c>
    </row>
    <row r="71" spans="1:7" ht="16.05" customHeight="1">
      <c r="A71" s="15">
        <v>1</v>
      </c>
      <c r="B71" s="15">
        <v>170630301</v>
      </c>
      <c r="C71" s="66">
        <v>170630403</v>
      </c>
      <c r="E71" s="86">
        <v>6</v>
      </c>
      <c r="F71" s="86">
        <v>41606765</v>
      </c>
      <c r="G71" s="46">
        <v>41606875</v>
      </c>
    </row>
    <row r="72" spans="1:7" ht="16.05" customHeight="1">
      <c r="A72" s="15">
        <v>1</v>
      </c>
      <c r="B72" s="15">
        <v>170630452</v>
      </c>
      <c r="C72" s="66">
        <v>170630764</v>
      </c>
      <c r="E72" s="86">
        <v>6</v>
      </c>
      <c r="F72" s="86">
        <v>6004038</v>
      </c>
      <c r="G72" s="46">
        <v>6004229</v>
      </c>
    </row>
    <row r="73" spans="1:7" ht="16.05" customHeight="1">
      <c r="A73" s="15">
        <v>1</v>
      </c>
      <c r="B73" s="15">
        <v>177134317</v>
      </c>
      <c r="C73" s="66">
        <v>177134460</v>
      </c>
      <c r="E73" s="86">
        <v>6</v>
      </c>
      <c r="F73" s="86">
        <v>6004226</v>
      </c>
      <c r="G73" s="46">
        <v>6004298</v>
      </c>
    </row>
    <row r="74" spans="1:7" ht="16.05" customHeight="1">
      <c r="A74" s="15">
        <v>1</v>
      </c>
      <c r="B74" s="15">
        <v>177139960</v>
      </c>
      <c r="C74" s="66">
        <v>177140328</v>
      </c>
      <c r="E74" s="86">
        <v>7</v>
      </c>
      <c r="F74" s="86">
        <v>121941892</v>
      </c>
      <c r="G74" s="46">
        <v>121941903</v>
      </c>
    </row>
    <row r="75" spans="1:7" ht="16.05" customHeight="1">
      <c r="A75" s="15">
        <v>1</v>
      </c>
      <c r="B75" s="15">
        <v>177150738</v>
      </c>
      <c r="C75" s="66">
        <v>177150749</v>
      </c>
      <c r="E75" s="86">
        <v>7</v>
      </c>
      <c r="F75" s="86">
        <v>121941923</v>
      </c>
      <c r="G75" s="46">
        <v>121942179</v>
      </c>
    </row>
    <row r="76" spans="1:7" ht="16.05" customHeight="1">
      <c r="A76" s="15">
        <v>1</v>
      </c>
      <c r="B76" s="15">
        <v>179544898</v>
      </c>
      <c r="C76" s="66">
        <v>179545387</v>
      </c>
      <c r="E76" s="86">
        <v>7</v>
      </c>
      <c r="F76" s="86">
        <v>133811693</v>
      </c>
      <c r="G76" s="46">
        <v>133811709</v>
      </c>
    </row>
    <row r="77" spans="1:7" ht="16.05" customHeight="1">
      <c r="A77" s="15">
        <v>1</v>
      </c>
      <c r="B77" s="15">
        <v>179545395</v>
      </c>
      <c r="C77" s="66">
        <v>179545464</v>
      </c>
      <c r="E77" s="86">
        <v>7</v>
      </c>
      <c r="F77" s="86">
        <v>152622257</v>
      </c>
      <c r="G77" s="46">
        <v>152622305</v>
      </c>
    </row>
    <row r="78" spans="1:7" ht="16.05" customHeight="1">
      <c r="A78" s="15">
        <v>1</v>
      </c>
      <c r="B78" s="15">
        <v>179712017</v>
      </c>
      <c r="C78" s="66">
        <v>179712164</v>
      </c>
      <c r="E78" s="86">
        <v>7</v>
      </c>
      <c r="F78" s="86">
        <v>155252791</v>
      </c>
      <c r="G78" s="46">
        <v>155252822</v>
      </c>
    </row>
    <row r="79" spans="1:7" ht="16.05" customHeight="1">
      <c r="A79" s="15">
        <v>1</v>
      </c>
      <c r="B79" s="15">
        <v>179712175</v>
      </c>
      <c r="C79" s="66">
        <v>179712365</v>
      </c>
      <c r="E79" s="86">
        <v>7</v>
      </c>
      <c r="F79" s="86">
        <v>157781752</v>
      </c>
      <c r="G79" s="46">
        <v>157781825</v>
      </c>
    </row>
    <row r="80" spans="1:7" ht="16.05" customHeight="1">
      <c r="A80" s="15">
        <v>1</v>
      </c>
      <c r="B80" s="15">
        <v>180202977</v>
      </c>
      <c r="C80" s="66">
        <v>180203232</v>
      </c>
      <c r="E80" s="86">
        <v>7</v>
      </c>
      <c r="F80" s="86">
        <v>21209173</v>
      </c>
      <c r="G80" s="46">
        <v>21209310</v>
      </c>
    </row>
    <row r="81" spans="1:7" ht="16.05" customHeight="1">
      <c r="A81" s="15">
        <v>1</v>
      </c>
      <c r="B81" s="15">
        <v>180203234</v>
      </c>
      <c r="C81" s="66">
        <v>180203280</v>
      </c>
      <c r="E81" s="86">
        <v>7</v>
      </c>
      <c r="F81" s="86">
        <v>27195789</v>
      </c>
      <c r="G81" s="46">
        <v>27195939</v>
      </c>
    </row>
    <row r="82" spans="1:7" ht="16.05" customHeight="1">
      <c r="A82" s="15">
        <v>1</v>
      </c>
      <c r="B82" s="15">
        <v>180204048</v>
      </c>
      <c r="C82" s="66">
        <v>180204276</v>
      </c>
      <c r="E82" s="86">
        <v>7</v>
      </c>
      <c r="F82" s="86">
        <v>27195934</v>
      </c>
      <c r="G82" s="46">
        <v>27196126</v>
      </c>
    </row>
    <row r="83" spans="1:7" ht="16.05" customHeight="1">
      <c r="A83" s="15">
        <v>1</v>
      </c>
      <c r="B83" s="15">
        <v>180204294</v>
      </c>
      <c r="C83" s="66">
        <v>180204391</v>
      </c>
      <c r="E83" s="86">
        <v>7</v>
      </c>
      <c r="F83" s="86">
        <v>27196400</v>
      </c>
      <c r="G83" s="46">
        <v>27196536</v>
      </c>
    </row>
    <row r="84" spans="1:7" ht="16.05" customHeight="1">
      <c r="A84" s="15">
        <v>1</v>
      </c>
      <c r="B84" s="15">
        <v>180205104</v>
      </c>
      <c r="C84" s="66">
        <v>180205197</v>
      </c>
      <c r="E84" s="86">
        <v>7</v>
      </c>
      <c r="F84" s="86">
        <v>27204829</v>
      </c>
      <c r="G84" s="46">
        <v>27205120</v>
      </c>
    </row>
    <row r="85" spans="1:7" ht="16.05" customHeight="1">
      <c r="A85" s="15">
        <v>1</v>
      </c>
      <c r="B85" s="15">
        <v>180205248</v>
      </c>
      <c r="C85" s="66">
        <v>180205363</v>
      </c>
      <c r="E85" s="86">
        <v>7</v>
      </c>
      <c r="F85" s="86">
        <v>27205154</v>
      </c>
      <c r="G85" s="46">
        <v>27205427</v>
      </c>
    </row>
    <row r="86" spans="1:7" ht="16.05" customHeight="1">
      <c r="A86" s="15">
        <v>1</v>
      </c>
      <c r="B86" s="15">
        <v>181287629</v>
      </c>
      <c r="C86" s="66">
        <v>181287927</v>
      </c>
      <c r="E86" s="86">
        <v>7</v>
      </c>
      <c r="F86" s="86">
        <v>27205447</v>
      </c>
      <c r="G86" s="46">
        <v>27205678</v>
      </c>
    </row>
    <row r="87" spans="1:7" ht="16.05" customHeight="1">
      <c r="A87" s="15">
        <v>1</v>
      </c>
      <c r="B87" s="15">
        <v>181454852</v>
      </c>
      <c r="C87" s="66">
        <v>181455205</v>
      </c>
      <c r="E87" s="86">
        <v>7</v>
      </c>
      <c r="F87" s="86">
        <v>27213626</v>
      </c>
      <c r="G87" s="46">
        <v>27213785</v>
      </c>
    </row>
    <row r="88" spans="1:7" ht="16.05" customHeight="1">
      <c r="A88" s="15">
        <v>1</v>
      </c>
      <c r="B88" s="15">
        <v>181455206</v>
      </c>
      <c r="C88" s="66">
        <v>181455341</v>
      </c>
      <c r="E88" s="86">
        <v>7</v>
      </c>
      <c r="F88" s="86">
        <v>27242137</v>
      </c>
      <c r="G88" s="46">
        <v>27242195</v>
      </c>
    </row>
    <row r="89" spans="1:7" ht="16.05" customHeight="1">
      <c r="A89" s="15">
        <v>1</v>
      </c>
      <c r="B89" s="15">
        <v>18957996</v>
      </c>
      <c r="C89" s="66">
        <v>18958256</v>
      </c>
      <c r="E89" s="86">
        <v>7</v>
      </c>
      <c r="F89" s="86">
        <v>27244526</v>
      </c>
      <c r="G89" s="46">
        <v>27244561</v>
      </c>
    </row>
    <row r="90" spans="1:7" ht="16.05" customHeight="1">
      <c r="A90" s="15">
        <v>1</v>
      </c>
      <c r="B90" s="15">
        <v>18967848</v>
      </c>
      <c r="C90" s="66">
        <v>18967989</v>
      </c>
      <c r="E90" s="86">
        <v>7</v>
      </c>
      <c r="F90" s="86">
        <v>27244668</v>
      </c>
      <c r="G90" s="46">
        <v>27244729</v>
      </c>
    </row>
    <row r="91" spans="1:7" ht="16.05" customHeight="1">
      <c r="A91" s="15">
        <v>1</v>
      </c>
      <c r="B91" s="15">
        <v>18968105</v>
      </c>
      <c r="C91" s="66">
        <v>18968124</v>
      </c>
      <c r="E91" s="86">
        <v>7</v>
      </c>
      <c r="F91" s="86">
        <v>27282082</v>
      </c>
      <c r="G91" s="46">
        <v>27282150</v>
      </c>
    </row>
    <row r="92" spans="1:7" ht="16.05" customHeight="1">
      <c r="A92" s="15">
        <v>1</v>
      </c>
      <c r="B92" s="15">
        <v>18969544</v>
      </c>
      <c r="C92" s="66">
        <v>18969660</v>
      </c>
      <c r="E92" s="86">
        <v>7</v>
      </c>
      <c r="F92" s="86">
        <v>30722439</v>
      </c>
      <c r="G92" s="46">
        <v>30722498</v>
      </c>
    </row>
    <row r="93" spans="1:7" ht="16.05" customHeight="1">
      <c r="A93" s="15">
        <v>1</v>
      </c>
      <c r="B93" s="15">
        <v>18969662</v>
      </c>
      <c r="C93" s="66">
        <v>18969880</v>
      </c>
      <c r="E93" s="86">
        <v>7</v>
      </c>
      <c r="F93" s="86">
        <v>39649219</v>
      </c>
      <c r="G93" s="46">
        <v>39649368</v>
      </c>
    </row>
    <row r="94" spans="1:7" ht="16.05" customHeight="1">
      <c r="A94" s="15">
        <v>1</v>
      </c>
      <c r="B94" s="15">
        <v>190444551</v>
      </c>
      <c r="C94" s="66">
        <v>190444672</v>
      </c>
      <c r="E94" s="86">
        <v>7</v>
      </c>
      <c r="F94" s="86">
        <v>39649382</v>
      </c>
      <c r="G94" s="46">
        <v>39649515</v>
      </c>
    </row>
    <row r="95" spans="1:7" ht="16.05" customHeight="1">
      <c r="A95" s="15">
        <v>1</v>
      </c>
      <c r="B95" s="15">
        <v>190444730</v>
      </c>
      <c r="C95" s="66">
        <v>190444831</v>
      </c>
      <c r="E95" s="86">
        <v>8</v>
      </c>
      <c r="F95" s="86">
        <v>105479074</v>
      </c>
      <c r="G95" s="46">
        <v>105479194</v>
      </c>
    </row>
    <row r="96" spans="1:7" ht="16.05" customHeight="1">
      <c r="A96" s="15">
        <v>1</v>
      </c>
      <c r="B96" s="15">
        <v>190447227</v>
      </c>
      <c r="C96" s="66">
        <v>190447457</v>
      </c>
      <c r="E96" s="86">
        <v>8</v>
      </c>
      <c r="F96" s="86">
        <v>144650590</v>
      </c>
      <c r="G96" s="46">
        <v>144650899</v>
      </c>
    </row>
    <row r="97" spans="1:7" ht="16.05" customHeight="1">
      <c r="A97" s="15">
        <v>1</v>
      </c>
      <c r="B97" s="15">
        <v>193155697</v>
      </c>
      <c r="C97" s="66">
        <v>193155708</v>
      </c>
      <c r="E97" s="86">
        <v>8</v>
      </c>
      <c r="F97" s="86">
        <v>145106124</v>
      </c>
      <c r="G97" s="46">
        <v>145106225</v>
      </c>
    </row>
    <row r="98" spans="1:7" ht="16.05" customHeight="1">
      <c r="A98" s="15">
        <v>1</v>
      </c>
      <c r="B98" s="15">
        <v>193155778</v>
      </c>
      <c r="C98" s="66">
        <v>193155812</v>
      </c>
      <c r="E98" s="86">
        <v>8</v>
      </c>
      <c r="F98" s="86">
        <v>70982110</v>
      </c>
      <c r="G98" s="46">
        <v>70982255</v>
      </c>
    </row>
    <row r="99" spans="1:7" ht="16.05" customHeight="1">
      <c r="A99" s="15">
        <v>1</v>
      </c>
      <c r="B99" s="15">
        <v>1935114</v>
      </c>
      <c r="C99" s="66">
        <v>1935546</v>
      </c>
      <c r="E99" s="86">
        <v>8</v>
      </c>
      <c r="F99" s="86">
        <v>70982250</v>
      </c>
      <c r="G99" s="46">
        <v>70982368</v>
      </c>
    </row>
    <row r="100" spans="1:7" ht="16.05" customHeight="1">
      <c r="A100" s="15">
        <v>1</v>
      </c>
      <c r="B100" s="15">
        <v>196577704</v>
      </c>
      <c r="C100" s="66">
        <v>196577811</v>
      </c>
      <c r="E100" s="86">
        <v>8</v>
      </c>
      <c r="F100" s="86">
        <v>72468786</v>
      </c>
      <c r="G100" s="46">
        <v>72468857</v>
      </c>
    </row>
    <row r="101" spans="1:7" ht="16.05" customHeight="1">
      <c r="A101" s="15">
        <v>1</v>
      </c>
      <c r="B101" s="15">
        <v>197879610</v>
      </c>
      <c r="C101" s="66">
        <v>197879808</v>
      </c>
      <c r="E101" s="86">
        <v>8</v>
      </c>
      <c r="F101" s="86">
        <v>77586354</v>
      </c>
      <c r="G101" s="46">
        <v>77586445</v>
      </c>
    </row>
    <row r="102" spans="1:7" ht="16.05" customHeight="1">
      <c r="A102" s="15">
        <v>1</v>
      </c>
      <c r="B102" s="15">
        <v>197879841</v>
      </c>
      <c r="C102" s="66">
        <v>197879929</v>
      </c>
      <c r="E102" s="86">
        <v>8</v>
      </c>
      <c r="F102" s="86">
        <v>95246364</v>
      </c>
      <c r="G102" s="46">
        <v>95246449</v>
      </c>
    </row>
    <row r="103" spans="1:7" ht="16.05" customHeight="1">
      <c r="A103" s="15">
        <v>1</v>
      </c>
      <c r="B103" s="15">
        <v>197887121</v>
      </c>
      <c r="C103" s="66">
        <v>197887359</v>
      </c>
      <c r="E103" s="86">
        <v>9</v>
      </c>
      <c r="F103" s="86">
        <v>140780604</v>
      </c>
      <c r="G103" s="46">
        <v>140780706</v>
      </c>
    </row>
    <row r="104" spans="1:7" ht="16.05" customHeight="1">
      <c r="A104" s="15">
        <v>1</v>
      </c>
      <c r="B104" s="15">
        <v>197887780</v>
      </c>
      <c r="C104" s="66">
        <v>197887973</v>
      </c>
      <c r="E104" s="86">
        <v>9</v>
      </c>
      <c r="F104" s="86">
        <v>140780757</v>
      </c>
      <c r="G104" s="46">
        <v>140780855</v>
      </c>
    </row>
    <row r="105" spans="1:7" ht="16.05" customHeight="1">
      <c r="A105" s="15">
        <v>1</v>
      </c>
      <c r="B105" s="15">
        <v>197888726</v>
      </c>
      <c r="C105" s="66">
        <v>197888845</v>
      </c>
      <c r="E105" s="86">
        <v>9</v>
      </c>
      <c r="F105" s="86">
        <v>140944782</v>
      </c>
      <c r="G105" s="46">
        <v>140944796</v>
      </c>
    </row>
    <row r="106" spans="1:7" ht="16.05" customHeight="1">
      <c r="A106" s="15">
        <v>1</v>
      </c>
      <c r="B106" s="15">
        <v>197888842</v>
      </c>
      <c r="C106" s="66">
        <v>197889055</v>
      </c>
      <c r="E106" s="86">
        <v>9</v>
      </c>
      <c r="F106" s="86">
        <v>37038095</v>
      </c>
      <c r="G106" s="46">
        <v>37038167</v>
      </c>
    </row>
    <row r="107" spans="1:7" ht="16.05" customHeight="1">
      <c r="A107" s="15">
        <v>1</v>
      </c>
      <c r="B107" s="15">
        <v>200009761</v>
      </c>
      <c r="C107" s="66">
        <v>200009863</v>
      </c>
      <c r="E107" s="86">
        <v>10</v>
      </c>
      <c r="F107" s="86">
        <v>101287578</v>
      </c>
      <c r="G107" s="46">
        <v>101287679</v>
      </c>
    </row>
    <row r="108" spans="1:7" ht="16.05" customHeight="1">
      <c r="A108" s="15">
        <v>1</v>
      </c>
      <c r="B108" s="15">
        <v>200009908</v>
      </c>
      <c r="C108" s="66">
        <v>200009994</v>
      </c>
      <c r="E108" s="86">
        <v>10</v>
      </c>
      <c r="F108" s="86">
        <v>102419143</v>
      </c>
      <c r="G108" s="46">
        <v>102419229</v>
      </c>
    </row>
    <row r="109" spans="1:7" ht="16.05" customHeight="1">
      <c r="A109" s="15">
        <v>1</v>
      </c>
      <c r="B109" s="15">
        <v>200011548</v>
      </c>
      <c r="C109" s="66">
        <v>200011651</v>
      </c>
      <c r="E109" s="86">
        <v>10</v>
      </c>
      <c r="F109" s="86">
        <v>102984494</v>
      </c>
      <c r="G109" s="46">
        <v>102984619</v>
      </c>
    </row>
    <row r="110" spans="1:7" ht="16.05" customHeight="1">
      <c r="A110" s="15">
        <v>1</v>
      </c>
      <c r="B110" s="15">
        <v>200011679</v>
      </c>
      <c r="C110" s="66">
        <v>200011859</v>
      </c>
      <c r="E110" s="86">
        <v>10</v>
      </c>
      <c r="F110" s="86">
        <v>119303149</v>
      </c>
      <c r="G110" s="46">
        <v>119303379</v>
      </c>
    </row>
    <row r="111" spans="1:7" ht="16.05" customHeight="1">
      <c r="A111" s="15">
        <v>1</v>
      </c>
      <c r="B111" s="15">
        <v>202937086</v>
      </c>
      <c r="C111" s="66">
        <v>202937120</v>
      </c>
      <c r="E111" s="86">
        <v>11</v>
      </c>
      <c r="F111" s="86">
        <v>131780271</v>
      </c>
      <c r="G111" s="46">
        <v>131780284</v>
      </c>
    </row>
    <row r="112" spans="1:7" ht="16.05" customHeight="1">
      <c r="A112" s="15">
        <v>1</v>
      </c>
      <c r="B112" s="15">
        <v>204797457</v>
      </c>
      <c r="C112" s="66">
        <v>204797738</v>
      </c>
      <c r="E112" s="86">
        <v>11</v>
      </c>
      <c r="F112" s="86">
        <v>31826553</v>
      </c>
      <c r="G112" s="46">
        <v>31826745</v>
      </c>
    </row>
    <row r="113" spans="1:7" ht="16.05" customHeight="1">
      <c r="A113" s="15">
        <v>1</v>
      </c>
      <c r="B113" s="15">
        <v>205425143</v>
      </c>
      <c r="C113" s="66">
        <v>205425298</v>
      </c>
      <c r="E113" s="86">
        <v>11</v>
      </c>
      <c r="F113" s="86">
        <v>31838581</v>
      </c>
      <c r="G113" s="46">
        <v>31838702</v>
      </c>
    </row>
    <row r="114" spans="1:7" ht="16.05" customHeight="1">
      <c r="A114" s="15">
        <v>1</v>
      </c>
      <c r="B114" s="15">
        <v>20879799</v>
      </c>
      <c r="C114" s="66">
        <v>20879985</v>
      </c>
      <c r="E114" s="86">
        <v>11</v>
      </c>
      <c r="F114" s="86">
        <v>31838711</v>
      </c>
      <c r="G114" s="46">
        <v>31838832</v>
      </c>
    </row>
    <row r="115" spans="1:7" ht="16.05" customHeight="1">
      <c r="A115" s="15">
        <v>1</v>
      </c>
      <c r="B115" s="15">
        <v>214360603</v>
      </c>
      <c r="C115" s="66">
        <v>214360772</v>
      </c>
      <c r="E115" s="86">
        <v>11</v>
      </c>
      <c r="F115" s="86">
        <v>31848483</v>
      </c>
      <c r="G115" s="46">
        <v>31848687</v>
      </c>
    </row>
    <row r="116" spans="1:7" ht="16.05" customHeight="1">
      <c r="A116" s="15">
        <v>1</v>
      </c>
      <c r="B116" s="15">
        <v>214360788</v>
      </c>
      <c r="C116" s="66">
        <v>214360913</v>
      </c>
      <c r="E116" s="86">
        <v>12</v>
      </c>
      <c r="F116" s="86">
        <v>104697121</v>
      </c>
      <c r="G116" s="46">
        <v>104697699</v>
      </c>
    </row>
    <row r="117" spans="1:7" ht="16.05" customHeight="1">
      <c r="A117" s="15">
        <v>1</v>
      </c>
      <c r="B117" s="15">
        <v>216897193</v>
      </c>
      <c r="C117" s="66">
        <v>216897299</v>
      </c>
      <c r="E117" s="86">
        <v>12</v>
      </c>
      <c r="F117" s="86">
        <v>115136293</v>
      </c>
      <c r="G117" s="46">
        <v>115136355</v>
      </c>
    </row>
    <row r="118" spans="1:7" ht="16.05" customHeight="1">
      <c r="A118" s="15">
        <v>1</v>
      </c>
      <c r="B118" s="15">
        <v>218518463</v>
      </c>
      <c r="C118" s="66">
        <v>218518495</v>
      </c>
      <c r="E118" s="86">
        <v>12</v>
      </c>
      <c r="F118" s="86">
        <v>54321679</v>
      </c>
      <c r="G118" s="46">
        <v>54321777</v>
      </c>
    </row>
    <row r="119" spans="1:7" ht="16.05" customHeight="1">
      <c r="A119" s="15">
        <v>1</v>
      </c>
      <c r="B119" s="15">
        <v>220101532</v>
      </c>
      <c r="C119" s="66">
        <v>220101734</v>
      </c>
      <c r="E119" s="86">
        <v>12</v>
      </c>
      <c r="F119" s="86">
        <v>66122956</v>
      </c>
      <c r="G119" s="46">
        <v>66123133</v>
      </c>
    </row>
    <row r="120" spans="1:7" ht="16.05" customHeight="1">
      <c r="A120" s="15">
        <v>1</v>
      </c>
      <c r="B120" s="15">
        <v>220101749</v>
      </c>
      <c r="C120" s="66">
        <v>220101893</v>
      </c>
      <c r="E120" s="86">
        <v>12</v>
      </c>
      <c r="F120" s="86">
        <v>85673195</v>
      </c>
      <c r="G120" s="46">
        <v>85673431</v>
      </c>
    </row>
    <row r="121" spans="1:7" ht="16.05" customHeight="1">
      <c r="A121" s="15">
        <v>1</v>
      </c>
      <c r="B121" s="15">
        <v>220700728</v>
      </c>
      <c r="C121" s="66">
        <v>220701065</v>
      </c>
      <c r="E121" s="86">
        <v>13</v>
      </c>
      <c r="F121" s="86">
        <v>100624167</v>
      </c>
      <c r="G121" s="46">
        <v>100624299</v>
      </c>
    </row>
    <row r="122" spans="1:7" ht="16.05" customHeight="1">
      <c r="A122" s="15">
        <v>1</v>
      </c>
      <c r="B122" s="15">
        <v>221052385</v>
      </c>
      <c r="C122" s="66">
        <v>221052542</v>
      </c>
      <c r="E122" s="86">
        <v>13</v>
      </c>
      <c r="F122" s="86">
        <v>100627170</v>
      </c>
      <c r="G122" s="46">
        <v>100627319</v>
      </c>
    </row>
    <row r="123" spans="1:7" ht="16.05" customHeight="1">
      <c r="A123" s="15">
        <v>1</v>
      </c>
      <c r="B123" s="15">
        <v>22140841</v>
      </c>
      <c r="C123" s="66">
        <v>22141055</v>
      </c>
      <c r="E123" s="86">
        <v>13</v>
      </c>
      <c r="F123" s="86">
        <v>100642163</v>
      </c>
      <c r="G123" s="46">
        <v>100642193</v>
      </c>
    </row>
    <row r="124" spans="1:7" ht="16.05" customHeight="1">
      <c r="A124" s="15">
        <v>1</v>
      </c>
      <c r="B124" s="15">
        <v>22141073</v>
      </c>
      <c r="C124" s="66">
        <v>22141181</v>
      </c>
      <c r="E124" s="86">
        <v>13</v>
      </c>
      <c r="F124" s="86">
        <v>100643178</v>
      </c>
      <c r="G124" s="46">
        <v>100643276</v>
      </c>
    </row>
    <row r="125" spans="1:7" ht="16.05" customHeight="1">
      <c r="A125" s="15">
        <v>1</v>
      </c>
      <c r="B125" s="15">
        <v>224804357</v>
      </c>
      <c r="C125" s="66">
        <v>224804556</v>
      </c>
      <c r="E125" s="86">
        <v>13</v>
      </c>
      <c r="F125" s="86">
        <v>112720560</v>
      </c>
      <c r="G125" s="46">
        <v>112720648</v>
      </c>
    </row>
    <row r="126" spans="1:7" ht="16.05" customHeight="1">
      <c r="A126" s="15">
        <v>1</v>
      </c>
      <c r="B126" s="15">
        <v>228645151</v>
      </c>
      <c r="C126" s="66">
        <v>228645563</v>
      </c>
      <c r="E126" s="86">
        <v>13</v>
      </c>
      <c r="F126" s="86">
        <v>112723472</v>
      </c>
      <c r="G126" s="46">
        <v>112723649</v>
      </c>
    </row>
    <row r="127" spans="1:7" ht="16.05" customHeight="1">
      <c r="A127" s="15">
        <v>1</v>
      </c>
      <c r="B127" s="15">
        <v>228645585</v>
      </c>
      <c r="C127" s="66">
        <v>228645856</v>
      </c>
      <c r="E127" s="86">
        <v>13</v>
      </c>
      <c r="F127" s="86">
        <v>112759189</v>
      </c>
      <c r="G127" s="46">
        <v>112759311</v>
      </c>
    </row>
    <row r="128" spans="1:7" ht="16.05" customHeight="1">
      <c r="A128" s="15">
        <v>1</v>
      </c>
      <c r="B128" s="15">
        <v>228646778</v>
      </c>
      <c r="C128" s="66">
        <v>228646918</v>
      </c>
      <c r="E128" s="86">
        <v>13</v>
      </c>
      <c r="F128" s="86">
        <v>112759310</v>
      </c>
      <c r="G128" s="46">
        <v>112759529</v>
      </c>
    </row>
    <row r="129" spans="1:7" ht="16.05" customHeight="1">
      <c r="A129" s="15">
        <v>1</v>
      </c>
      <c r="B129" s="15">
        <v>228651540</v>
      </c>
      <c r="C129" s="66">
        <v>228651790</v>
      </c>
      <c r="E129" s="86">
        <v>13</v>
      </c>
      <c r="F129" s="86">
        <v>79161062</v>
      </c>
      <c r="G129" s="46">
        <v>79161180</v>
      </c>
    </row>
    <row r="130" spans="1:7" ht="16.05" customHeight="1">
      <c r="A130" s="15">
        <v>1</v>
      </c>
      <c r="B130" s="15">
        <v>228651843</v>
      </c>
      <c r="C130" s="66">
        <v>228651854</v>
      </c>
      <c r="E130" s="86">
        <v>13</v>
      </c>
      <c r="F130" s="86">
        <v>84453315</v>
      </c>
      <c r="G130" s="46">
        <v>84453414</v>
      </c>
    </row>
    <row r="131" spans="1:7" ht="16.05" customHeight="1">
      <c r="A131" s="15">
        <v>1</v>
      </c>
      <c r="B131" s="15">
        <v>229542939</v>
      </c>
      <c r="C131" s="66">
        <v>229543131</v>
      </c>
      <c r="E131" s="86">
        <v>14</v>
      </c>
      <c r="F131" s="86">
        <v>29235014</v>
      </c>
      <c r="G131" s="46">
        <v>29235284</v>
      </c>
    </row>
    <row r="132" spans="1:7" ht="16.05" customHeight="1">
      <c r="A132" s="15">
        <v>1</v>
      </c>
      <c r="B132" s="15">
        <v>229543173</v>
      </c>
      <c r="C132" s="66">
        <v>229543270</v>
      </c>
      <c r="E132" s="86">
        <v>14</v>
      </c>
      <c r="F132" s="86">
        <v>57261288</v>
      </c>
      <c r="G132" s="46">
        <v>57261430</v>
      </c>
    </row>
    <row r="133" spans="1:7" ht="16.05" customHeight="1">
      <c r="A133" s="15">
        <v>1</v>
      </c>
      <c r="B133" s="15">
        <v>229543439</v>
      </c>
      <c r="C133" s="66">
        <v>229543722</v>
      </c>
      <c r="E133" s="86">
        <v>14</v>
      </c>
      <c r="F133" s="86">
        <v>57265411</v>
      </c>
      <c r="G133" s="46">
        <v>57265497</v>
      </c>
    </row>
    <row r="134" spans="1:7" ht="16.05" customHeight="1">
      <c r="A134" s="15">
        <v>1</v>
      </c>
      <c r="B134" s="15">
        <v>231298515</v>
      </c>
      <c r="C134" s="66">
        <v>231298825</v>
      </c>
      <c r="E134" s="86">
        <v>14</v>
      </c>
      <c r="F134" s="86">
        <v>57265494</v>
      </c>
      <c r="G134" s="46">
        <v>57265669</v>
      </c>
    </row>
    <row r="135" spans="1:7" ht="16.05" customHeight="1">
      <c r="A135" s="15">
        <v>1</v>
      </c>
      <c r="B135" s="15">
        <v>234348647</v>
      </c>
      <c r="C135" s="66">
        <v>234348658</v>
      </c>
      <c r="E135" s="86">
        <v>14</v>
      </c>
      <c r="F135" s="86">
        <v>57274514</v>
      </c>
      <c r="G135" s="46">
        <v>57274576</v>
      </c>
    </row>
    <row r="136" spans="1:7" ht="16.05" customHeight="1">
      <c r="A136" s="15">
        <v>1</v>
      </c>
      <c r="B136" s="15">
        <v>235813834</v>
      </c>
      <c r="C136" s="66">
        <v>235814140</v>
      </c>
      <c r="E136" s="86">
        <v>14</v>
      </c>
      <c r="F136" s="86">
        <v>57274603</v>
      </c>
      <c r="G136" s="46">
        <v>57274666</v>
      </c>
    </row>
    <row r="137" spans="1:7" ht="16.05" customHeight="1">
      <c r="A137" s="15">
        <v>1</v>
      </c>
      <c r="B137" s="15">
        <v>235814140</v>
      </c>
      <c r="C137" s="66">
        <v>235814303</v>
      </c>
      <c r="E137" s="86">
        <v>14</v>
      </c>
      <c r="F137" s="86">
        <v>57274670</v>
      </c>
      <c r="G137" s="46">
        <v>57274835</v>
      </c>
    </row>
    <row r="138" spans="1:7" ht="16.05" customHeight="1">
      <c r="A138" s="15">
        <v>1</v>
      </c>
      <c r="B138" s="15">
        <v>237205122</v>
      </c>
      <c r="C138" s="66">
        <v>237205335</v>
      </c>
      <c r="E138" s="86">
        <v>14</v>
      </c>
      <c r="F138" s="86">
        <v>57275443</v>
      </c>
      <c r="G138" s="46">
        <v>57275561</v>
      </c>
    </row>
    <row r="139" spans="1:7" ht="16.05" customHeight="1">
      <c r="A139" s="15">
        <v>1</v>
      </c>
      <c r="B139" s="15">
        <v>237205831</v>
      </c>
      <c r="C139" s="66">
        <v>237206014</v>
      </c>
      <c r="E139" s="86">
        <v>14</v>
      </c>
      <c r="F139" s="86">
        <v>57278680</v>
      </c>
      <c r="G139" s="46">
        <v>57278804</v>
      </c>
    </row>
    <row r="140" spans="1:7" ht="16.05" customHeight="1">
      <c r="A140" s="15">
        <v>1</v>
      </c>
      <c r="B140" s="15">
        <v>237206031</v>
      </c>
      <c r="C140" s="66">
        <v>237206167</v>
      </c>
      <c r="E140" s="86">
        <v>14</v>
      </c>
      <c r="F140" s="86">
        <v>60952459</v>
      </c>
      <c r="G140" s="46">
        <v>60952560</v>
      </c>
    </row>
    <row r="141" spans="1:7" ht="16.05" customHeight="1">
      <c r="A141" s="15">
        <v>1</v>
      </c>
      <c r="B141" s="15">
        <v>237206387</v>
      </c>
      <c r="C141" s="66">
        <v>237206649</v>
      </c>
      <c r="E141" s="86">
        <v>14</v>
      </c>
      <c r="F141" s="86">
        <v>61119098</v>
      </c>
      <c r="G141" s="46">
        <v>61119336</v>
      </c>
    </row>
    <row r="142" spans="1:7" ht="16.05" customHeight="1">
      <c r="A142" s="15">
        <v>1</v>
      </c>
      <c r="B142" s="15">
        <v>240161076</v>
      </c>
      <c r="C142" s="66">
        <v>240161243</v>
      </c>
      <c r="E142" s="86">
        <v>14</v>
      </c>
      <c r="F142" s="86">
        <v>74893164</v>
      </c>
      <c r="G142" s="46">
        <v>74893189</v>
      </c>
    </row>
    <row r="143" spans="1:7" ht="16.05" customHeight="1">
      <c r="A143" s="15">
        <v>1</v>
      </c>
      <c r="B143" s="15">
        <v>240161244</v>
      </c>
      <c r="C143" s="66">
        <v>240161422</v>
      </c>
      <c r="E143" s="86">
        <v>15</v>
      </c>
      <c r="F143" s="86">
        <v>53097898</v>
      </c>
      <c r="G143" s="46">
        <v>53098005</v>
      </c>
    </row>
    <row r="144" spans="1:7" ht="16.05" customHeight="1">
      <c r="A144" s="15">
        <v>1</v>
      </c>
      <c r="B144" s="15">
        <v>240254871</v>
      </c>
      <c r="C144" s="66">
        <v>240255126</v>
      </c>
      <c r="E144" s="86">
        <v>15</v>
      </c>
      <c r="F144" s="86">
        <v>63889559</v>
      </c>
      <c r="G144" s="46">
        <v>63889580</v>
      </c>
    </row>
    <row r="145" spans="1:7" ht="16.05" customHeight="1">
      <c r="A145" s="15">
        <v>1</v>
      </c>
      <c r="B145" s="15">
        <v>240255314</v>
      </c>
      <c r="C145" s="66">
        <v>240255492</v>
      </c>
      <c r="E145" s="86">
        <v>15</v>
      </c>
      <c r="F145" s="86">
        <v>68122173</v>
      </c>
      <c r="G145" s="46">
        <v>68122293</v>
      </c>
    </row>
    <row r="146" spans="1:7" ht="16.05" customHeight="1">
      <c r="A146" s="15">
        <v>1</v>
      </c>
      <c r="B146" s="15">
        <v>240255521</v>
      </c>
      <c r="C146" s="66">
        <v>240255650</v>
      </c>
      <c r="E146" s="86">
        <v>16</v>
      </c>
      <c r="F146" s="86">
        <v>22825948</v>
      </c>
      <c r="G146" s="46">
        <v>22826123</v>
      </c>
    </row>
    <row r="147" spans="1:7" ht="16.05" customHeight="1">
      <c r="A147" s="15">
        <v>1</v>
      </c>
      <c r="B147" s="15">
        <v>241520617</v>
      </c>
      <c r="C147" s="66">
        <v>241520941</v>
      </c>
      <c r="E147" s="86">
        <v>16</v>
      </c>
      <c r="F147" s="86">
        <v>29796567</v>
      </c>
      <c r="G147" s="46">
        <v>29796717</v>
      </c>
    </row>
    <row r="148" spans="1:7" ht="16.05" customHeight="1">
      <c r="A148" s="15">
        <v>1</v>
      </c>
      <c r="B148" s="15">
        <v>244893394</v>
      </c>
      <c r="C148" s="66">
        <v>244893518</v>
      </c>
      <c r="E148" s="86">
        <v>16</v>
      </c>
      <c r="F148" s="86">
        <v>66612784</v>
      </c>
      <c r="G148" s="46">
        <v>66612979</v>
      </c>
    </row>
    <row r="149" spans="1:7" ht="16.05" customHeight="1">
      <c r="A149" s="15">
        <v>1</v>
      </c>
      <c r="B149" s="15">
        <v>25256860</v>
      </c>
      <c r="C149" s="66">
        <v>25257006</v>
      </c>
      <c r="E149" s="86">
        <v>16</v>
      </c>
      <c r="F149" s="86">
        <v>66613028</v>
      </c>
      <c r="G149" s="46">
        <v>66613126</v>
      </c>
    </row>
    <row r="150" spans="1:7" ht="16.05" customHeight="1">
      <c r="A150" s="15">
        <v>1</v>
      </c>
      <c r="B150" s="15">
        <v>25257024</v>
      </c>
      <c r="C150" s="66">
        <v>25257199</v>
      </c>
      <c r="E150" s="86">
        <v>16</v>
      </c>
      <c r="F150" s="86">
        <v>89044983</v>
      </c>
      <c r="G150" s="46">
        <v>89045080</v>
      </c>
    </row>
    <row r="151" spans="1:7" ht="16.05" customHeight="1">
      <c r="A151" s="15">
        <v>1</v>
      </c>
      <c r="B151" s="15">
        <v>26551991</v>
      </c>
      <c r="C151" s="66">
        <v>26552253</v>
      </c>
      <c r="E151" s="86">
        <v>17</v>
      </c>
      <c r="F151" s="86">
        <v>46691646</v>
      </c>
      <c r="G151" s="46">
        <v>46691751</v>
      </c>
    </row>
    <row r="152" spans="1:7" ht="16.05" customHeight="1">
      <c r="A152" s="15">
        <v>1</v>
      </c>
      <c r="B152" s="15">
        <v>26737624</v>
      </c>
      <c r="C152" s="66">
        <v>26737730</v>
      </c>
      <c r="E152" s="86">
        <v>17</v>
      </c>
      <c r="F152" s="86">
        <v>46796741</v>
      </c>
      <c r="G152" s="46">
        <v>46796986</v>
      </c>
    </row>
    <row r="153" spans="1:7" ht="16.05" customHeight="1">
      <c r="A153" s="15">
        <v>1</v>
      </c>
      <c r="B153" s="15">
        <v>29586399</v>
      </c>
      <c r="C153" s="66">
        <v>29586727</v>
      </c>
      <c r="E153" s="86">
        <v>17</v>
      </c>
      <c r="F153" s="86">
        <v>46824759</v>
      </c>
      <c r="G153" s="46">
        <v>46824899</v>
      </c>
    </row>
    <row r="154" spans="1:7" ht="16.05" customHeight="1">
      <c r="A154" s="15">
        <v>1</v>
      </c>
      <c r="B154" s="15">
        <v>35351027</v>
      </c>
      <c r="C154" s="66">
        <v>35351131</v>
      </c>
      <c r="E154" s="86">
        <v>17</v>
      </c>
      <c r="F154" s="86">
        <v>80329984</v>
      </c>
      <c r="G154" s="46">
        <v>80330047</v>
      </c>
    </row>
    <row r="155" spans="1:7" ht="16.05" customHeight="1">
      <c r="A155" s="15">
        <v>1</v>
      </c>
      <c r="B155" s="15">
        <v>35351180</v>
      </c>
      <c r="C155" s="66">
        <v>35351346</v>
      </c>
      <c r="E155" s="86">
        <v>18</v>
      </c>
      <c r="F155" s="86">
        <v>28622303</v>
      </c>
      <c r="G155" s="46">
        <v>28622336</v>
      </c>
    </row>
    <row r="156" spans="1:7" ht="16.05" customHeight="1">
      <c r="A156" s="15">
        <v>1</v>
      </c>
      <c r="B156" s="15">
        <v>37500379</v>
      </c>
      <c r="C156" s="66">
        <v>37500683</v>
      </c>
      <c r="E156" s="86">
        <v>19</v>
      </c>
      <c r="F156" s="86">
        <v>52390997</v>
      </c>
      <c r="G156" s="46">
        <v>52391135</v>
      </c>
    </row>
    <row r="157" spans="1:7" ht="16.05" customHeight="1">
      <c r="A157" s="15">
        <v>1</v>
      </c>
      <c r="B157" s="15">
        <v>38100806</v>
      </c>
      <c r="C157" s="66">
        <v>38100869</v>
      </c>
      <c r="E157" s="86">
        <v>19</v>
      </c>
      <c r="F157" s="86">
        <v>52391141</v>
      </c>
      <c r="G157" s="46">
        <v>52391310</v>
      </c>
    </row>
    <row r="158" spans="1:7" ht="16.05" customHeight="1">
      <c r="A158" s="15">
        <v>1</v>
      </c>
      <c r="B158" s="15">
        <v>38219611</v>
      </c>
      <c r="C158" s="66">
        <v>38220017</v>
      </c>
      <c r="E158" s="86">
        <v>19</v>
      </c>
      <c r="F158" s="86">
        <v>58629894</v>
      </c>
      <c r="G158" s="46">
        <v>58630096</v>
      </c>
    </row>
    <row r="159" spans="1:7" ht="16.05" customHeight="1">
      <c r="A159" s="15">
        <v>1</v>
      </c>
      <c r="B159" s="15">
        <v>38220085</v>
      </c>
      <c r="C159" s="66">
        <v>38220144</v>
      </c>
      <c r="E159" s="86">
        <v>20</v>
      </c>
      <c r="F159" s="86">
        <v>21501686</v>
      </c>
      <c r="G159" s="46">
        <v>21501716</v>
      </c>
    </row>
    <row r="160" spans="1:7" ht="16.05" customHeight="1">
      <c r="A160" s="15">
        <v>1</v>
      </c>
      <c r="B160" s="15">
        <v>38510794</v>
      </c>
      <c r="C160" s="66">
        <v>38511080</v>
      </c>
      <c r="E160" s="87">
        <v>22</v>
      </c>
      <c r="F160" s="87">
        <v>42679329</v>
      </c>
      <c r="G160" s="50">
        <v>42679450</v>
      </c>
    </row>
    <row r="161" spans="1:3" ht="16.05" customHeight="1">
      <c r="A161" s="15">
        <v>1</v>
      </c>
      <c r="B161" s="15">
        <v>43251115</v>
      </c>
      <c r="C161" s="66">
        <v>43251409</v>
      </c>
    </row>
    <row r="162" spans="1:3" ht="16.05" customHeight="1">
      <c r="A162" s="15">
        <v>1</v>
      </c>
      <c r="B162" s="15">
        <v>43251406</v>
      </c>
      <c r="C162" s="66">
        <v>43251425</v>
      </c>
    </row>
    <row r="163" spans="1:3" ht="16.05" customHeight="1">
      <c r="A163" s="15">
        <v>1</v>
      </c>
      <c r="B163" s="15">
        <v>44873110</v>
      </c>
      <c r="C163" s="66">
        <v>44873396</v>
      </c>
    </row>
    <row r="164" spans="1:3" ht="16.05" customHeight="1">
      <c r="A164" s="15">
        <v>1</v>
      </c>
      <c r="B164" s="15">
        <v>44883525</v>
      </c>
      <c r="C164" s="66">
        <v>44883722</v>
      </c>
    </row>
    <row r="165" spans="1:3" ht="16.05" customHeight="1">
      <c r="A165" s="15">
        <v>1</v>
      </c>
      <c r="B165" s="15">
        <v>44883731</v>
      </c>
      <c r="C165" s="66">
        <v>44883868</v>
      </c>
    </row>
    <row r="166" spans="1:3" ht="16.05" customHeight="1">
      <c r="A166" s="15">
        <v>1</v>
      </c>
      <c r="B166" s="15">
        <v>44884041</v>
      </c>
      <c r="C166" s="66">
        <v>44884172</v>
      </c>
    </row>
    <row r="167" spans="1:3" ht="16.05" customHeight="1">
      <c r="A167" s="15">
        <v>1</v>
      </c>
      <c r="B167" s="15">
        <v>44884178</v>
      </c>
      <c r="C167" s="66">
        <v>44884277</v>
      </c>
    </row>
    <row r="168" spans="1:3" ht="16.05" customHeight="1">
      <c r="A168" s="15">
        <v>1</v>
      </c>
      <c r="B168" s="15">
        <v>46913910</v>
      </c>
      <c r="C168" s="66">
        <v>46914039</v>
      </c>
    </row>
    <row r="169" spans="1:3" ht="16.05" customHeight="1">
      <c r="A169" s="15">
        <v>1</v>
      </c>
      <c r="B169" s="15">
        <v>46914072</v>
      </c>
      <c r="C169" s="66">
        <v>46914205</v>
      </c>
    </row>
    <row r="170" spans="1:3" ht="16.05" customHeight="1">
      <c r="A170" s="15">
        <v>1</v>
      </c>
      <c r="B170" s="15">
        <v>46951232</v>
      </c>
      <c r="C170" s="66">
        <v>46951651</v>
      </c>
    </row>
    <row r="171" spans="1:3" ht="16.05" customHeight="1">
      <c r="A171" s="15">
        <v>1</v>
      </c>
      <c r="B171" s="15">
        <v>46956341</v>
      </c>
      <c r="C171" s="66">
        <v>46956623</v>
      </c>
    </row>
    <row r="172" spans="1:3" ht="16.05" customHeight="1">
      <c r="A172" s="15">
        <v>1</v>
      </c>
      <c r="B172" s="15">
        <v>4715293</v>
      </c>
      <c r="C172" s="66">
        <v>4715480</v>
      </c>
    </row>
    <row r="173" spans="1:3" ht="16.05" customHeight="1">
      <c r="A173" s="15">
        <v>1</v>
      </c>
      <c r="B173" s="15">
        <v>4715474</v>
      </c>
      <c r="C173" s="66">
        <v>4715641</v>
      </c>
    </row>
    <row r="174" spans="1:3" ht="16.05" customHeight="1">
      <c r="A174" s="15">
        <v>1</v>
      </c>
      <c r="B174" s="15">
        <v>47696616</v>
      </c>
      <c r="C174" s="66">
        <v>47696741</v>
      </c>
    </row>
    <row r="175" spans="1:3" ht="16.05" customHeight="1">
      <c r="A175" s="15">
        <v>1</v>
      </c>
      <c r="B175" s="15">
        <v>47696740</v>
      </c>
      <c r="C175" s="66">
        <v>47696936</v>
      </c>
    </row>
    <row r="176" spans="1:3" ht="16.05" customHeight="1">
      <c r="A176" s="15">
        <v>1</v>
      </c>
      <c r="B176" s="15">
        <v>47697782</v>
      </c>
      <c r="C176" s="66">
        <v>47698200</v>
      </c>
    </row>
    <row r="177" spans="1:3" ht="16.05" customHeight="1">
      <c r="A177" s="15">
        <v>1</v>
      </c>
      <c r="B177" s="15">
        <v>47698191</v>
      </c>
      <c r="C177" s="66">
        <v>47698202</v>
      </c>
    </row>
    <row r="178" spans="1:3" ht="16.05" customHeight="1">
      <c r="A178" s="15">
        <v>1</v>
      </c>
      <c r="B178" s="15">
        <v>47882097</v>
      </c>
      <c r="C178" s="66">
        <v>47882330</v>
      </c>
    </row>
    <row r="179" spans="1:3" ht="16.05" customHeight="1">
      <c r="A179" s="15">
        <v>1</v>
      </c>
      <c r="B179" s="15">
        <v>47911290</v>
      </c>
      <c r="C179" s="66">
        <v>47911517</v>
      </c>
    </row>
    <row r="180" spans="1:3" ht="16.05" customHeight="1">
      <c r="A180" s="15">
        <v>1</v>
      </c>
      <c r="B180" s="15">
        <v>47998994</v>
      </c>
      <c r="C180" s="66">
        <v>47999302</v>
      </c>
    </row>
    <row r="181" spans="1:3" ht="16.05" customHeight="1">
      <c r="A181" s="15">
        <v>1</v>
      </c>
      <c r="B181" s="15">
        <v>50881714</v>
      </c>
      <c r="C181" s="66">
        <v>50882012</v>
      </c>
    </row>
    <row r="182" spans="1:3" ht="16.05" customHeight="1">
      <c r="A182" s="15">
        <v>1</v>
      </c>
      <c r="B182" s="15">
        <v>50882012</v>
      </c>
      <c r="C182" s="66">
        <v>50882254</v>
      </c>
    </row>
    <row r="183" spans="1:3" ht="16.05" customHeight="1">
      <c r="A183" s="15">
        <v>1</v>
      </c>
      <c r="B183" s="15">
        <v>50882393</v>
      </c>
      <c r="C183" s="66">
        <v>50882606</v>
      </c>
    </row>
    <row r="184" spans="1:3" ht="16.05" customHeight="1">
      <c r="A184" s="15">
        <v>1</v>
      </c>
      <c r="B184" s="15">
        <v>50886774</v>
      </c>
      <c r="C184" s="66">
        <v>50887060</v>
      </c>
    </row>
    <row r="185" spans="1:3" ht="16.05" customHeight="1">
      <c r="A185" s="15">
        <v>1</v>
      </c>
      <c r="B185" s="15">
        <v>50887059</v>
      </c>
      <c r="C185" s="66">
        <v>50887143</v>
      </c>
    </row>
    <row r="186" spans="1:3" ht="16.05" customHeight="1">
      <c r="A186" s="15">
        <v>1</v>
      </c>
      <c r="B186" s="15">
        <v>50889053</v>
      </c>
      <c r="C186" s="66">
        <v>50889278</v>
      </c>
    </row>
    <row r="187" spans="1:3" ht="16.05" customHeight="1">
      <c r="A187" s="15">
        <v>1</v>
      </c>
      <c r="B187" s="15">
        <v>50889289</v>
      </c>
      <c r="C187" s="66">
        <v>50889399</v>
      </c>
    </row>
    <row r="188" spans="1:3" ht="16.05" customHeight="1">
      <c r="A188" s="15">
        <v>1</v>
      </c>
      <c r="B188" s="15">
        <v>50892361</v>
      </c>
      <c r="C188" s="66">
        <v>50892648</v>
      </c>
    </row>
    <row r="189" spans="1:3" ht="16.05" customHeight="1">
      <c r="A189" s="15">
        <v>1</v>
      </c>
      <c r="B189" s="15">
        <v>50892648</v>
      </c>
      <c r="C189" s="66">
        <v>50892958</v>
      </c>
    </row>
    <row r="190" spans="1:3" ht="16.05" customHeight="1">
      <c r="A190" s="15">
        <v>1</v>
      </c>
      <c r="B190" s="15">
        <v>50892985</v>
      </c>
      <c r="C190" s="66">
        <v>50893136</v>
      </c>
    </row>
    <row r="191" spans="1:3" ht="16.05" customHeight="1">
      <c r="A191" s="15">
        <v>1</v>
      </c>
      <c r="B191" s="15">
        <v>50893144</v>
      </c>
      <c r="C191" s="66">
        <v>50893320</v>
      </c>
    </row>
    <row r="192" spans="1:3" ht="16.05" customHeight="1">
      <c r="A192" s="15">
        <v>1</v>
      </c>
      <c r="B192" s="15">
        <v>50893483</v>
      </c>
      <c r="C192" s="66">
        <v>50893648</v>
      </c>
    </row>
    <row r="193" spans="1:3" ht="16.05" customHeight="1">
      <c r="A193" s="15">
        <v>1</v>
      </c>
      <c r="B193" s="15">
        <v>50893642</v>
      </c>
      <c r="C193" s="66">
        <v>50893808</v>
      </c>
    </row>
    <row r="194" spans="1:3" ht="16.05" customHeight="1">
      <c r="A194" s="15">
        <v>1</v>
      </c>
      <c r="B194" s="15">
        <v>54953292</v>
      </c>
      <c r="C194" s="66">
        <v>54953428</v>
      </c>
    </row>
    <row r="195" spans="1:3" ht="16.05" customHeight="1">
      <c r="A195" s="15">
        <v>1</v>
      </c>
      <c r="B195" s="15">
        <v>54953472</v>
      </c>
      <c r="C195" s="66">
        <v>54953493</v>
      </c>
    </row>
    <row r="196" spans="1:3" ht="16.05" customHeight="1">
      <c r="A196" s="15">
        <v>1</v>
      </c>
      <c r="B196" s="15">
        <v>57887924</v>
      </c>
      <c r="C196" s="66">
        <v>57888116</v>
      </c>
    </row>
    <row r="197" spans="1:3" ht="16.05" customHeight="1">
      <c r="A197" s="15">
        <v>1</v>
      </c>
      <c r="B197" s="15">
        <v>57888136</v>
      </c>
      <c r="C197" s="66">
        <v>57888230</v>
      </c>
    </row>
    <row r="198" spans="1:3" ht="16.05" customHeight="1">
      <c r="A198" s="15">
        <v>1</v>
      </c>
      <c r="B198" s="15">
        <v>57889313</v>
      </c>
      <c r="C198" s="66">
        <v>57889440</v>
      </c>
    </row>
    <row r="199" spans="1:3" ht="16.05" customHeight="1">
      <c r="A199" s="15">
        <v>1</v>
      </c>
      <c r="B199" s="15">
        <v>57889468</v>
      </c>
      <c r="C199" s="66">
        <v>57889765</v>
      </c>
    </row>
    <row r="200" spans="1:3" ht="16.05" customHeight="1">
      <c r="A200" s="15">
        <v>1</v>
      </c>
      <c r="B200" s="15">
        <v>62660570</v>
      </c>
      <c r="C200" s="66">
        <v>62660594</v>
      </c>
    </row>
    <row r="201" spans="1:3" ht="16.05" customHeight="1">
      <c r="A201" s="15">
        <v>1</v>
      </c>
      <c r="B201" s="15">
        <v>62660601</v>
      </c>
      <c r="C201" s="66">
        <v>62660907</v>
      </c>
    </row>
    <row r="202" spans="1:3" ht="16.05" customHeight="1">
      <c r="A202" s="15">
        <v>1</v>
      </c>
      <c r="B202" s="15">
        <v>63785403</v>
      </c>
      <c r="C202" s="66">
        <v>63785624</v>
      </c>
    </row>
    <row r="203" spans="1:3" ht="16.05" customHeight="1">
      <c r="A203" s="15">
        <v>1</v>
      </c>
      <c r="B203" s="15">
        <v>63785696</v>
      </c>
      <c r="C203" s="66">
        <v>63785939</v>
      </c>
    </row>
    <row r="204" spans="1:3" ht="16.05" customHeight="1">
      <c r="A204" s="15">
        <v>1</v>
      </c>
      <c r="B204" s="15">
        <v>63785932</v>
      </c>
      <c r="C204" s="66">
        <v>63786245</v>
      </c>
    </row>
    <row r="205" spans="1:3" ht="16.05" customHeight="1">
      <c r="A205" s="15">
        <v>1</v>
      </c>
      <c r="B205" s="15">
        <v>63787042</v>
      </c>
      <c r="C205" s="66">
        <v>63787100</v>
      </c>
    </row>
    <row r="206" spans="1:3" ht="16.05" customHeight="1">
      <c r="A206" s="15">
        <v>1</v>
      </c>
      <c r="B206" s="15">
        <v>63787149</v>
      </c>
      <c r="C206" s="66">
        <v>63787334</v>
      </c>
    </row>
    <row r="207" spans="1:3" ht="16.05" customHeight="1">
      <c r="A207" s="15">
        <v>1</v>
      </c>
      <c r="B207" s="15">
        <v>63791831</v>
      </c>
      <c r="C207" s="66">
        <v>63791937</v>
      </c>
    </row>
    <row r="208" spans="1:3" ht="16.05" customHeight="1">
      <c r="A208" s="15">
        <v>1</v>
      </c>
      <c r="B208" s="15">
        <v>63791963</v>
      </c>
      <c r="C208" s="66">
        <v>63792140</v>
      </c>
    </row>
    <row r="209" spans="1:3" ht="16.05" customHeight="1">
      <c r="A209" s="15">
        <v>1</v>
      </c>
      <c r="B209" s="15">
        <v>63792560</v>
      </c>
      <c r="C209" s="66">
        <v>63792715</v>
      </c>
    </row>
    <row r="210" spans="1:3" ht="16.05" customHeight="1">
      <c r="A210" s="15">
        <v>1</v>
      </c>
      <c r="B210" s="15">
        <v>63792740</v>
      </c>
      <c r="C210" s="66">
        <v>63792869</v>
      </c>
    </row>
    <row r="211" spans="1:3" ht="16.05" customHeight="1">
      <c r="A211" s="15">
        <v>1</v>
      </c>
      <c r="B211" s="15">
        <v>63795760</v>
      </c>
      <c r="C211" s="66">
        <v>63795890</v>
      </c>
    </row>
    <row r="212" spans="1:3" ht="16.05" customHeight="1">
      <c r="A212" s="15">
        <v>1</v>
      </c>
      <c r="B212" s="15">
        <v>63795929</v>
      </c>
      <c r="C212" s="66">
        <v>63796097</v>
      </c>
    </row>
    <row r="213" spans="1:3" ht="16.05" customHeight="1">
      <c r="A213" s="15">
        <v>1</v>
      </c>
      <c r="B213" s="15">
        <v>6515286</v>
      </c>
      <c r="C213" s="66">
        <v>6515344</v>
      </c>
    </row>
    <row r="214" spans="1:3" ht="16.05" customHeight="1">
      <c r="A214" s="15">
        <v>1</v>
      </c>
      <c r="B214" s="15">
        <v>6515335</v>
      </c>
      <c r="C214" s="66">
        <v>6515526</v>
      </c>
    </row>
    <row r="215" spans="1:3" ht="16.05" customHeight="1">
      <c r="A215" s="15">
        <v>1</v>
      </c>
      <c r="B215" s="15">
        <v>65731348</v>
      </c>
      <c r="C215" s="66">
        <v>65731606</v>
      </c>
    </row>
    <row r="216" spans="1:3" ht="16.05" customHeight="1">
      <c r="A216" s="15">
        <v>1</v>
      </c>
      <c r="B216" s="15">
        <v>65731514</v>
      </c>
      <c r="C216" s="66">
        <v>65731821</v>
      </c>
    </row>
    <row r="217" spans="1:3" ht="16.05" customHeight="1">
      <c r="A217" s="15">
        <v>1</v>
      </c>
      <c r="B217" s="15">
        <v>65731831</v>
      </c>
      <c r="C217" s="66">
        <v>65731892</v>
      </c>
    </row>
    <row r="218" spans="1:3" ht="16.05" customHeight="1">
      <c r="A218" s="15">
        <v>1</v>
      </c>
      <c r="B218" s="15">
        <v>66257990</v>
      </c>
      <c r="C218" s="66">
        <v>66258202</v>
      </c>
    </row>
    <row r="219" spans="1:3" ht="16.05" customHeight="1">
      <c r="A219" s="15">
        <v>1</v>
      </c>
      <c r="B219" s="15">
        <v>66258436</v>
      </c>
      <c r="C219" s="66">
        <v>66258614</v>
      </c>
    </row>
    <row r="220" spans="1:3" ht="16.05" customHeight="1">
      <c r="A220" s="15">
        <v>1</v>
      </c>
      <c r="B220" s="15">
        <v>67217945</v>
      </c>
      <c r="C220" s="66">
        <v>67218003</v>
      </c>
    </row>
    <row r="221" spans="1:3" ht="16.05" customHeight="1">
      <c r="A221" s="15">
        <v>1</v>
      </c>
      <c r="B221" s="15">
        <v>67217999</v>
      </c>
      <c r="C221" s="66">
        <v>67218255</v>
      </c>
    </row>
    <row r="222" spans="1:3" ht="16.05" customHeight="1">
      <c r="A222" s="15">
        <v>1</v>
      </c>
      <c r="B222" s="15">
        <v>70034366</v>
      </c>
      <c r="C222" s="66">
        <v>70034500</v>
      </c>
    </row>
    <row r="223" spans="1:3" ht="16.05" customHeight="1">
      <c r="A223" s="15">
        <v>1</v>
      </c>
      <c r="B223" s="15">
        <v>70035323</v>
      </c>
      <c r="C223" s="66">
        <v>70035619</v>
      </c>
    </row>
    <row r="224" spans="1:3" ht="16.05" customHeight="1">
      <c r="A224" s="15">
        <v>1</v>
      </c>
      <c r="B224" s="15">
        <v>76080241</v>
      </c>
      <c r="C224" s="66">
        <v>76080314</v>
      </c>
    </row>
    <row r="225" spans="1:3" ht="16.05" customHeight="1">
      <c r="A225" s="15">
        <v>1</v>
      </c>
      <c r="B225" s="15">
        <v>76080514</v>
      </c>
      <c r="C225" s="66">
        <v>76080537</v>
      </c>
    </row>
    <row r="226" spans="1:3" ht="16.05" customHeight="1">
      <c r="A226" s="15">
        <v>1</v>
      </c>
      <c r="B226" s="15">
        <v>76082534</v>
      </c>
      <c r="C226" s="66">
        <v>76082623</v>
      </c>
    </row>
    <row r="227" spans="1:3" ht="16.05" customHeight="1">
      <c r="A227" s="15">
        <v>1</v>
      </c>
      <c r="B227" s="15">
        <v>76082683</v>
      </c>
      <c r="C227" s="66">
        <v>76082861</v>
      </c>
    </row>
    <row r="228" spans="1:3" ht="16.05" customHeight="1">
      <c r="A228" s="15">
        <v>1</v>
      </c>
      <c r="B228" s="15">
        <v>78470501</v>
      </c>
      <c r="C228" s="66">
        <v>78470646</v>
      </c>
    </row>
    <row r="229" spans="1:3" ht="16.05" customHeight="1">
      <c r="A229" s="15">
        <v>1</v>
      </c>
      <c r="B229" s="15">
        <v>78470739</v>
      </c>
      <c r="C229" s="66">
        <v>78470797</v>
      </c>
    </row>
    <row r="230" spans="1:3" ht="16.05" customHeight="1">
      <c r="A230" s="15">
        <v>1</v>
      </c>
      <c r="B230" s="15">
        <v>78511974</v>
      </c>
      <c r="C230" s="66">
        <v>78512267</v>
      </c>
    </row>
    <row r="231" spans="1:3" ht="16.05" customHeight="1">
      <c r="A231" s="15">
        <v>1</v>
      </c>
      <c r="B231" s="15">
        <v>8014749</v>
      </c>
      <c r="C231" s="66">
        <v>8014776</v>
      </c>
    </row>
    <row r="232" spans="1:3" ht="16.05" customHeight="1">
      <c r="A232" s="15">
        <v>1</v>
      </c>
      <c r="B232" s="15">
        <v>91176566</v>
      </c>
      <c r="C232" s="66">
        <v>91176832</v>
      </c>
    </row>
    <row r="233" spans="1:3" ht="16.05" customHeight="1">
      <c r="A233" s="15">
        <v>1</v>
      </c>
      <c r="B233" s="15">
        <v>91182138</v>
      </c>
      <c r="C233" s="66">
        <v>91182661</v>
      </c>
    </row>
    <row r="234" spans="1:3" ht="16.05" customHeight="1">
      <c r="A234" s="15">
        <v>1</v>
      </c>
      <c r="B234" s="15">
        <v>91182703</v>
      </c>
      <c r="C234" s="66">
        <v>91182862</v>
      </c>
    </row>
    <row r="235" spans="1:3" ht="16.05" customHeight="1">
      <c r="A235" s="15">
        <v>1</v>
      </c>
      <c r="B235" s="15">
        <v>91183439</v>
      </c>
      <c r="C235" s="66">
        <v>91183598</v>
      </c>
    </row>
    <row r="236" spans="1:3" ht="16.05" customHeight="1">
      <c r="A236" s="15">
        <v>1</v>
      </c>
      <c r="B236" s="15">
        <v>91183593</v>
      </c>
      <c r="C236" s="66">
        <v>91183691</v>
      </c>
    </row>
    <row r="237" spans="1:3" ht="16.05" customHeight="1">
      <c r="A237" s="15">
        <v>1</v>
      </c>
      <c r="B237" s="15">
        <v>91183962</v>
      </c>
      <c r="C237" s="66">
        <v>91184231</v>
      </c>
    </row>
    <row r="238" spans="1:3" ht="16.05" customHeight="1">
      <c r="A238" s="15">
        <v>1</v>
      </c>
      <c r="B238" s="15">
        <v>91184285</v>
      </c>
      <c r="C238" s="66">
        <v>91184582</v>
      </c>
    </row>
    <row r="239" spans="1:3" ht="16.05" customHeight="1">
      <c r="A239" s="15">
        <v>1</v>
      </c>
      <c r="B239" s="15">
        <v>91184901</v>
      </c>
      <c r="C239" s="66">
        <v>91185174</v>
      </c>
    </row>
    <row r="240" spans="1:3" ht="16.05" customHeight="1">
      <c r="A240" s="15">
        <v>1</v>
      </c>
      <c r="B240" s="15">
        <v>91185251</v>
      </c>
      <c r="C240" s="66">
        <v>91185494</v>
      </c>
    </row>
    <row r="241" spans="1:3" ht="16.05" customHeight="1">
      <c r="A241" s="15">
        <v>1</v>
      </c>
      <c r="B241" s="15">
        <v>91185490</v>
      </c>
      <c r="C241" s="66">
        <v>91185582</v>
      </c>
    </row>
    <row r="242" spans="1:3" ht="16.05" customHeight="1">
      <c r="A242" s="15">
        <v>1</v>
      </c>
      <c r="B242" s="15">
        <v>91190449</v>
      </c>
      <c r="C242" s="66">
        <v>91190716</v>
      </c>
    </row>
    <row r="243" spans="1:3" ht="16.05" customHeight="1">
      <c r="A243" s="15">
        <v>1</v>
      </c>
      <c r="B243" s="15">
        <v>91190880</v>
      </c>
      <c r="C243" s="66">
        <v>91190991</v>
      </c>
    </row>
    <row r="244" spans="1:3" ht="16.05" customHeight="1">
      <c r="A244" s="15">
        <v>1</v>
      </c>
      <c r="B244" s="15">
        <v>91190996</v>
      </c>
      <c r="C244" s="66">
        <v>91191156</v>
      </c>
    </row>
    <row r="245" spans="1:3" ht="16.05" customHeight="1">
      <c r="A245" s="15">
        <v>1</v>
      </c>
      <c r="B245" s="15">
        <v>91192306</v>
      </c>
      <c r="C245" s="66">
        <v>91192603</v>
      </c>
    </row>
    <row r="246" spans="1:3" ht="16.05" customHeight="1">
      <c r="A246" s="15">
        <v>1</v>
      </c>
      <c r="B246" s="15">
        <v>91194503</v>
      </c>
      <c r="C246" s="66">
        <v>91194602</v>
      </c>
    </row>
    <row r="247" spans="1:3" ht="16.05" customHeight="1">
      <c r="A247" s="15">
        <v>1</v>
      </c>
      <c r="B247" s="15">
        <v>91194669</v>
      </c>
      <c r="C247" s="66">
        <v>91194839</v>
      </c>
    </row>
    <row r="248" spans="1:3" ht="16.05" customHeight="1">
      <c r="A248" s="15">
        <v>1</v>
      </c>
      <c r="B248" s="15">
        <v>91195043</v>
      </c>
      <c r="C248" s="66">
        <v>91195086</v>
      </c>
    </row>
    <row r="249" spans="1:3" ht="16.05" customHeight="1">
      <c r="A249" s="15">
        <v>1</v>
      </c>
      <c r="B249" s="15">
        <v>91195128</v>
      </c>
      <c r="C249" s="66">
        <v>91195278</v>
      </c>
    </row>
    <row r="250" spans="1:3" ht="16.05" customHeight="1">
      <c r="A250" s="15">
        <v>1</v>
      </c>
      <c r="B250" s="15">
        <v>9258715</v>
      </c>
      <c r="C250" s="66">
        <v>9259011</v>
      </c>
    </row>
    <row r="251" spans="1:3" ht="16.05" customHeight="1">
      <c r="A251" s="15">
        <v>1</v>
      </c>
      <c r="B251" s="15">
        <v>92950467</v>
      </c>
      <c r="C251" s="66">
        <v>92950842</v>
      </c>
    </row>
    <row r="252" spans="1:3" ht="16.05" customHeight="1">
      <c r="A252" s="15">
        <v>1</v>
      </c>
      <c r="B252" s="15">
        <v>92951969</v>
      </c>
      <c r="C252" s="66">
        <v>92952077</v>
      </c>
    </row>
    <row r="253" spans="1:3" ht="16.05" customHeight="1">
      <c r="A253" s="15">
        <v>1</v>
      </c>
      <c r="B253" s="15">
        <v>92952292</v>
      </c>
      <c r="C253" s="66">
        <v>92952431</v>
      </c>
    </row>
    <row r="254" spans="1:3" ht="16.05" customHeight="1">
      <c r="A254" s="15">
        <v>1</v>
      </c>
      <c r="B254" s="15">
        <v>98510743</v>
      </c>
      <c r="C254" s="66">
        <v>98510760</v>
      </c>
    </row>
    <row r="255" spans="1:3" ht="16.05" customHeight="1">
      <c r="A255" s="15">
        <v>1</v>
      </c>
      <c r="B255" s="15">
        <v>98511624</v>
      </c>
      <c r="C255" s="66">
        <v>98511914</v>
      </c>
    </row>
    <row r="256" spans="1:3" ht="16.05" customHeight="1">
      <c r="A256" s="15">
        <v>1</v>
      </c>
      <c r="B256" s="15">
        <v>99470036</v>
      </c>
      <c r="C256" s="66">
        <v>99470165</v>
      </c>
    </row>
    <row r="257" spans="1:3" ht="16.05" customHeight="1">
      <c r="A257" s="15">
        <v>1</v>
      </c>
      <c r="B257" s="15">
        <v>99470457</v>
      </c>
      <c r="C257" s="66">
        <v>99470715</v>
      </c>
    </row>
    <row r="258" spans="1:3" ht="16.05" customHeight="1">
      <c r="A258" s="15">
        <v>1</v>
      </c>
      <c r="B258" s="15">
        <v>99729752</v>
      </c>
      <c r="C258" s="66">
        <v>99729954</v>
      </c>
    </row>
    <row r="259" spans="1:3" ht="16.05" customHeight="1">
      <c r="A259" s="15">
        <v>2</v>
      </c>
      <c r="B259" s="15">
        <v>105458985</v>
      </c>
      <c r="C259" s="66">
        <v>105459464</v>
      </c>
    </row>
    <row r="260" spans="1:3" ht="16.05" customHeight="1">
      <c r="A260" s="15">
        <v>2</v>
      </c>
      <c r="B260" s="15">
        <v>105459604</v>
      </c>
      <c r="C260" s="66">
        <v>105459729</v>
      </c>
    </row>
    <row r="261" spans="1:3" ht="16.05" customHeight="1">
      <c r="A261" s="15">
        <v>2</v>
      </c>
      <c r="B261" s="15">
        <v>105459731</v>
      </c>
      <c r="C261" s="66">
        <v>105459944</v>
      </c>
    </row>
    <row r="262" spans="1:3" ht="16.05" customHeight="1">
      <c r="A262" s="15">
        <v>2</v>
      </c>
      <c r="B262" s="15">
        <v>105460097</v>
      </c>
      <c r="C262" s="66">
        <v>105460258</v>
      </c>
    </row>
    <row r="263" spans="1:3" ht="16.05" customHeight="1">
      <c r="A263" s="15">
        <v>2</v>
      </c>
      <c r="B263" s="15">
        <v>105460258</v>
      </c>
      <c r="C263" s="66">
        <v>105460405</v>
      </c>
    </row>
    <row r="264" spans="1:3" ht="16.05" customHeight="1">
      <c r="A264" s="15">
        <v>2</v>
      </c>
      <c r="B264" s="15">
        <v>105461025</v>
      </c>
      <c r="C264" s="66">
        <v>105461188</v>
      </c>
    </row>
    <row r="265" spans="1:3" ht="16.05" customHeight="1">
      <c r="A265" s="15">
        <v>2</v>
      </c>
      <c r="B265" s="15">
        <v>105461182</v>
      </c>
      <c r="C265" s="66">
        <v>105461342</v>
      </c>
    </row>
    <row r="266" spans="1:3" ht="16.05" customHeight="1">
      <c r="A266" s="15">
        <v>2</v>
      </c>
      <c r="B266" s="15">
        <v>105461625</v>
      </c>
      <c r="C266" s="66">
        <v>105461888</v>
      </c>
    </row>
    <row r="267" spans="1:3" ht="16.05" customHeight="1">
      <c r="A267" s="15">
        <v>2</v>
      </c>
      <c r="B267" s="15">
        <v>105469454</v>
      </c>
      <c r="C267" s="66">
        <v>105469678</v>
      </c>
    </row>
    <row r="268" spans="1:3" ht="16.05" customHeight="1">
      <c r="A268" s="15">
        <v>2</v>
      </c>
      <c r="B268" s="15">
        <v>105470384</v>
      </c>
      <c r="C268" s="66">
        <v>105470519</v>
      </c>
    </row>
    <row r="269" spans="1:3" ht="16.05" customHeight="1">
      <c r="A269" s="15">
        <v>2</v>
      </c>
      <c r="B269" s="15">
        <v>105470545</v>
      </c>
      <c r="C269" s="66">
        <v>105470724</v>
      </c>
    </row>
    <row r="270" spans="1:3" ht="16.05" customHeight="1">
      <c r="A270" s="15">
        <v>2</v>
      </c>
      <c r="B270" s="15">
        <v>105478570</v>
      </c>
      <c r="C270" s="66">
        <v>105478706</v>
      </c>
    </row>
    <row r="271" spans="1:3" ht="16.05" customHeight="1">
      <c r="A271" s="15">
        <v>2</v>
      </c>
      <c r="B271" s="15">
        <v>105478773</v>
      </c>
      <c r="C271" s="66">
        <v>105478821</v>
      </c>
    </row>
    <row r="272" spans="1:3" ht="16.05" customHeight="1">
      <c r="A272" s="15">
        <v>2</v>
      </c>
      <c r="B272" s="15">
        <v>105480265</v>
      </c>
      <c r="C272" s="66">
        <v>105480344</v>
      </c>
    </row>
    <row r="273" spans="1:3" ht="16.05" customHeight="1">
      <c r="A273" s="15">
        <v>2</v>
      </c>
      <c r="B273" s="15">
        <v>105480353</v>
      </c>
      <c r="C273" s="66">
        <v>105480510</v>
      </c>
    </row>
    <row r="274" spans="1:3" ht="16.05" customHeight="1">
      <c r="A274" s="15">
        <v>2</v>
      </c>
      <c r="B274" s="15">
        <v>106681826</v>
      </c>
      <c r="C274" s="66">
        <v>106681951</v>
      </c>
    </row>
    <row r="275" spans="1:3" ht="16.05" customHeight="1">
      <c r="A275" s="15">
        <v>2</v>
      </c>
      <c r="B275" s="15">
        <v>106681978</v>
      </c>
      <c r="C275" s="66">
        <v>106682166</v>
      </c>
    </row>
    <row r="276" spans="1:3" ht="16.05" customHeight="1">
      <c r="A276" s="15">
        <v>2</v>
      </c>
      <c r="B276" s="15">
        <v>106886588</v>
      </c>
      <c r="C276" s="66">
        <v>106886699</v>
      </c>
    </row>
    <row r="277" spans="1:3" ht="16.05" customHeight="1">
      <c r="A277" s="15">
        <v>2</v>
      </c>
      <c r="B277" s="15">
        <v>108602779</v>
      </c>
      <c r="C277" s="66">
        <v>108602792</v>
      </c>
    </row>
    <row r="278" spans="1:3" ht="16.05" customHeight="1">
      <c r="A278" s="15">
        <v>2</v>
      </c>
      <c r="B278" s="15">
        <v>110969803</v>
      </c>
      <c r="C278" s="66">
        <v>110969930</v>
      </c>
    </row>
    <row r="279" spans="1:3" ht="16.05" customHeight="1">
      <c r="A279" s="15">
        <v>2</v>
      </c>
      <c r="B279" s="15">
        <v>110969949</v>
      </c>
      <c r="C279" s="66">
        <v>110970029</v>
      </c>
    </row>
    <row r="280" spans="1:3" ht="16.05" customHeight="1">
      <c r="A280" s="15">
        <v>2</v>
      </c>
      <c r="B280" s="15">
        <v>115920620</v>
      </c>
      <c r="C280" s="66">
        <v>115920770</v>
      </c>
    </row>
    <row r="281" spans="1:3" ht="16.05" customHeight="1">
      <c r="A281" s="15">
        <v>2</v>
      </c>
      <c r="B281" s="15">
        <v>11810017</v>
      </c>
      <c r="C281" s="66">
        <v>11810153</v>
      </c>
    </row>
    <row r="282" spans="1:3" ht="16.05" customHeight="1">
      <c r="A282" s="15">
        <v>2</v>
      </c>
      <c r="B282" s="15">
        <v>118981607</v>
      </c>
      <c r="C282" s="66">
        <v>118981955</v>
      </c>
    </row>
    <row r="283" spans="1:3" ht="16.05" customHeight="1">
      <c r="A283" s="15">
        <v>2</v>
      </c>
      <c r="B283" s="15">
        <v>119593524</v>
      </c>
      <c r="C283" s="66">
        <v>119593634</v>
      </c>
    </row>
    <row r="284" spans="1:3" ht="16.05" customHeight="1">
      <c r="A284" s="15">
        <v>2</v>
      </c>
      <c r="B284" s="15">
        <v>119606572</v>
      </c>
      <c r="C284" s="66">
        <v>119606824</v>
      </c>
    </row>
    <row r="285" spans="1:3" ht="16.05" customHeight="1">
      <c r="A285" s="15">
        <v>2</v>
      </c>
      <c r="B285" s="15">
        <v>119606820</v>
      </c>
      <c r="C285" s="66">
        <v>119606888</v>
      </c>
    </row>
    <row r="286" spans="1:3" ht="16.05" customHeight="1">
      <c r="A286" s="15">
        <v>2</v>
      </c>
      <c r="B286" s="15">
        <v>119614317</v>
      </c>
      <c r="C286" s="66">
        <v>119614424</v>
      </c>
    </row>
    <row r="287" spans="1:3" ht="16.05" customHeight="1">
      <c r="A287" s="15">
        <v>2</v>
      </c>
      <c r="B287" s="15">
        <v>119614444</v>
      </c>
      <c r="C287" s="66">
        <v>119614644</v>
      </c>
    </row>
    <row r="288" spans="1:3" ht="16.05" customHeight="1">
      <c r="A288" s="15">
        <v>2</v>
      </c>
      <c r="B288" s="15">
        <v>127643900</v>
      </c>
      <c r="C288" s="66">
        <v>127644181</v>
      </c>
    </row>
    <row r="289" spans="1:3" ht="16.05" customHeight="1">
      <c r="A289" s="15">
        <v>2</v>
      </c>
      <c r="B289" s="15">
        <v>131792797</v>
      </c>
      <c r="C289" s="66">
        <v>131792927</v>
      </c>
    </row>
    <row r="290" spans="1:3" ht="16.05" customHeight="1">
      <c r="A290" s="15">
        <v>2</v>
      </c>
      <c r="B290" s="15">
        <v>135475599</v>
      </c>
      <c r="C290" s="66">
        <v>135475619</v>
      </c>
    </row>
    <row r="291" spans="1:3" ht="16.05" customHeight="1">
      <c r="A291" s="15">
        <v>2</v>
      </c>
      <c r="B291" s="15">
        <v>137522909</v>
      </c>
      <c r="C291" s="66">
        <v>137523051</v>
      </c>
    </row>
    <row r="292" spans="1:3" ht="16.05" customHeight="1">
      <c r="A292" s="15">
        <v>2</v>
      </c>
      <c r="B292" s="15">
        <v>139537688</v>
      </c>
      <c r="C292" s="66">
        <v>139537870</v>
      </c>
    </row>
    <row r="293" spans="1:3" ht="16.05" customHeight="1">
      <c r="A293" s="15">
        <v>2</v>
      </c>
      <c r="B293" s="15">
        <v>139537872</v>
      </c>
      <c r="C293" s="66">
        <v>139537978</v>
      </c>
    </row>
    <row r="294" spans="1:3" ht="16.05" customHeight="1">
      <c r="A294" s="15">
        <v>2</v>
      </c>
      <c r="B294" s="15">
        <v>139538057</v>
      </c>
      <c r="C294" s="66">
        <v>139538187</v>
      </c>
    </row>
    <row r="295" spans="1:3" ht="16.05" customHeight="1">
      <c r="A295" s="15">
        <v>2</v>
      </c>
      <c r="B295" s="15">
        <v>144694302</v>
      </c>
      <c r="C295" s="66">
        <v>144694576</v>
      </c>
    </row>
    <row r="296" spans="1:3" ht="16.05" customHeight="1">
      <c r="A296" s="15">
        <v>2</v>
      </c>
      <c r="B296" s="15">
        <v>145277785</v>
      </c>
      <c r="C296" s="66">
        <v>145277883</v>
      </c>
    </row>
    <row r="297" spans="1:3" ht="16.05" customHeight="1">
      <c r="A297" s="15">
        <v>2</v>
      </c>
      <c r="B297" s="15">
        <v>145281494</v>
      </c>
      <c r="C297" s="66">
        <v>145281628</v>
      </c>
    </row>
    <row r="298" spans="1:3" ht="16.05" customHeight="1">
      <c r="A298" s="15">
        <v>2</v>
      </c>
      <c r="B298" s="15">
        <v>145281638</v>
      </c>
      <c r="C298" s="66">
        <v>145281791</v>
      </c>
    </row>
    <row r="299" spans="1:3" ht="16.05" customHeight="1">
      <c r="A299" s="15">
        <v>2</v>
      </c>
      <c r="B299" s="15">
        <v>148601221</v>
      </c>
      <c r="C299" s="66">
        <v>148601326</v>
      </c>
    </row>
    <row r="300" spans="1:3" ht="16.05" customHeight="1">
      <c r="A300" s="15">
        <v>2</v>
      </c>
      <c r="B300" s="15">
        <v>154728053</v>
      </c>
      <c r="C300" s="66">
        <v>154728314</v>
      </c>
    </row>
    <row r="301" spans="1:3" ht="16.05" customHeight="1">
      <c r="A301" s="15">
        <v>2</v>
      </c>
      <c r="B301" s="15">
        <v>154729163</v>
      </c>
      <c r="C301" s="66">
        <v>154729354</v>
      </c>
    </row>
    <row r="302" spans="1:3" ht="16.05" customHeight="1">
      <c r="A302" s="15">
        <v>2</v>
      </c>
      <c r="B302" s="15">
        <v>157177177</v>
      </c>
      <c r="C302" s="66">
        <v>157177391</v>
      </c>
    </row>
    <row r="303" spans="1:3" ht="16.05" customHeight="1">
      <c r="A303" s="15">
        <v>2</v>
      </c>
      <c r="B303" s="15">
        <v>157177400</v>
      </c>
      <c r="C303" s="66">
        <v>157177439</v>
      </c>
    </row>
    <row r="304" spans="1:3" ht="16.05" customHeight="1">
      <c r="A304" s="15">
        <v>2</v>
      </c>
      <c r="B304" s="15">
        <v>157178090</v>
      </c>
      <c r="C304" s="66">
        <v>157178350</v>
      </c>
    </row>
    <row r="305" spans="1:3" ht="16.05" customHeight="1">
      <c r="A305" s="15">
        <v>2</v>
      </c>
      <c r="B305" s="15">
        <v>157178449</v>
      </c>
      <c r="C305" s="66">
        <v>157178463</v>
      </c>
    </row>
    <row r="306" spans="1:3" ht="16.05" customHeight="1">
      <c r="A306" s="15">
        <v>2</v>
      </c>
      <c r="B306" s="15">
        <v>162273263</v>
      </c>
      <c r="C306" s="66">
        <v>162273357</v>
      </c>
    </row>
    <row r="307" spans="1:3" ht="16.05" customHeight="1">
      <c r="A307" s="15">
        <v>2</v>
      </c>
      <c r="B307" s="15">
        <v>162273365</v>
      </c>
      <c r="C307" s="66">
        <v>162273592</v>
      </c>
    </row>
    <row r="308" spans="1:3" ht="16.05" customHeight="1">
      <c r="A308" s="15">
        <v>2</v>
      </c>
      <c r="B308" s="15">
        <v>162280346</v>
      </c>
      <c r="C308" s="66">
        <v>162280576</v>
      </c>
    </row>
    <row r="309" spans="1:3" ht="16.05" customHeight="1">
      <c r="A309" s="15">
        <v>2</v>
      </c>
      <c r="B309" s="15">
        <v>162280570</v>
      </c>
      <c r="C309" s="66">
        <v>162280687</v>
      </c>
    </row>
    <row r="310" spans="1:3" ht="16.05" customHeight="1">
      <c r="A310" s="15">
        <v>2</v>
      </c>
      <c r="B310" s="15">
        <v>162283376</v>
      </c>
      <c r="C310" s="66">
        <v>162283474</v>
      </c>
    </row>
    <row r="311" spans="1:3" ht="16.05" customHeight="1">
      <c r="A311" s="15">
        <v>2</v>
      </c>
      <c r="B311" s="15">
        <v>162283540</v>
      </c>
      <c r="C311" s="66">
        <v>162283604</v>
      </c>
    </row>
    <row r="312" spans="1:3" ht="16.05" customHeight="1">
      <c r="A312" s="15">
        <v>2</v>
      </c>
      <c r="B312" s="15">
        <v>162283540</v>
      </c>
      <c r="C312" s="66">
        <v>162283968</v>
      </c>
    </row>
    <row r="313" spans="1:3" ht="16.05" customHeight="1">
      <c r="A313" s="15">
        <v>2</v>
      </c>
      <c r="B313" s="15">
        <v>162283974</v>
      </c>
      <c r="C313" s="66">
        <v>162284141</v>
      </c>
    </row>
    <row r="314" spans="1:3" ht="16.05" customHeight="1">
      <c r="A314" s="15">
        <v>2</v>
      </c>
      <c r="B314" s="15">
        <v>173099457</v>
      </c>
      <c r="C314" s="66">
        <v>173099556</v>
      </c>
    </row>
    <row r="315" spans="1:3" ht="16.05" customHeight="1">
      <c r="A315" s="15">
        <v>2</v>
      </c>
      <c r="B315" s="15">
        <v>173099573</v>
      </c>
      <c r="C315" s="66">
        <v>173099763</v>
      </c>
    </row>
    <row r="316" spans="1:3" ht="16.05" customHeight="1">
      <c r="A316" s="15">
        <v>2</v>
      </c>
      <c r="B316" s="15">
        <v>173099963</v>
      </c>
      <c r="C316" s="66">
        <v>173100103</v>
      </c>
    </row>
    <row r="317" spans="1:3" ht="16.05" customHeight="1">
      <c r="A317" s="15">
        <v>2</v>
      </c>
      <c r="B317" s="15">
        <v>173100146</v>
      </c>
      <c r="C317" s="66">
        <v>173100250</v>
      </c>
    </row>
    <row r="318" spans="1:3" ht="16.05" customHeight="1">
      <c r="A318" s="15">
        <v>2</v>
      </c>
      <c r="B318" s="15">
        <v>173601235</v>
      </c>
      <c r="C318" s="66">
        <v>173601303</v>
      </c>
    </row>
    <row r="319" spans="1:3" ht="16.05" customHeight="1">
      <c r="A319" s="15">
        <v>2</v>
      </c>
      <c r="B319" s="15">
        <v>175190993</v>
      </c>
      <c r="C319" s="66">
        <v>175191206</v>
      </c>
    </row>
    <row r="320" spans="1:3" ht="16.05" customHeight="1">
      <c r="A320" s="15">
        <v>2</v>
      </c>
      <c r="B320" s="15">
        <v>175191588</v>
      </c>
      <c r="C320" s="66">
        <v>175191762</v>
      </c>
    </row>
    <row r="321" spans="1:3" ht="16.05" customHeight="1">
      <c r="A321" s="15">
        <v>2</v>
      </c>
      <c r="B321" s="15">
        <v>175191810</v>
      </c>
      <c r="C321" s="66">
        <v>175191928</v>
      </c>
    </row>
    <row r="322" spans="1:3" ht="16.05" customHeight="1">
      <c r="A322" s="15">
        <v>2</v>
      </c>
      <c r="B322" s="15">
        <v>175191859</v>
      </c>
      <c r="C322" s="66">
        <v>175192045</v>
      </c>
    </row>
    <row r="323" spans="1:3" ht="16.05" customHeight="1">
      <c r="A323" s="15">
        <v>2</v>
      </c>
      <c r="B323" s="15">
        <v>175192054</v>
      </c>
      <c r="C323" s="66">
        <v>175192128</v>
      </c>
    </row>
    <row r="324" spans="1:3" ht="16.05" customHeight="1">
      <c r="A324" s="15">
        <v>2</v>
      </c>
      <c r="B324" s="15">
        <v>175193211</v>
      </c>
      <c r="C324" s="66">
        <v>175193632</v>
      </c>
    </row>
    <row r="325" spans="1:3" ht="16.05" customHeight="1">
      <c r="A325" s="15">
        <v>2</v>
      </c>
      <c r="B325" s="15">
        <v>175199508</v>
      </c>
      <c r="C325" s="66">
        <v>175199700</v>
      </c>
    </row>
    <row r="326" spans="1:3" ht="16.05" customHeight="1">
      <c r="A326" s="15">
        <v>2</v>
      </c>
      <c r="B326" s="15">
        <v>175199704</v>
      </c>
      <c r="C326" s="66">
        <v>175199927</v>
      </c>
    </row>
    <row r="327" spans="1:3" ht="16.05" customHeight="1">
      <c r="A327" s="15">
        <v>2</v>
      </c>
      <c r="B327" s="15">
        <v>175200676</v>
      </c>
      <c r="C327" s="66">
        <v>175200764</v>
      </c>
    </row>
    <row r="328" spans="1:3" ht="16.05" customHeight="1">
      <c r="A328" s="15">
        <v>2</v>
      </c>
      <c r="B328" s="15">
        <v>175200837</v>
      </c>
      <c r="C328" s="66">
        <v>175201019</v>
      </c>
    </row>
    <row r="329" spans="1:3" ht="16.05" customHeight="1">
      <c r="A329" s="15">
        <v>2</v>
      </c>
      <c r="B329" s="15">
        <v>175204839</v>
      </c>
      <c r="C329" s="66">
        <v>175204913</v>
      </c>
    </row>
    <row r="330" spans="1:3" ht="16.05" customHeight="1">
      <c r="A330" s="15">
        <v>2</v>
      </c>
      <c r="B330" s="15">
        <v>175204921</v>
      </c>
      <c r="C330" s="66">
        <v>175205156</v>
      </c>
    </row>
    <row r="331" spans="1:3" ht="16.05" customHeight="1">
      <c r="A331" s="15">
        <v>2</v>
      </c>
      <c r="B331" s="15">
        <v>175205683</v>
      </c>
      <c r="C331" s="66">
        <v>175205900</v>
      </c>
    </row>
    <row r="332" spans="1:3" ht="16.05" customHeight="1">
      <c r="A332" s="15">
        <v>2</v>
      </c>
      <c r="B332" s="15">
        <v>175207074</v>
      </c>
      <c r="C332" s="66">
        <v>175207300</v>
      </c>
    </row>
    <row r="333" spans="1:3" ht="16.05" customHeight="1">
      <c r="A333" s="15">
        <v>2</v>
      </c>
      <c r="B333" s="15">
        <v>175207300</v>
      </c>
      <c r="C333" s="66">
        <v>175207419</v>
      </c>
    </row>
    <row r="334" spans="1:3" ht="16.05" customHeight="1">
      <c r="A334" s="15">
        <v>2</v>
      </c>
      <c r="B334" s="15">
        <v>176947781</v>
      </c>
      <c r="C334" s="66">
        <v>176947895</v>
      </c>
    </row>
    <row r="335" spans="1:3" ht="16.05" customHeight="1">
      <c r="A335" s="15">
        <v>2</v>
      </c>
      <c r="B335" s="15">
        <v>176947916</v>
      </c>
      <c r="C335" s="66">
        <v>176948009</v>
      </c>
    </row>
    <row r="336" spans="1:3" ht="16.05" customHeight="1">
      <c r="A336" s="15">
        <v>2</v>
      </c>
      <c r="B336" s="15">
        <v>176948011</v>
      </c>
      <c r="C336" s="66">
        <v>176948114</v>
      </c>
    </row>
    <row r="337" spans="1:3" ht="16.05" customHeight="1">
      <c r="A337" s="15">
        <v>2</v>
      </c>
      <c r="B337" s="15">
        <v>176961456</v>
      </c>
      <c r="C337" s="66">
        <v>176961558</v>
      </c>
    </row>
    <row r="338" spans="1:3" ht="16.05" customHeight="1">
      <c r="A338" s="15">
        <v>2</v>
      </c>
      <c r="B338" s="15">
        <v>176969110</v>
      </c>
      <c r="C338" s="66">
        <v>176969168</v>
      </c>
    </row>
    <row r="339" spans="1:3" ht="16.05" customHeight="1">
      <c r="A339" s="15">
        <v>2</v>
      </c>
      <c r="B339" s="15">
        <v>176969213</v>
      </c>
      <c r="C339" s="66">
        <v>176969398</v>
      </c>
    </row>
    <row r="340" spans="1:3" ht="16.05" customHeight="1">
      <c r="A340" s="15">
        <v>2</v>
      </c>
      <c r="B340" s="15">
        <v>176975973</v>
      </c>
      <c r="C340" s="66">
        <v>176975984</v>
      </c>
    </row>
    <row r="341" spans="1:3" ht="16.05" customHeight="1">
      <c r="A341" s="15">
        <v>2</v>
      </c>
      <c r="B341" s="15">
        <v>176976040</v>
      </c>
      <c r="C341" s="66">
        <v>176976240</v>
      </c>
    </row>
    <row r="342" spans="1:3" ht="16.05" customHeight="1">
      <c r="A342" s="15">
        <v>2</v>
      </c>
      <c r="B342" s="15">
        <v>176987552</v>
      </c>
      <c r="C342" s="66">
        <v>176987596</v>
      </c>
    </row>
    <row r="343" spans="1:3" ht="16.05" customHeight="1">
      <c r="A343" s="15">
        <v>2</v>
      </c>
      <c r="B343" s="15">
        <v>176994493</v>
      </c>
      <c r="C343" s="66">
        <v>176994643</v>
      </c>
    </row>
    <row r="344" spans="1:3" ht="16.05" customHeight="1">
      <c r="A344" s="15">
        <v>2</v>
      </c>
      <c r="B344" s="15">
        <v>176994649</v>
      </c>
      <c r="C344" s="66">
        <v>176994838</v>
      </c>
    </row>
    <row r="345" spans="1:3" ht="16.05" customHeight="1">
      <c r="A345" s="15">
        <v>2</v>
      </c>
      <c r="B345" s="15">
        <v>177001113</v>
      </c>
      <c r="C345" s="66">
        <v>177001313</v>
      </c>
    </row>
    <row r="346" spans="1:3" ht="16.05" customHeight="1">
      <c r="A346" s="15">
        <v>2</v>
      </c>
      <c r="B346" s="15">
        <v>177001375</v>
      </c>
      <c r="C346" s="66">
        <v>177001436</v>
      </c>
    </row>
    <row r="347" spans="1:3" ht="16.05" customHeight="1">
      <c r="A347" s="15">
        <v>2</v>
      </c>
      <c r="B347" s="15">
        <v>180726638</v>
      </c>
      <c r="C347" s="66">
        <v>180726747</v>
      </c>
    </row>
    <row r="348" spans="1:3" ht="16.05" customHeight="1">
      <c r="A348" s="15">
        <v>2</v>
      </c>
      <c r="B348" s="15">
        <v>182321757</v>
      </c>
      <c r="C348" s="66">
        <v>182321939</v>
      </c>
    </row>
    <row r="349" spans="1:3" ht="16.05" customHeight="1">
      <c r="A349" s="15">
        <v>2</v>
      </c>
      <c r="B349" s="15">
        <v>182321895</v>
      </c>
      <c r="C349" s="66">
        <v>182322355</v>
      </c>
    </row>
    <row r="350" spans="1:3" ht="16.05" customHeight="1">
      <c r="A350" s="15">
        <v>2</v>
      </c>
      <c r="B350" s="15">
        <v>182322368</v>
      </c>
      <c r="C350" s="66">
        <v>182322659</v>
      </c>
    </row>
    <row r="351" spans="1:3" ht="16.05" customHeight="1">
      <c r="A351" s="15">
        <v>2</v>
      </c>
      <c r="B351" s="15">
        <v>182322689</v>
      </c>
      <c r="C351" s="66">
        <v>182322921</v>
      </c>
    </row>
    <row r="352" spans="1:3" ht="16.05" customHeight="1">
      <c r="A352" s="15">
        <v>2</v>
      </c>
      <c r="B352" s="15">
        <v>182545460</v>
      </c>
      <c r="C352" s="66">
        <v>182545649</v>
      </c>
    </row>
    <row r="353" spans="1:3" ht="16.05" customHeight="1">
      <c r="A353" s="15">
        <v>2</v>
      </c>
      <c r="B353" s="15">
        <v>182545663</v>
      </c>
      <c r="C353" s="66">
        <v>182545777</v>
      </c>
    </row>
    <row r="354" spans="1:3" ht="16.05" customHeight="1">
      <c r="A354" s="15">
        <v>2</v>
      </c>
      <c r="B354" s="15">
        <v>182545761</v>
      </c>
      <c r="C354" s="66">
        <v>182545850</v>
      </c>
    </row>
    <row r="355" spans="1:3" ht="16.05" customHeight="1">
      <c r="A355" s="15">
        <v>2</v>
      </c>
      <c r="B355" s="15">
        <v>182545929</v>
      </c>
      <c r="C355" s="66">
        <v>182546077</v>
      </c>
    </row>
    <row r="356" spans="1:3" ht="16.05" customHeight="1">
      <c r="A356" s="15">
        <v>2</v>
      </c>
      <c r="B356" s="15">
        <v>182548235</v>
      </c>
      <c r="C356" s="66">
        <v>182548483</v>
      </c>
    </row>
    <row r="357" spans="1:3" ht="16.05" customHeight="1">
      <c r="A357" s="15">
        <v>2</v>
      </c>
      <c r="B357" s="15">
        <v>182548578</v>
      </c>
      <c r="C357" s="66">
        <v>182548756</v>
      </c>
    </row>
    <row r="358" spans="1:3" ht="16.05" customHeight="1">
      <c r="A358" s="15">
        <v>2</v>
      </c>
      <c r="B358" s="15">
        <v>186603490</v>
      </c>
      <c r="C358" s="66">
        <v>186603736</v>
      </c>
    </row>
    <row r="359" spans="1:3" ht="16.05" customHeight="1">
      <c r="A359" s="15">
        <v>2</v>
      </c>
      <c r="B359" s="15">
        <v>187714304</v>
      </c>
      <c r="C359" s="66">
        <v>187714332</v>
      </c>
    </row>
    <row r="360" spans="1:3" ht="16.05" customHeight="1">
      <c r="A360" s="15">
        <v>2</v>
      </c>
      <c r="B360" s="15">
        <v>190044482</v>
      </c>
      <c r="C360" s="66">
        <v>190044510</v>
      </c>
    </row>
    <row r="361" spans="1:3" ht="16.05" customHeight="1">
      <c r="A361" s="15">
        <v>2</v>
      </c>
      <c r="B361" s="15">
        <v>190044596</v>
      </c>
      <c r="C361" s="66">
        <v>190044644</v>
      </c>
    </row>
    <row r="362" spans="1:3" ht="16.05" customHeight="1">
      <c r="A362" s="15">
        <v>2</v>
      </c>
      <c r="B362" s="15">
        <v>191044896</v>
      </c>
      <c r="C362" s="66">
        <v>191044943</v>
      </c>
    </row>
    <row r="363" spans="1:3" ht="16.05" customHeight="1">
      <c r="A363" s="15">
        <v>2</v>
      </c>
      <c r="B363" s="15">
        <v>193059056</v>
      </c>
      <c r="C363" s="66">
        <v>193059208</v>
      </c>
    </row>
    <row r="364" spans="1:3" ht="16.05" customHeight="1">
      <c r="A364" s="15">
        <v>2</v>
      </c>
      <c r="B364" s="15">
        <v>198650875</v>
      </c>
      <c r="C364" s="66">
        <v>198651229</v>
      </c>
    </row>
    <row r="365" spans="1:3" ht="16.05" customHeight="1">
      <c r="A365" s="15">
        <v>2</v>
      </c>
      <c r="B365" s="15">
        <v>198651195</v>
      </c>
      <c r="C365" s="66">
        <v>198651632</v>
      </c>
    </row>
    <row r="366" spans="1:3" ht="16.05" customHeight="1">
      <c r="A366" s="15">
        <v>2</v>
      </c>
      <c r="B366" s="15">
        <v>202899972</v>
      </c>
      <c r="C366" s="66">
        <v>202900043</v>
      </c>
    </row>
    <row r="367" spans="1:3" ht="16.05" customHeight="1">
      <c r="A367" s="15">
        <v>2</v>
      </c>
      <c r="B367" s="15">
        <v>206546524</v>
      </c>
      <c r="C367" s="66">
        <v>206546546</v>
      </c>
    </row>
    <row r="368" spans="1:3" ht="16.05" customHeight="1">
      <c r="A368" s="15">
        <v>2</v>
      </c>
      <c r="B368" s="15">
        <v>207139126</v>
      </c>
      <c r="C368" s="66">
        <v>207139224</v>
      </c>
    </row>
    <row r="369" spans="1:3" ht="16.05" customHeight="1">
      <c r="A369" s="15">
        <v>2</v>
      </c>
      <c r="B369" s="15">
        <v>207139378</v>
      </c>
      <c r="C369" s="66">
        <v>207139597</v>
      </c>
    </row>
    <row r="370" spans="1:3" ht="16.05" customHeight="1">
      <c r="A370" s="15">
        <v>2</v>
      </c>
      <c r="B370" s="15">
        <v>207308749</v>
      </c>
      <c r="C370" s="66">
        <v>207308952</v>
      </c>
    </row>
    <row r="371" spans="1:3" ht="16.05" customHeight="1">
      <c r="A371" s="15">
        <v>2</v>
      </c>
      <c r="B371" s="15">
        <v>20865478</v>
      </c>
      <c r="C371" s="66">
        <v>20865680</v>
      </c>
    </row>
    <row r="372" spans="1:3" ht="16.05" customHeight="1">
      <c r="A372" s="15">
        <v>2</v>
      </c>
      <c r="B372" s="15">
        <v>209271855</v>
      </c>
      <c r="C372" s="66">
        <v>209271956</v>
      </c>
    </row>
    <row r="373" spans="1:3" ht="16.05" customHeight="1">
      <c r="A373" s="15">
        <v>2</v>
      </c>
      <c r="B373" s="15">
        <v>210636241</v>
      </c>
      <c r="C373" s="66">
        <v>210636498</v>
      </c>
    </row>
    <row r="374" spans="1:3" ht="16.05" customHeight="1">
      <c r="A374" s="15">
        <v>2</v>
      </c>
      <c r="B374" s="15">
        <v>213401020</v>
      </c>
      <c r="C374" s="66">
        <v>213401072</v>
      </c>
    </row>
    <row r="375" spans="1:3" ht="16.05" customHeight="1">
      <c r="A375" s="15">
        <v>2</v>
      </c>
      <c r="B375" s="15">
        <v>213401099</v>
      </c>
      <c r="C375" s="66">
        <v>213401201</v>
      </c>
    </row>
    <row r="376" spans="1:3" ht="16.05" customHeight="1">
      <c r="A376" s="15">
        <v>2</v>
      </c>
      <c r="B376" s="15">
        <v>219758053</v>
      </c>
      <c r="C376" s="66">
        <v>219758160</v>
      </c>
    </row>
    <row r="377" spans="1:3" ht="16.05" customHeight="1">
      <c r="A377" s="15">
        <v>2</v>
      </c>
      <c r="B377" s="15">
        <v>219773558</v>
      </c>
      <c r="C377" s="66">
        <v>219773603</v>
      </c>
    </row>
    <row r="378" spans="1:3" ht="16.05" customHeight="1">
      <c r="A378" s="15">
        <v>2</v>
      </c>
      <c r="B378" s="15">
        <v>219847168</v>
      </c>
      <c r="C378" s="66">
        <v>219847306</v>
      </c>
    </row>
    <row r="379" spans="1:3" ht="16.05" customHeight="1">
      <c r="A379" s="15">
        <v>2</v>
      </c>
      <c r="B379" s="15">
        <v>219857753</v>
      </c>
      <c r="C379" s="66">
        <v>219857811</v>
      </c>
    </row>
    <row r="380" spans="1:3" ht="16.05" customHeight="1">
      <c r="A380" s="15">
        <v>2</v>
      </c>
      <c r="B380" s="15">
        <v>220223072</v>
      </c>
      <c r="C380" s="66">
        <v>220223150</v>
      </c>
    </row>
    <row r="381" spans="1:3" ht="16.05" customHeight="1">
      <c r="A381" s="15">
        <v>2</v>
      </c>
      <c r="B381" s="15">
        <v>220361462</v>
      </c>
      <c r="C381" s="66">
        <v>220361759</v>
      </c>
    </row>
    <row r="382" spans="1:3" ht="16.05" customHeight="1">
      <c r="A382" s="15">
        <v>2</v>
      </c>
      <c r="B382" s="15">
        <v>223159721</v>
      </c>
      <c r="C382" s="66">
        <v>223159912</v>
      </c>
    </row>
    <row r="383" spans="1:3" ht="16.05" customHeight="1">
      <c r="A383" s="15">
        <v>2</v>
      </c>
      <c r="B383" s="15">
        <v>223162695</v>
      </c>
      <c r="C383" s="66">
        <v>223163049</v>
      </c>
    </row>
    <row r="384" spans="1:3" ht="16.05" customHeight="1">
      <c r="A384" s="15">
        <v>2</v>
      </c>
      <c r="B384" s="15">
        <v>223163170</v>
      </c>
      <c r="C384" s="66">
        <v>223163359</v>
      </c>
    </row>
    <row r="385" spans="1:3" ht="16.05" customHeight="1">
      <c r="A385" s="15">
        <v>2</v>
      </c>
      <c r="B385" s="15">
        <v>223163371</v>
      </c>
      <c r="C385" s="66">
        <v>223163495</v>
      </c>
    </row>
    <row r="386" spans="1:3" ht="16.05" customHeight="1">
      <c r="A386" s="15">
        <v>2</v>
      </c>
      <c r="B386" s="15">
        <v>223163641</v>
      </c>
      <c r="C386" s="66">
        <v>223163810</v>
      </c>
    </row>
    <row r="387" spans="1:3" ht="16.05" customHeight="1">
      <c r="A387" s="15">
        <v>2</v>
      </c>
      <c r="B387" s="15">
        <v>223163804</v>
      </c>
      <c r="C387" s="66">
        <v>223163946</v>
      </c>
    </row>
    <row r="388" spans="1:3" ht="16.05" customHeight="1">
      <c r="A388" s="15">
        <v>2</v>
      </c>
      <c r="B388" s="15">
        <v>223164474</v>
      </c>
      <c r="C388" s="66">
        <v>223164607</v>
      </c>
    </row>
    <row r="389" spans="1:3" ht="16.05" customHeight="1">
      <c r="A389" s="15">
        <v>2</v>
      </c>
      <c r="B389" s="15">
        <v>223164630</v>
      </c>
      <c r="C389" s="66">
        <v>223164753</v>
      </c>
    </row>
    <row r="390" spans="1:3" ht="16.05" customHeight="1">
      <c r="A390" s="15">
        <v>2</v>
      </c>
      <c r="B390" s="15">
        <v>223169845</v>
      </c>
      <c r="C390" s="66">
        <v>223170010</v>
      </c>
    </row>
    <row r="391" spans="1:3" ht="16.05" customHeight="1">
      <c r="A391" s="15">
        <v>2</v>
      </c>
      <c r="B391" s="15">
        <v>223170047</v>
      </c>
      <c r="C391" s="66">
        <v>223170112</v>
      </c>
    </row>
    <row r="392" spans="1:3" ht="16.05" customHeight="1">
      <c r="A392" s="15">
        <v>2</v>
      </c>
      <c r="B392" s="15">
        <v>223170890</v>
      </c>
      <c r="C392" s="66">
        <v>223171058</v>
      </c>
    </row>
    <row r="393" spans="1:3" ht="16.05" customHeight="1">
      <c r="A393" s="15">
        <v>2</v>
      </c>
      <c r="B393" s="15">
        <v>223171069</v>
      </c>
      <c r="C393" s="66">
        <v>223171206</v>
      </c>
    </row>
    <row r="394" spans="1:3" ht="16.05" customHeight="1">
      <c r="A394" s="15">
        <v>2</v>
      </c>
      <c r="B394" s="15">
        <v>223177154</v>
      </c>
      <c r="C394" s="66">
        <v>223177408</v>
      </c>
    </row>
    <row r="395" spans="1:3" ht="16.05" customHeight="1">
      <c r="A395" s="15">
        <v>2</v>
      </c>
      <c r="B395" s="15">
        <v>223185363</v>
      </c>
      <c r="C395" s="66">
        <v>223185473</v>
      </c>
    </row>
    <row r="396" spans="1:3" ht="16.05" customHeight="1">
      <c r="A396" s="15">
        <v>2</v>
      </c>
      <c r="B396" s="15">
        <v>225907723</v>
      </c>
      <c r="C396" s="66">
        <v>225907746</v>
      </c>
    </row>
    <row r="397" spans="1:3" ht="16.05" customHeight="1">
      <c r="A397" s="15">
        <v>2</v>
      </c>
      <c r="B397" s="15">
        <v>228736509</v>
      </c>
      <c r="C397" s="66">
        <v>228736575</v>
      </c>
    </row>
    <row r="398" spans="1:3" ht="16.05" customHeight="1">
      <c r="A398" s="15">
        <v>2</v>
      </c>
      <c r="B398" s="15">
        <v>237072832</v>
      </c>
      <c r="C398" s="66">
        <v>237073014</v>
      </c>
    </row>
    <row r="399" spans="1:3" ht="16.05" customHeight="1">
      <c r="A399" s="15">
        <v>2</v>
      </c>
      <c r="B399" s="15">
        <v>237073011</v>
      </c>
      <c r="C399" s="66">
        <v>237073170</v>
      </c>
    </row>
    <row r="400" spans="1:3" ht="16.05" customHeight="1">
      <c r="A400" s="15">
        <v>2</v>
      </c>
      <c r="B400" s="15">
        <v>237078357</v>
      </c>
      <c r="C400" s="66">
        <v>237078562</v>
      </c>
    </row>
    <row r="401" spans="1:3" ht="16.05" customHeight="1">
      <c r="A401" s="15">
        <v>2</v>
      </c>
      <c r="B401" s="15">
        <v>237078609</v>
      </c>
      <c r="C401" s="66">
        <v>237078831</v>
      </c>
    </row>
    <row r="402" spans="1:3" ht="16.05" customHeight="1">
      <c r="A402" s="15">
        <v>2</v>
      </c>
      <c r="B402" s="15">
        <v>237478659</v>
      </c>
      <c r="C402" s="66">
        <v>237478726</v>
      </c>
    </row>
    <row r="403" spans="1:3" ht="16.05" customHeight="1">
      <c r="A403" s="15">
        <v>2</v>
      </c>
      <c r="B403" s="15">
        <v>27530195</v>
      </c>
      <c r="C403" s="66">
        <v>27530375</v>
      </c>
    </row>
    <row r="404" spans="1:3" ht="16.05" customHeight="1">
      <c r="A404" s="15">
        <v>2</v>
      </c>
      <c r="B404" s="15">
        <v>27530377</v>
      </c>
      <c r="C404" s="66">
        <v>27530538</v>
      </c>
    </row>
    <row r="405" spans="1:3" ht="16.05" customHeight="1">
      <c r="A405" s="15">
        <v>2</v>
      </c>
      <c r="B405" s="15">
        <v>31361813</v>
      </c>
      <c r="C405" s="66">
        <v>31361893</v>
      </c>
    </row>
    <row r="406" spans="1:3" ht="16.05" customHeight="1">
      <c r="A406" s="15">
        <v>2</v>
      </c>
      <c r="B406" s="15">
        <v>38302502</v>
      </c>
      <c r="C406" s="66">
        <v>38302674</v>
      </c>
    </row>
    <row r="407" spans="1:3" ht="16.05" customHeight="1">
      <c r="A407" s="15">
        <v>2</v>
      </c>
      <c r="B407" s="15">
        <v>38302669</v>
      </c>
      <c r="C407" s="66">
        <v>38302833</v>
      </c>
    </row>
    <row r="408" spans="1:3" ht="16.05" customHeight="1">
      <c r="A408" s="15">
        <v>2</v>
      </c>
      <c r="B408" s="15">
        <v>39187372</v>
      </c>
      <c r="C408" s="66">
        <v>39187533</v>
      </c>
    </row>
    <row r="409" spans="1:3" ht="16.05" customHeight="1">
      <c r="A409" s="15">
        <v>2</v>
      </c>
      <c r="B409" s="15">
        <v>39187525</v>
      </c>
      <c r="C409" s="66">
        <v>39187635</v>
      </c>
    </row>
    <row r="410" spans="1:3" ht="16.05" customHeight="1">
      <c r="A410" s="15">
        <v>2</v>
      </c>
      <c r="B410" s="15">
        <v>39187626</v>
      </c>
      <c r="C410" s="66">
        <v>39187717</v>
      </c>
    </row>
    <row r="411" spans="1:3" ht="16.05" customHeight="1">
      <c r="A411" s="15">
        <v>2</v>
      </c>
      <c r="B411" s="15">
        <v>40678535</v>
      </c>
      <c r="C411" s="66">
        <v>40678722</v>
      </c>
    </row>
    <row r="412" spans="1:3" ht="16.05" customHeight="1">
      <c r="A412" s="15">
        <v>2</v>
      </c>
      <c r="B412" s="15">
        <v>40679071</v>
      </c>
      <c r="C412" s="66">
        <v>40679259</v>
      </c>
    </row>
    <row r="413" spans="1:3" ht="16.05" customHeight="1">
      <c r="A413" s="15">
        <v>2</v>
      </c>
      <c r="B413" s="15">
        <v>40679345</v>
      </c>
      <c r="C413" s="66">
        <v>40679525</v>
      </c>
    </row>
    <row r="414" spans="1:3" ht="16.05" customHeight="1">
      <c r="A414" s="15">
        <v>2</v>
      </c>
      <c r="B414" s="15">
        <v>40679527</v>
      </c>
      <c r="C414" s="66">
        <v>40679669</v>
      </c>
    </row>
    <row r="415" spans="1:3" ht="16.05" customHeight="1">
      <c r="A415" s="15">
        <v>2</v>
      </c>
      <c r="B415" s="15">
        <v>43019479</v>
      </c>
      <c r="C415" s="66">
        <v>43019566</v>
      </c>
    </row>
    <row r="416" spans="1:3" ht="16.05" customHeight="1">
      <c r="A416" s="15">
        <v>2</v>
      </c>
      <c r="B416" s="15">
        <v>45029768</v>
      </c>
      <c r="C416" s="66">
        <v>45029914</v>
      </c>
    </row>
    <row r="417" spans="1:3" ht="16.05" customHeight="1">
      <c r="A417" s="15">
        <v>2</v>
      </c>
      <c r="B417" s="15">
        <v>45029917</v>
      </c>
      <c r="C417" s="66">
        <v>45030078</v>
      </c>
    </row>
    <row r="418" spans="1:3" ht="16.05" customHeight="1">
      <c r="A418" s="15">
        <v>2</v>
      </c>
      <c r="B418" s="15">
        <v>45155388</v>
      </c>
      <c r="C418" s="66">
        <v>45155573</v>
      </c>
    </row>
    <row r="419" spans="1:3" ht="16.05" customHeight="1">
      <c r="A419" s="15">
        <v>2</v>
      </c>
      <c r="B419" s="15">
        <v>45155593</v>
      </c>
      <c r="C419" s="66">
        <v>45155874</v>
      </c>
    </row>
    <row r="420" spans="1:3" ht="16.05" customHeight="1">
      <c r="A420" s="15">
        <v>2</v>
      </c>
      <c r="B420" s="15">
        <v>45155823</v>
      </c>
      <c r="C420" s="66">
        <v>45156005</v>
      </c>
    </row>
    <row r="421" spans="1:3" ht="16.05" customHeight="1">
      <c r="A421" s="15">
        <v>2</v>
      </c>
      <c r="B421" s="15">
        <v>45156017</v>
      </c>
      <c r="C421" s="66">
        <v>45156162</v>
      </c>
    </row>
    <row r="422" spans="1:3" ht="16.05" customHeight="1">
      <c r="A422" s="15">
        <v>2</v>
      </c>
      <c r="B422" s="15">
        <v>45228478</v>
      </c>
      <c r="C422" s="66">
        <v>45228603</v>
      </c>
    </row>
    <row r="423" spans="1:3" ht="16.05" customHeight="1">
      <c r="A423" s="15">
        <v>2</v>
      </c>
      <c r="B423" s="15">
        <v>45228622</v>
      </c>
      <c r="C423" s="66">
        <v>45228788</v>
      </c>
    </row>
    <row r="424" spans="1:3" ht="16.05" customHeight="1">
      <c r="A424" s="15">
        <v>2</v>
      </c>
      <c r="B424" s="15">
        <v>45240406</v>
      </c>
      <c r="C424" s="66">
        <v>45240732</v>
      </c>
    </row>
    <row r="425" spans="1:3" ht="16.05" customHeight="1">
      <c r="A425" s="15">
        <v>2</v>
      </c>
      <c r="B425" s="15">
        <v>51259688</v>
      </c>
      <c r="C425" s="66">
        <v>51259792</v>
      </c>
    </row>
    <row r="426" spans="1:3" ht="16.05" customHeight="1">
      <c r="A426" s="15">
        <v>2</v>
      </c>
      <c r="B426" s="15">
        <v>5833245</v>
      </c>
      <c r="C426" s="66">
        <v>5833325</v>
      </c>
    </row>
    <row r="427" spans="1:3" ht="16.05" customHeight="1">
      <c r="A427" s="15">
        <v>2</v>
      </c>
      <c r="B427" s="15">
        <v>5833347</v>
      </c>
      <c r="C427" s="66">
        <v>5833487</v>
      </c>
    </row>
    <row r="428" spans="1:3" ht="16.05" customHeight="1">
      <c r="A428" s="15">
        <v>2</v>
      </c>
      <c r="B428" s="15">
        <v>5836192</v>
      </c>
      <c r="C428" s="66">
        <v>5836394</v>
      </c>
    </row>
    <row r="429" spans="1:3" ht="16.05" customHeight="1">
      <c r="A429" s="15">
        <v>2</v>
      </c>
      <c r="B429" s="15">
        <v>5836423</v>
      </c>
      <c r="C429" s="66">
        <v>5836540</v>
      </c>
    </row>
    <row r="430" spans="1:3" ht="16.05" customHeight="1">
      <c r="A430" s="15">
        <v>2</v>
      </c>
      <c r="B430" s="15">
        <v>60808664</v>
      </c>
      <c r="C430" s="66">
        <v>60808742</v>
      </c>
    </row>
    <row r="431" spans="1:3" ht="16.05" customHeight="1">
      <c r="A431" s="15">
        <v>2</v>
      </c>
      <c r="B431" s="15">
        <v>63276320</v>
      </c>
      <c r="C431" s="66">
        <v>63276389</v>
      </c>
    </row>
    <row r="432" spans="1:3" ht="16.05" customHeight="1">
      <c r="A432" s="15">
        <v>2</v>
      </c>
      <c r="B432" s="15">
        <v>63280963</v>
      </c>
      <c r="C432" s="66">
        <v>63281001</v>
      </c>
    </row>
    <row r="433" spans="1:3" ht="16.05" customHeight="1">
      <c r="A433" s="15">
        <v>2</v>
      </c>
      <c r="B433" s="15">
        <v>63281030</v>
      </c>
      <c r="C433" s="66">
        <v>63281243</v>
      </c>
    </row>
    <row r="434" spans="1:3" ht="16.05" customHeight="1">
      <c r="A434" s="15">
        <v>2</v>
      </c>
      <c r="B434" s="15">
        <v>66653249</v>
      </c>
      <c r="C434" s="66">
        <v>66653421</v>
      </c>
    </row>
    <row r="435" spans="1:3" ht="16.05" customHeight="1">
      <c r="A435" s="15">
        <v>2</v>
      </c>
      <c r="B435" s="15">
        <v>7058540</v>
      </c>
      <c r="C435" s="66">
        <v>7058585</v>
      </c>
    </row>
    <row r="436" spans="1:3" ht="16.05" customHeight="1">
      <c r="A436" s="15">
        <v>2</v>
      </c>
      <c r="B436" s="15">
        <v>70994858</v>
      </c>
      <c r="C436" s="66">
        <v>70995104</v>
      </c>
    </row>
    <row r="437" spans="1:3" ht="16.05" customHeight="1">
      <c r="A437" s="15">
        <v>2</v>
      </c>
      <c r="B437" s="15">
        <v>71115832</v>
      </c>
      <c r="C437" s="66">
        <v>71116147</v>
      </c>
    </row>
    <row r="438" spans="1:3" ht="16.05" customHeight="1">
      <c r="A438" s="15">
        <v>2</v>
      </c>
      <c r="B438" s="15">
        <v>71116147</v>
      </c>
      <c r="C438" s="66">
        <v>71116358</v>
      </c>
    </row>
    <row r="439" spans="1:3" ht="16.05" customHeight="1">
      <c r="A439" s="15">
        <v>2</v>
      </c>
      <c r="B439" s="15">
        <v>73146052</v>
      </c>
      <c r="C439" s="66">
        <v>73146246</v>
      </c>
    </row>
    <row r="440" spans="1:3" ht="16.05" customHeight="1">
      <c r="A440" s="15">
        <v>2</v>
      </c>
      <c r="B440" s="15">
        <v>73146246</v>
      </c>
      <c r="C440" s="66">
        <v>73146375</v>
      </c>
    </row>
    <row r="441" spans="1:3" ht="16.05" customHeight="1">
      <c r="A441" s="15">
        <v>2</v>
      </c>
      <c r="B441" s="15">
        <v>73147307</v>
      </c>
      <c r="C441" s="66">
        <v>73147444</v>
      </c>
    </row>
    <row r="442" spans="1:3" ht="16.05" customHeight="1">
      <c r="A442" s="15">
        <v>2</v>
      </c>
      <c r="B442" s="15">
        <v>73147439</v>
      </c>
      <c r="C442" s="66">
        <v>73147650</v>
      </c>
    </row>
    <row r="443" spans="1:3" ht="16.05" customHeight="1">
      <c r="A443" s="15">
        <v>2</v>
      </c>
      <c r="B443" s="15">
        <v>73429279</v>
      </c>
      <c r="C443" s="66">
        <v>73429495</v>
      </c>
    </row>
    <row r="444" spans="1:3" ht="16.05" customHeight="1">
      <c r="A444" s="15">
        <v>2</v>
      </c>
      <c r="B444" s="15">
        <v>73518591</v>
      </c>
      <c r="C444" s="66">
        <v>73518785</v>
      </c>
    </row>
    <row r="445" spans="1:3" ht="16.05" customHeight="1">
      <c r="A445" s="15">
        <v>2</v>
      </c>
      <c r="B445" s="15">
        <v>73518779</v>
      </c>
      <c r="C445" s="66">
        <v>73518876</v>
      </c>
    </row>
    <row r="446" spans="1:3" ht="16.05" customHeight="1">
      <c r="A446" s="15">
        <v>2</v>
      </c>
      <c r="B446" s="15">
        <v>74740981</v>
      </c>
      <c r="C446" s="66">
        <v>74741040</v>
      </c>
    </row>
    <row r="447" spans="1:3" ht="16.05" customHeight="1">
      <c r="A447" s="15">
        <v>2</v>
      </c>
      <c r="B447" s="15">
        <v>74741036</v>
      </c>
      <c r="C447" s="66">
        <v>74741308</v>
      </c>
    </row>
    <row r="448" spans="1:3" ht="16.05" customHeight="1">
      <c r="A448" s="15">
        <v>2</v>
      </c>
      <c r="B448" s="15">
        <v>74741839</v>
      </c>
      <c r="C448" s="66">
        <v>74741880</v>
      </c>
    </row>
    <row r="449" spans="1:3" ht="16.05" customHeight="1">
      <c r="A449" s="15">
        <v>2</v>
      </c>
      <c r="B449" s="15">
        <v>74742138</v>
      </c>
      <c r="C449" s="66">
        <v>74742280</v>
      </c>
    </row>
    <row r="450" spans="1:3" ht="16.05" customHeight="1">
      <c r="A450" s="15">
        <v>2</v>
      </c>
      <c r="B450" s="15">
        <v>74742297</v>
      </c>
      <c r="C450" s="66">
        <v>74742384</v>
      </c>
    </row>
    <row r="451" spans="1:3" ht="16.05" customHeight="1">
      <c r="A451" s="15">
        <v>2</v>
      </c>
      <c r="B451" s="15">
        <v>74742626</v>
      </c>
      <c r="C451" s="66">
        <v>74742700</v>
      </c>
    </row>
    <row r="452" spans="1:3" ht="16.05" customHeight="1">
      <c r="A452" s="15">
        <v>2</v>
      </c>
      <c r="B452" s="15">
        <v>74742709</v>
      </c>
      <c r="C452" s="66">
        <v>74742959</v>
      </c>
    </row>
    <row r="453" spans="1:3" ht="16.05" customHeight="1">
      <c r="A453" s="15">
        <v>2</v>
      </c>
      <c r="B453" s="15">
        <v>80530100</v>
      </c>
      <c r="C453" s="66">
        <v>80530240</v>
      </c>
    </row>
    <row r="454" spans="1:3" ht="16.05" customHeight="1">
      <c r="A454" s="15">
        <v>2</v>
      </c>
      <c r="B454" s="15">
        <v>80530248</v>
      </c>
      <c r="C454" s="66">
        <v>80530594</v>
      </c>
    </row>
    <row r="455" spans="1:3" ht="16.05" customHeight="1">
      <c r="A455" s="15">
        <v>2</v>
      </c>
      <c r="B455" s="15">
        <v>80530722</v>
      </c>
      <c r="C455" s="66">
        <v>80530851</v>
      </c>
    </row>
    <row r="456" spans="1:3" ht="16.05" customHeight="1">
      <c r="A456" s="15">
        <v>2</v>
      </c>
      <c r="B456" s="15">
        <v>87017416</v>
      </c>
      <c r="C456" s="66">
        <v>87017475</v>
      </c>
    </row>
    <row r="457" spans="1:3" ht="16.05" customHeight="1">
      <c r="A457" s="15">
        <v>2</v>
      </c>
      <c r="B457" s="15">
        <v>89065155</v>
      </c>
      <c r="C457" s="66">
        <v>89065407</v>
      </c>
    </row>
    <row r="458" spans="1:3" ht="16.05" customHeight="1">
      <c r="A458" s="15">
        <v>2</v>
      </c>
      <c r="B458" s="15">
        <v>9403681</v>
      </c>
      <c r="C458" s="66">
        <v>9403793</v>
      </c>
    </row>
    <row r="459" spans="1:3" ht="16.05" customHeight="1">
      <c r="A459" s="15">
        <v>2</v>
      </c>
      <c r="B459" s="15">
        <v>9403815</v>
      </c>
      <c r="C459" s="66">
        <v>9403843</v>
      </c>
    </row>
    <row r="460" spans="1:3" ht="16.05" customHeight="1">
      <c r="A460" s="15">
        <v>2</v>
      </c>
      <c r="B460" s="15">
        <v>95692268</v>
      </c>
      <c r="C460" s="66">
        <v>95692576</v>
      </c>
    </row>
    <row r="461" spans="1:3" ht="16.05" customHeight="1">
      <c r="A461" s="15">
        <v>2</v>
      </c>
      <c r="B461" s="15">
        <v>96990757</v>
      </c>
      <c r="C461" s="66">
        <v>96990903</v>
      </c>
    </row>
    <row r="462" spans="1:3" ht="16.05" customHeight="1">
      <c r="A462" s="15">
        <v>2</v>
      </c>
      <c r="B462" s="15">
        <v>96990909</v>
      </c>
      <c r="C462" s="66">
        <v>96991308</v>
      </c>
    </row>
    <row r="463" spans="1:3" ht="16.05" customHeight="1">
      <c r="A463" s="15">
        <v>2</v>
      </c>
      <c r="B463" s="15">
        <v>98962795</v>
      </c>
      <c r="C463" s="66">
        <v>98963068</v>
      </c>
    </row>
    <row r="464" spans="1:3" ht="16.05" customHeight="1">
      <c r="A464" s="15">
        <v>2</v>
      </c>
      <c r="B464" s="15">
        <v>98963654</v>
      </c>
      <c r="C464" s="66">
        <v>98963693</v>
      </c>
    </row>
    <row r="465" spans="1:3" ht="16.05" customHeight="1">
      <c r="A465" s="15">
        <v>2</v>
      </c>
      <c r="B465" s="15">
        <v>98963713</v>
      </c>
      <c r="C465" s="66">
        <v>98963926</v>
      </c>
    </row>
    <row r="466" spans="1:3" ht="16.05" customHeight="1">
      <c r="A466" s="15">
        <v>2</v>
      </c>
      <c r="B466" s="15">
        <v>99553316</v>
      </c>
      <c r="C466" s="66">
        <v>99553572</v>
      </c>
    </row>
    <row r="467" spans="1:3" ht="16.05" customHeight="1">
      <c r="A467" s="15">
        <v>3</v>
      </c>
      <c r="B467" s="15">
        <v>10547579</v>
      </c>
      <c r="C467" s="66">
        <v>10547687</v>
      </c>
    </row>
    <row r="468" spans="1:3" ht="16.05" customHeight="1">
      <c r="A468" s="15">
        <v>3</v>
      </c>
      <c r="B468" s="15">
        <v>12045330</v>
      </c>
      <c r="C468" s="66">
        <v>12045578</v>
      </c>
    </row>
    <row r="469" spans="1:3" ht="16.05" customHeight="1">
      <c r="A469" s="15">
        <v>3</v>
      </c>
      <c r="B469" s="15">
        <v>121903090</v>
      </c>
      <c r="C469" s="66">
        <v>121903256</v>
      </c>
    </row>
    <row r="470" spans="1:3" ht="16.05" customHeight="1">
      <c r="A470" s="15">
        <v>3</v>
      </c>
      <c r="B470" s="15">
        <v>125075911</v>
      </c>
      <c r="C470" s="66">
        <v>125076181</v>
      </c>
    </row>
    <row r="471" spans="1:3" ht="16.05" customHeight="1">
      <c r="A471" s="15">
        <v>3</v>
      </c>
      <c r="B471" s="15">
        <v>125677107</v>
      </c>
      <c r="C471" s="66">
        <v>125677428</v>
      </c>
    </row>
    <row r="472" spans="1:3" ht="16.05" customHeight="1">
      <c r="A472" s="15">
        <v>3</v>
      </c>
      <c r="B472" s="15">
        <v>125690924</v>
      </c>
      <c r="C472" s="66">
        <v>125691060</v>
      </c>
    </row>
    <row r="473" spans="1:3" ht="16.05" customHeight="1">
      <c r="A473" s="15">
        <v>3</v>
      </c>
      <c r="B473" s="15">
        <v>125899765</v>
      </c>
      <c r="C473" s="66">
        <v>125899954</v>
      </c>
    </row>
    <row r="474" spans="1:3" ht="16.05" customHeight="1">
      <c r="A474" s="15">
        <v>3</v>
      </c>
      <c r="B474" s="15">
        <v>125900019</v>
      </c>
      <c r="C474" s="66">
        <v>125900099</v>
      </c>
    </row>
    <row r="475" spans="1:3" ht="16.05" customHeight="1">
      <c r="A475" s="15">
        <v>3</v>
      </c>
      <c r="B475" s="15">
        <v>127634126</v>
      </c>
      <c r="C475" s="66">
        <v>127634304</v>
      </c>
    </row>
    <row r="476" spans="1:3" ht="16.05" customHeight="1">
      <c r="A476" s="15">
        <v>3</v>
      </c>
      <c r="B476" s="15">
        <v>127634340</v>
      </c>
      <c r="C476" s="66">
        <v>127634465</v>
      </c>
    </row>
    <row r="477" spans="1:3" ht="16.05" customHeight="1">
      <c r="A477" s="15">
        <v>3</v>
      </c>
      <c r="B477" s="15">
        <v>129693339</v>
      </c>
      <c r="C477" s="66">
        <v>129693443</v>
      </c>
    </row>
    <row r="478" spans="1:3" ht="16.05" customHeight="1">
      <c r="A478" s="15">
        <v>3</v>
      </c>
      <c r="B478" s="15">
        <v>129693436</v>
      </c>
      <c r="C478" s="66">
        <v>129693495</v>
      </c>
    </row>
    <row r="479" spans="1:3" ht="16.05" customHeight="1">
      <c r="A479" s="15">
        <v>3</v>
      </c>
      <c r="B479" s="15">
        <v>129693495</v>
      </c>
      <c r="C479" s="66">
        <v>129693641</v>
      </c>
    </row>
    <row r="480" spans="1:3" ht="16.05" customHeight="1">
      <c r="A480" s="15">
        <v>3</v>
      </c>
      <c r="B480" s="15">
        <v>129693892</v>
      </c>
      <c r="C480" s="66">
        <v>129694063</v>
      </c>
    </row>
    <row r="481" spans="1:3" ht="16.05" customHeight="1">
      <c r="A481" s="15">
        <v>3</v>
      </c>
      <c r="B481" s="15">
        <v>129694151</v>
      </c>
      <c r="C481" s="66">
        <v>129694320</v>
      </c>
    </row>
    <row r="482" spans="1:3" ht="16.05" customHeight="1">
      <c r="A482" s="15">
        <v>3</v>
      </c>
      <c r="B482" s="15">
        <v>129694323</v>
      </c>
      <c r="C482" s="66">
        <v>129694592</v>
      </c>
    </row>
    <row r="483" spans="1:3" ht="16.05" customHeight="1">
      <c r="A483" s="15">
        <v>3</v>
      </c>
      <c r="B483" s="15">
        <v>129694595</v>
      </c>
      <c r="C483" s="66">
        <v>129694662</v>
      </c>
    </row>
    <row r="484" spans="1:3" ht="16.05" customHeight="1">
      <c r="A484" s="15">
        <v>3</v>
      </c>
      <c r="B484" s="15">
        <v>132756862</v>
      </c>
      <c r="C484" s="66">
        <v>132756873</v>
      </c>
    </row>
    <row r="485" spans="1:3" ht="16.05" customHeight="1">
      <c r="A485" s="15">
        <v>3</v>
      </c>
      <c r="B485" s="15">
        <v>132757158</v>
      </c>
      <c r="C485" s="66">
        <v>132757305</v>
      </c>
    </row>
    <row r="486" spans="1:3" ht="16.05" customHeight="1">
      <c r="A486" s="15">
        <v>3</v>
      </c>
      <c r="B486" s="15">
        <v>137483853</v>
      </c>
      <c r="C486" s="66">
        <v>137484033</v>
      </c>
    </row>
    <row r="487" spans="1:3" ht="16.05" customHeight="1">
      <c r="A487" s="15">
        <v>3</v>
      </c>
      <c r="B487" s="15">
        <v>137484044</v>
      </c>
      <c r="C487" s="66">
        <v>137484163</v>
      </c>
    </row>
    <row r="488" spans="1:3" ht="16.05" customHeight="1">
      <c r="A488" s="15">
        <v>3</v>
      </c>
      <c r="B488" s="15">
        <v>137487036</v>
      </c>
      <c r="C488" s="66">
        <v>137487133</v>
      </c>
    </row>
    <row r="489" spans="1:3" ht="16.05" customHeight="1">
      <c r="A489" s="15">
        <v>3</v>
      </c>
      <c r="B489" s="15">
        <v>137487165</v>
      </c>
      <c r="C489" s="66">
        <v>137487325</v>
      </c>
    </row>
    <row r="490" spans="1:3" ht="16.05" customHeight="1">
      <c r="A490" s="15">
        <v>3</v>
      </c>
      <c r="B490" s="15">
        <v>137487765</v>
      </c>
      <c r="C490" s="66">
        <v>137487891</v>
      </c>
    </row>
    <row r="491" spans="1:3" ht="16.05" customHeight="1">
      <c r="A491" s="15">
        <v>3</v>
      </c>
      <c r="B491" s="15">
        <v>137487903</v>
      </c>
      <c r="C491" s="66">
        <v>137488105</v>
      </c>
    </row>
    <row r="492" spans="1:3" ht="16.05" customHeight="1">
      <c r="A492" s="15">
        <v>3</v>
      </c>
      <c r="B492" s="15">
        <v>137489597</v>
      </c>
      <c r="C492" s="66">
        <v>137489728</v>
      </c>
    </row>
    <row r="493" spans="1:3" ht="16.05" customHeight="1">
      <c r="A493" s="15">
        <v>3</v>
      </c>
      <c r="B493" s="15">
        <v>137489758</v>
      </c>
      <c r="C493" s="66">
        <v>137489935</v>
      </c>
    </row>
    <row r="494" spans="1:3" ht="16.05" customHeight="1">
      <c r="A494" s="15">
        <v>3</v>
      </c>
      <c r="B494" s="15">
        <v>138679240</v>
      </c>
      <c r="C494" s="66">
        <v>138679532</v>
      </c>
    </row>
    <row r="495" spans="1:3" ht="16.05" customHeight="1">
      <c r="A495" s="15">
        <v>3</v>
      </c>
      <c r="B495" s="15">
        <v>139653426</v>
      </c>
      <c r="C495" s="66">
        <v>139653467</v>
      </c>
    </row>
    <row r="496" spans="1:3" ht="16.05" customHeight="1">
      <c r="A496" s="15">
        <v>3</v>
      </c>
      <c r="B496" s="15">
        <v>140769639</v>
      </c>
      <c r="C496" s="66">
        <v>140769697</v>
      </c>
    </row>
    <row r="497" spans="1:3" ht="16.05" customHeight="1">
      <c r="A497" s="15">
        <v>3</v>
      </c>
      <c r="B497" s="15">
        <v>140771062</v>
      </c>
      <c r="C497" s="66">
        <v>140771136</v>
      </c>
    </row>
    <row r="498" spans="1:3" ht="16.05" customHeight="1">
      <c r="A498" s="15">
        <v>3</v>
      </c>
      <c r="B498" s="15">
        <v>147087195</v>
      </c>
      <c r="C498" s="66">
        <v>147087332</v>
      </c>
    </row>
    <row r="499" spans="1:3" ht="16.05" customHeight="1">
      <c r="A499" s="15">
        <v>3</v>
      </c>
      <c r="B499" s="15">
        <v>147089357</v>
      </c>
      <c r="C499" s="66">
        <v>147089436</v>
      </c>
    </row>
    <row r="500" spans="1:3" ht="16.05" customHeight="1">
      <c r="A500" s="15">
        <v>3</v>
      </c>
      <c r="B500" s="15">
        <v>147106044</v>
      </c>
      <c r="C500" s="66">
        <v>147106129</v>
      </c>
    </row>
    <row r="501" spans="1:3" ht="16.05" customHeight="1">
      <c r="A501" s="15">
        <v>3</v>
      </c>
      <c r="B501" s="15">
        <v>147106171</v>
      </c>
      <c r="C501" s="66">
        <v>147106378</v>
      </c>
    </row>
    <row r="502" spans="1:3" ht="16.05" customHeight="1">
      <c r="A502" s="15">
        <v>3</v>
      </c>
      <c r="B502" s="15">
        <v>147106320</v>
      </c>
      <c r="C502" s="66">
        <v>147106495</v>
      </c>
    </row>
    <row r="503" spans="1:3" ht="16.05" customHeight="1">
      <c r="A503" s="15">
        <v>3</v>
      </c>
      <c r="B503" s="15">
        <v>147106531</v>
      </c>
      <c r="C503" s="66">
        <v>147106643</v>
      </c>
    </row>
    <row r="504" spans="1:3" ht="16.05" customHeight="1">
      <c r="A504" s="15">
        <v>3</v>
      </c>
      <c r="B504" s="15">
        <v>147124247</v>
      </c>
      <c r="C504" s="66">
        <v>147124423</v>
      </c>
    </row>
    <row r="505" spans="1:3" ht="16.05" customHeight="1">
      <c r="A505" s="15">
        <v>3</v>
      </c>
      <c r="B505" s="15">
        <v>147140815</v>
      </c>
      <c r="C505" s="66">
        <v>147141009</v>
      </c>
    </row>
    <row r="506" spans="1:3" ht="16.05" customHeight="1">
      <c r="A506" s="15">
        <v>3</v>
      </c>
      <c r="B506" s="15">
        <v>14852491</v>
      </c>
      <c r="C506" s="66">
        <v>14852685</v>
      </c>
    </row>
    <row r="507" spans="1:3" ht="16.05" customHeight="1">
      <c r="A507" s="15">
        <v>3</v>
      </c>
      <c r="B507" s="15">
        <v>14852677</v>
      </c>
      <c r="C507" s="66">
        <v>14852911</v>
      </c>
    </row>
    <row r="508" spans="1:3" ht="16.05" customHeight="1">
      <c r="A508" s="15">
        <v>3</v>
      </c>
      <c r="B508" s="15">
        <v>149689721</v>
      </c>
      <c r="C508" s="66">
        <v>149689817</v>
      </c>
    </row>
    <row r="509" spans="1:3" ht="16.05" customHeight="1">
      <c r="A509" s="15">
        <v>3</v>
      </c>
      <c r="B509" s="15">
        <v>157821241</v>
      </c>
      <c r="C509" s="66">
        <v>157821413</v>
      </c>
    </row>
    <row r="510" spans="1:3" ht="16.05" customHeight="1">
      <c r="A510" s="15">
        <v>3</v>
      </c>
      <c r="B510" s="15">
        <v>157821427</v>
      </c>
      <c r="C510" s="66">
        <v>157821524</v>
      </c>
    </row>
    <row r="511" spans="1:3" ht="16.05" customHeight="1">
      <c r="A511" s="15">
        <v>3</v>
      </c>
      <c r="B511" s="15">
        <v>157821523</v>
      </c>
      <c r="C511" s="66">
        <v>157821703</v>
      </c>
    </row>
    <row r="512" spans="1:3" ht="16.05" customHeight="1">
      <c r="A512" s="15">
        <v>3</v>
      </c>
      <c r="B512" s="15">
        <v>157821797</v>
      </c>
      <c r="C512" s="66">
        <v>157821934</v>
      </c>
    </row>
    <row r="513" spans="1:3" ht="16.05" customHeight="1">
      <c r="A513" s="15">
        <v>3</v>
      </c>
      <c r="B513" s="15">
        <v>157821982</v>
      </c>
      <c r="C513" s="66">
        <v>157822164</v>
      </c>
    </row>
    <row r="514" spans="1:3" ht="16.05" customHeight="1">
      <c r="A514" s="15">
        <v>3</v>
      </c>
      <c r="B514" s="15">
        <v>157822969</v>
      </c>
      <c r="C514" s="66">
        <v>157823261</v>
      </c>
    </row>
    <row r="515" spans="1:3" ht="16.05" customHeight="1">
      <c r="A515" s="15">
        <v>3</v>
      </c>
      <c r="B515" s="15">
        <v>157823287</v>
      </c>
      <c r="C515" s="66">
        <v>157823536</v>
      </c>
    </row>
    <row r="516" spans="1:3" ht="16.05" customHeight="1">
      <c r="A516" s="15">
        <v>3</v>
      </c>
      <c r="B516" s="15">
        <v>157824097</v>
      </c>
      <c r="C516" s="66">
        <v>157824194</v>
      </c>
    </row>
    <row r="517" spans="1:3" ht="16.05" customHeight="1">
      <c r="A517" s="15">
        <v>3</v>
      </c>
      <c r="B517" s="15">
        <v>157824204</v>
      </c>
      <c r="C517" s="66">
        <v>157824336</v>
      </c>
    </row>
    <row r="518" spans="1:3" ht="16.05" customHeight="1">
      <c r="A518" s="15">
        <v>3</v>
      </c>
      <c r="B518" s="15">
        <v>164914356</v>
      </c>
      <c r="C518" s="66">
        <v>164914641</v>
      </c>
    </row>
    <row r="519" spans="1:3" ht="16.05" customHeight="1">
      <c r="A519" s="15">
        <v>3</v>
      </c>
      <c r="B519" s="15">
        <v>164914991</v>
      </c>
      <c r="C519" s="66">
        <v>164915127</v>
      </c>
    </row>
    <row r="520" spans="1:3" ht="16.05" customHeight="1">
      <c r="A520" s="15">
        <v>3</v>
      </c>
      <c r="B520" s="15">
        <v>170137185</v>
      </c>
      <c r="C520" s="66">
        <v>170137558</v>
      </c>
    </row>
    <row r="521" spans="1:3" ht="16.05" customHeight="1">
      <c r="A521" s="15">
        <v>3</v>
      </c>
      <c r="B521" s="15">
        <v>170137565</v>
      </c>
      <c r="C521" s="66">
        <v>170137720</v>
      </c>
    </row>
    <row r="522" spans="1:3" ht="16.05" customHeight="1">
      <c r="A522" s="15">
        <v>3</v>
      </c>
      <c r="B522" s="15">
        <v>170302750</v>
      </c>
      <c r="C522" s="66">
        <v>170303021</v>
      </c>
    </row>
    <row r="523" spans="1:3" ht="16.05" customHeight="1">
      <c r="A523" s="15">
        <v>3</v>
      </c>
      <c r="B523" s="15">
        <v>170745939</v>
      </c>
      <c r="C523" s="66">
        <v>170746018</v>
      </c>
    </row>
    <row r="524" spans="1:3" ht="16.05" customHeight="1">
      <c r="A524" s="15">
        <v>3</v>
      </c>
      <c r="B524" s="15">
        <v>172165723</v>
      </c>
      <c r="C524" s="66">
        <v>172165909</v>
      </c>
    </row>
    <row r="525" spans="1:3" ht="16.05" customHeight="1">
      <c r="A525" s="15">
        <v>3</v>
      </c>
      <c r="B525" s="15">
        <v>172165934</v>
      </c>
      <c r="C525" s="66">
        <v>172166059</v>
      </c>
    </row>
    <row r="526" spans="1:3" ht="16.05" customHeight="1">
      <c r="A526" s="15">
        <v>3</v>
      </c>
      <c r="B526" s="15">
        <v>172166067</v>
      </c>
      <c r="C526" s="66">
        <v>172166329</v>
      </c>
    </row>
    <row r="527" spans="1:3" ht="16.05" customHeight="1">
      <c r="A527" s="15">
        <v>3</v>
      </c>
      <c r="B527" s="15">
        <v>172166368</v>
      </c>
      <c r="C527" s="66">
        <v>172166379</v>
      </c>
    </row>
    <row r="528" spans="1:3" ht="16.05" customHeight="1">
      <c r="A528" s="15">
        <v>3</v>
      </c>
      <c r="B528" s="15">
        <v>172166368</v>
      </c>
      <c r="C528" s="66">
        <v>172166379</v>
      </c>
    </row>
    <row r="529" spans="1:3" ht="16.05" customHeight="1">
      <c r="A529" s="15">
        <v>3</v>
      </c>
      <c r="B529" s="15">
        <v>172166505</v>
      </c>
      <c r="C529" s="66">
        <v>172166679</v>
      </c>
    </row>
    <row r="530" spans="1:3" ht="16.05" customHeight="1">
      <c r="A530" s="15">
        <v>3</v>
      </c>
      <c r="B530" s="15">
        <v>173115936</v>
      </c>
      <c r="C530" s="66">
        <v>173116254</v>
      </c>
    </row>
    <row r="531" spans="1:3" ht="16.05" customHeight="1">
      <c r="A531" s="15">
        <v>3</v>
      </c>
      <c r="B531" s="15">
        <v>179754390</v>
      </c>
      <c r="C531" s="66">
        <v>179754444</v>
      </c>
    </row>
    <row r="532" spans="1:3" ht="16.05" customHeight="1">
      <c r="A532" s="15">
        <v>3</v>
      </c>
      <c r="B532" s="15">
        <v>179754778</v>
      </c>
      <c r="C532" s="66">
        <v>179754981</v>
      </c>
    </row>
    <row r="533" spans="1:3" ht="16.05" customHeight="1">
      <c r="A533" s="15">
        <v>3</v>
      </c>
      <c r="B533" s="15">
        <v>179755068</v>
      </c>
      <c r="C533" s="66">
        <v>179755312</v>
      </c>
    </row>
    <row r="534" spans="1:3" ht="16.05" customHeight="1">
      <c r="A534" s="15">
        <v>3</v>
      </c>
      <c r="B534" s="15">
        <v>181413204</v>
      </c>
      <c r="C534" s="66">
        <v>181413347</v>
      </c>
    </row>
    <row r="535" spans="1:3" ht="16.05" customHeight="1">
      <c r="A535" s="15">
        <v>3</v>
      </c>
      <c r="B535" s="15">
        <v>181413368</v>
      </c>
      <c r="C535" s="66">
        <v>181413523</v>
      </c>
    </row>
    <row r="536" spans="1:3" ht="16.05" customHeight="1">
      <c r="A536" s="15">
        <v>3</v>
      </c>
      <c r="B536" s="15">
        <v>181413646</v>
      </c>
      <c r="C536" s="66">
        <v>181414243</v>
      </c>
    </row>
    <row r="537" spans="1:3" ht="16.05" customHeight="1">
      <c r="A537" s="15">
        <v>3</v>
      </c>
      <c r="B537" s="15">
        <v>181414268</v>
      </c>
      <c r="C537" s="66">
        <v>181414279</v>
      </c>
    </row>
    <row r="538" spans="1:3" ht="16.05" customHeight="1">
      <c r="A538" s="15">
        <v>3</v>
      </c>
      <c r="B538" s="15">
        <v>181437140</v>
      </c>
      <c r="C538" s="66">
        <v>181437341</v>
      </c>
    </row>
    <row r="539" spans="1:3" ht="16.05" customHeight="1">
      <c r="A539" s="15">
        <v>3</v>
      </c>
      <c r="B539" s="15">
        <v>181437378</v>
      </c>
      <c r="C539" s="66">
        <v>181437453</v>
      </c>
    </row>
    <row r="540" spans="1:3" ht="16.05" customHeight="1">
      <c r="A540" s="15">
        <v>3</v>
      </c>
      <c r="B540" s="15">
        <v>181444384</v>
      </c>
      <c r="C540" s="66">
        <v>181444676</v>
      </c>
    </row>
    <row r="541" spans="1:3" ht="16.05" customHeight="1">
      <c r="A541" s="15">
        <v>3</v>
      </c>
      <c r="B541" s="15">
        <v>181444865</v>
      </c>
      <c r="C541" s="66">
        <v>181445162</v>
      </c>
    </row>
    <row r="542" spans="1:3" ht="16.05" customHeight="1">
      <c r="A542" s="15">
        <v>3</v>
      </c>
      <c r="B542" s="15">
        <v>186490222</v>
      </c>
      <c r="C542" s="66">
        <v>186490308</v>
      </c>
    </row>
    <row r="543" spans="1:3" ht="16.05" customHeight="1">
      <c r="A543" s="15">
        <v>3</v>
      </c>
      <c r="B543" s="15">
        <v>186490300</v>
      </c>
      <c r="C543" s="66">
        <v>186490506</v>
      </c>
    </row>
    <row r="544" spans="1:3" ht="16.05" customHeight="1">
      <c r="A544" s="15">
        <v>3</v>
      </c>
      <c r="B544" s="15">
        <v>192126681</v>
      </c>
      <c r="C544" s="66">
        <v>192126862</v>
      </c>
    </row>
    <row r="545" spans="1:3" ht="16.05" customHeight="1">
      <c r="A545" s="15">
        <v>3</v>
      </c>
      <c r="B545" s="15">
        <v>192127155</v>
      </c>
      <c r="C545" s="66">
        <v>192127289</v>
      </c>
    </row>
    <row r="546" spans="1:3" ht="16.05" customHeight="1">
      <c r="A546" s="15">
        <v>3</v>
      </c>
      <c r="B546" s="15">
        <v>192127322</v>
      </c>
      <c r="C546" s="66">
        <v>192127523</v>
      </c>
    </row>
    <row r="547" spans="1:3" ht="16.05" customHeight="1">
      <c r="A547" s="15">
        <v>3</v>
      </c>
      <c r="B547" s="15">
        <v>192231943</v>
      </c>
      <c r="C547" s="66">
        <v>192231989</v>
      </c>
    </row>
    <row r="548" spans="1:3" ht="16.05" customHeight="1">
      <c r="A548" s="15">
        <v>3</v>
      </c>
      <c r="B548" s="15">
        <v>192232068</v>
      </c>
      <c r="C548" s="66">
        <v>192232241</v>
      </c>
    </row>
    <row r="549" spans="1:3" ht="16.05" customHeight="1">
      <c r="A549" s="15">
        <v>3</v>
      </c>
      <c r="B549" s="15">
        <v>196755809</v>
      </c>
      <c r="C549" s="66">
        <v>196755885</v>
      </c>
    </row>
    <row r="550" spans="1:3" ht="16.05" customHeight="1">
      <c r="A550" s="15">
        <v>3</v>
      </c>
      <c r="B550" s="15">
        <v>196755886</v>
      </c>
      <c r="C550" s="66">
        <v>196756124</v>
      </c>
    </row>
    <row r="551" spans="1:3" ht="16.05" customHeight="1">
      <c r="A551" s="15">
        <v>3</v>
      </c>
      <c r="B551" s="15">
        <v>2141646</v>
      </c>
      <c r="C551" s="66">
        <v>2141844</v>
      </c>
    </row>
    <row r="552" spans="1:3" ht="16.05" customHeight="1">
      <c r="A552" s="15">
        <v>3</v>
      </c>
      <c r="B552" s="15">
        <v>27764587</v>
      </c>
      <c r="C552" s="66">
        <v>27764822</v>
      </c>
    </row>
    <row r="553" spans="1:3" ht="16.05" customHeight="1">
      <c r="A553" s="15">
        <v>3</v>
      </c>
      <c r="B553" s="15">
        <v>27772487</v>
      </c>
      <c r="C553" s="66">
        <v>27772806</v>
      </c>
    </row>
    <row r="554" spans="1:3" ht="16.05" customHeight="1">
      <c r="A554" s="15">
        <v>3</v>
      </c>
      <c r="B554" s="15">
        <v>28616557</v>
      </c>
      <c r="C554" s="66">
        <v>28616853</v>
      </c>
    </row>
    <row r="555" spans="1:3" ht="16.05" customHeight="1">
      <c r="A555" s="15">
        <v>3</v>
      </c>
      <c r="B555" s="15">
        <v>32858932</v>
      </c>
      <c r="C555" s="66">
        <v>32859056</v>
      </c>
    </row>
    <row r="556" spans="1:3" ht="16.05" customHeight="1">
      <c r="A556" s="15">
        <v>3</v>
      </c>
      <c r="B556" s="15">
        <v>32860292</v>
      </c>
      <c r="C556" s="66">
        <v>32860559</v>
      </c>
    </row>
    <row r="557" spans="1:3" ht="16.05" customHeight="1">
      <c r="A557" s="15">
        <v>3</v>
      </c>
      <c r="B557" s="15">
        <v>44037370</v>
      </c>
      <c r="C557" s="66">
        <v>44037458</v>
      </c>
    </row>
    <row r="558" spans="1:3" ht="16.05" customHeight="1">
      <c r="A558" s="15">
        <v>3</v>
      </c>
      <c r="B558" s="15">
        <v>48699199</v>
      </c>
      <c r="C558" s="66">
        <v>48699487</v>
      </c>
    </row>
    <row r="559" spans="1:3" ht="16.05" customHeight="1">
      <c r="A559" s="15">
        <v>3</v>
      </c>
      <c r="B559" s="15">
        <v>48699492</v>
      </c>
      <c r="C559" s="66">
        <v>48699541</v>
      </c>
    </row>
    <row r="560" spans="1:3" ht="16.05" customHeight="1">
      <c r="A560" s="15">
        <v>3</v>
      </c>
      <c r="B560" s="15">
        <v>49314212</v>
      </c>
      <c r="C560" s="66">
        <v>49314288</v>
      </c>
    </row>
    <row r="561" spans="1:3" ht="16.05" customHeight="1">
      <c r="A561" s="15">
        <v>3</v>
      </c>
      <c r="B561" s="15">
        <v>50284298</v>
      </c>
      <c r="C561" s="66">
        <v>50284312</v>
      </c>
    </row>
    <row r="562" spans="1:3" ht="16.05" customHeight="1">
      <c r="A562" s="15">
        <v>3</v>
      </c>
      <c r="B562" s="15">
        <v>50713099</v>
      </c>
      <c r="C562" s="66">
        <v>50713181</v>
      </c>
    </row>
    <row r="563" spans="1:3" ht="16.05" customHeight="1">
      <c r="A563" s="15">
        <v>3</v>
      </c>
      <c r="B563" s="15">
        <v>54154770</v>
      </c>
      <c r="C563" s="66">
        <v>54154812</v>
      </c>
    </row>
    <row r="564" spans="1:3" ht="16.05" customHeight="1">
      <c r="A564" s="15">
        <v>3</v>
      </c>
      <c r="B564" s="15">
        <v>54157392</v>
      </c>
      <c r="C564" s="66">
        <v>54157507</v>
      </c>
    </row>
    <row r="565" spans="1:3" ht="16.05" customHeight="1">
      <c r="A565" s="15">
        <v>3</v>
      </c>
      <c r="B565" s="15">
        <v>54157552</v>
      </c>
      <c r="C565" s="66">
        <v>54157731</v>
      </c>
    </row>
    <row r="566" spans="1:3" ht="16.05" customHeight="1">
      <c r="A566" s="15">
        <v>3</v>
      </c>
      <c r="B566" s="15">
        <v>61550472</v>
      </c>
      <c r="C566" s="66">
        <v>61550554</v>
      </c>
    </row>
    <row r="567" spans="1:3" ht="16.05" customHeight="1">
      <c r="A567" s="15">
        <v>3</v>
      </c>
      <c r="B567" s="15">
        <v>62355785</v>
      </c>
      <c r="C567" s="66">
        <v>62355991</v>
      </c>
    </row>
    <row r="568" spans="1:3" ht="16.05" customHeight="1">
      <c r="A568" s="15">
        <v>3</v>
      </c>
      <c r="B568" s="15">
        <v>62356074</v>
      </c>
      <c r="C568" s="66">
        <v>62356437</v>
      </c>
    </row>
    <row r="569" spans="1:3" ht="16.05" customHeight="1">
      <c r="A569" s="15">
        <v>3</v>
      </c>
      <c r="B569" s="15">
        <v>62860967</v>
      </c>
      <c r="C569" s="66">
        <v>62861151</v>
      </c>
    </row>
    <row r="570" spans="1:3" ht="16.05" customHeight="1">
      <c r="A570" s="15">
        <v>3</v>
      </c>
      <c r="B570" s="15">
        <v>62861177</v>
      </c>
      <c r="C570" s="66">
        <v>62861480</v>
      </c>
    </row>
    <row r="571" spans="1:3" ht="16.05" customHeight="1">
      <c r="A571" s="15">
        <v>3</v>
      </c>
      <c r="B571" s="15">
        <v>68056806</v>
      </c>
      <c r="C571" s="66">
        <v>68057031</v>
      </c>
    </row>
    <row r="572" spans="1:3" ht="16.05" customHeight="1">
      <c r="A572" s="15">
        <v>3</v>
      </c>
      <c r="B572" s="15">
        <v>68057073</v>
      </c>
      <c r="C572" s="66">
        <v>68057137</v>
      </c>
    </row>
    <row r="573" spans="1:3" ht="16.05" customHeight="1">
      <c r="A573" s="15">
        <v>3</v>
      </c>
      <c r="B573" s="15">
        <v>68057301</v>
      </c>
      <c r="C573" s="66">
        <v>68057396</v>
      </c>
    </row>
    <row r="574" spans="1:3" ht="16.05" customHeight="1">
      <c r="A574" s="15">
        <v>3</v>
      </c>
      <c r="B574" s="15">
        <v>68980997</v>
      </c>
      <c r="C574" s="66">
        <v>68981178</v>
      </c>
    </row>
    <row r="575" spans="1:3" ht="16.05" customHeight="1">
      <c r="A575" s="15">
        <v>3</v>
      </c>
      <c r="B575" s="15">
        <v>68981677</v>
      </c>
      <c r="C575" s="66">
        <v>68982026</v>
      </c>
    </row>
    <row r="576" spans="1:3" ht="16.05" customHeight="1">
      <c r="A576" s="15">
        <v>3</v>
      </c>
      <c r="B576" s="15">
        <v>6902528</v>
      </c>
      <c r="C576" s="66">
        <v>6902770</v>
      </c>
    </row>
    <row r="577" spans="1:3" ht="16.05" customHeight="1">
      <c r="A577" s="15">
        <v>3</v>
      </c>
      <c r="B577" s="15">
        <v>6902772</v>
      </c>
      <c r="C577" s="66">
        <v>6902862</v>
      </c>
    </row>
    <row r="578" spans="1:3" ht="16.05" customHeight="1">
      <c r="A578" s="15">
        <v>3</v>
      </c>
      <c r="B578" s="15">
        <v>71802431</v>
      </c>
      <c r="C578" s="66">
        <v>71802472</v>
      </c>
    </row>
    <row r="579" spans="1:3" ht="16.05" customHeight="1">
      <c r="A579" s="15">
        <v>3</v>
      </c>
      <c r="B579" s="15">
        <v>71802481</v>
      </c>
      <c r="C579" s="66">
        <v>71802766</v>
      </c>
    </row>
    <row r="580" spans="1:3" ht="16.05" customHeight="1">
      <c r="A580" s="15">
        <v>3</v>
      </c>
      <c r="B580" s="15">
        <v>72787792</v>
      </c>
      <c r="C580" s="66">
        <v>72787850</v>
      </c>
    </row>
    <row r="581" spans="1:3" ht="16.05" customHeight="1">
      <c r="A581" s="15">
        <v>3</v>
      </c>
      <c r="B581" s="15">
        <v>72788383</v>
      </c>
      <c r="C581" s="66">
        <v>72788452</v>
      </c>
    </row>
    <row r="582" spans="1:3" ht="16.05" customHeight="1">
      <c r="A582" s="15">
        <v>3</v>
      </c>
      <c r="B582" s="15">
        <v>73673994</v>
      </c>
      <c r="C582" s="66">
        <v>73674176</v>
      </c>
    </row>
    <row r="583" spans="1:3" ht="16.05" customHeight="1">
      <c r="A583" s="15">
        <v>3</v>
      </c>
      <c r="B583" s="15">
        <v>73674176</v>
      </c>
      <c r="C583" s="66">
        <v>73674313</v>
      </c>
    </row>
    <row r="584" spans="1:3" ht="16.05" customHeight="1">
      <c r="A584" s="15">
        <v>3</v>
      </c>
      <c r="B584" s="15">
        <v>79816887</v>
      </c>
      <c r="C584" s="66">
        <v>79817007</v>
      </c>
    </row>
    <row r="585" spans="1:3" ht="16.05" customHeight="1">
      <c r="A585" s="15">
        <v>4</v>
      </c>
      <c r="B585" s="15">
        <v>102711914</v>
      </c>
      <c r="C585" s="66">
        <v>102712057</v>
      </c>
    </row>
    <row r="586" spans="1:3" ht="16.05" customHeight="1">
      <c r="A586" s="15">
        <v>4</v>
      </c>
      <c r="B586" s="15">
        <v>107956780</v>
      </c>
      <c r="C586" s="66">
        <v>107956943</v>
      </c>
    </row>
    <row r="587" spans="1:3" ht="16.05" customHeight="1">
      <c r="A587" s="15">
        <v>4</v>
      </c>
      <c r="B587" s="15">
        <v>107956943</v>
      </c>
      <c r="C587" s="66">
        <v>107957129</v>
      </c>
    </row>
    <row r="588" spans="1:3" ht="16.05" customHeight="1">
      <c r="A588" s="15">
        <v>4</v>
      </c>
      <c r="B588" s="15">
        <v>107958404</v>
      </c>
      <c r="C588" s="66">
        <v>107958609</v>
      </c>
    </row>
    <row r="589" spans="1:3" ht="16.05" customHeight="1">
      <c r="A589" s="15">
        <v>4</v>
      </c>
      <c r="B589" s="15">
        <v>107958621</v>
      </c>
      <c r="C589" s="66">
        <v>107958632</v>
      </c>
    </row>
    <row r="590" spans="1:3" ht="16.05" customHeight="1">
      <c r="A590" s="15">
        <v>4</v>
      </c>
      <c r="B590" s="15">
        <v>110223424</v>
      </c>
      <c r="C590" s="66">
        <v>110223730</v>
      </c>
    </row>
    <row r="591" spans="1:3" ht="16.05" customHeight="1">
      <c r="A591" s="15">
        <v>4</v>
      </c>
      <c r="B591" s="15">
        <v>110224063</v>
      </c>
      <c r="C591" s="66">
        <v>110224294</v>
      </c>
    </row>
    <row r="592" spans="1:3" ht="16.05" customHeight="1">
      <c r="A592" s="15">
        <v>4</v>
      </c>
      <c r="B592" s="15">
        <v>110224324</v>
      </c>
      <c r="C592" s="66">
        <v>110224426</v>
      </c>
    </row>
    <row r="593" spans="1:3" ht="16.05" customHeight="1">
      <c r="A593" s="15">
        <v>4</v>
      </c>
      <c r="B593" s="15">
        <v>113444177</v>
      </c>
      <c r="C593" s="66">
        <v>113444440</v>
      </c>
    </row>
    <row r="594" spans="1:3" ht="16.05" customHeight="1">
      <c r="A594" s="15">
        <v>4</v>
      </c>
      <c r="B594" s="15">
        <v>122078036</v>
      </c>
      <c r="C594" s="66">
        <v>122078113</v>
      </c>
    </row>
    <row r="595" spans="1:3" ht="16.05" customHeight="1">
      <c r="A595" s="15">
        <v>4</v>
      </c>
      <c r="B595" s="15">
        <v>122078126</v>
      </c>
      <c r="C595" s="66">
        <v>122078339</v>
      </c>
    </row>
    <row r="596" spans="1:3" ht="16.05" customHeight="1">
      <c r="A596" s="15">
        <v>4</v>
      </c>
      <c r="B596" s="15">
        <v>122302051</v>
      </c>
      <c r="C596" s="66">
        <v>122302337</v>
      </c>
    </row>
    <row r="597" spans="1:3" ht="16.05" customHeight="1">
      <c r="A597" s="15">
        <v>4</v>
      </c>
      <c r="B597" s="15">
        <v>122686285</v>
      </c>
      <c r="C597" s="66">
        <v>122686711</v>
      </c>
    </row>
    <row r="598" spans="1:3" ht="16.05" customHeight="1">
      <c r="A598" s="15">
        <v>4</v>
      </c>
      <c r="B598" s="15">
        <v>134068473</v>
      </c>
      <c r="C598" s="66">
        <v>134068605</v>
      </c>
    </row>
    <row r="599" spans="1:3" ht="16.05" customHeight="1">
      <c r="A599" s="15">
        <v>4</v>
      </c>
      <c r="B599" s="15">
        <v>134069158</v>
      </c>
      <c r="C599" s="66">
        <v>134069242</v>
      </c>
    </row>
    <row r="600" spans="1:3" ht="16.05" customHeight="1">
      <c r="A600" s="15">
        <v>4</v>
      </c>
      <c r="B600" s="15">
        <v>134069285</v>
      </c>
      <c r="C600" s="66">
        <v>134069476</v>
      </c>
    </row>
    <row r="601" spans="1:3" ht="16.05" customHeight="1">
      <c r="A601" s="15">
        <v>4</v>
      </c>
      <c r="B601" s="15">
        <v>134069501</v>
      </c>
      <c r="C601" s="66">
        <v>134069644</v>
      </c>
    </row>
    <row r="602" spans="1:3" ht="16.05" customHeight="1">
      <c r="A602" s="15">
        <v>4</v>
      </c>
      <c r="B602" s="15">
        <v>134069665</v>
      </c>
      <c r="C602" s="66">
        <v>134069827</v>
      </c>
    </row>
    <row r="603" spans="1:3" ht="16.05" customHeight="1">
      <c r="A603" s="15">
        <v>4</v>
      </c>
      <c r="B603" s="15">
        <v>134070356</v>
      </c>
      <c r="C603" s="66">
        <v>134070447</v>
      </c>
    </row>
    <row r="604" spans="1:3" ht="16.05" customHeight="1">
      <c r="A604" s="15">
        <v>4</v>
      </c>
      <c r="B604" s="15">
        <v>1396437</v>
      </c>
      <c r="C604" s="66">
        <v>1396604</v>
      </c>
    </row>
    <row r="605" spans="1:3" ht="16.05" customHeight="1">
      <c r="A605" s="15">
        <v>4</v>
      </c>
      <c r="B605" s="15">
        <v>1396624</v>
      </c>
      <c r="C605" s="66">
        <v>1396768</v>
      </c>
    </row>
    <row r="606" spans="1:3" ht="16.05" customHeight="1">
      <c r="A606" s="15">
        <v>4</v>
      </c>
      <c r="B606" s="15">
        <v>141348038</v>
      </c>
      <c r="C606" s="66">
        <v>141348143</v>
      </c>
    </row>
    <row r="607" spans="1:3" ht="16.05" customHeight="1">
      <c r="A607" s="15">
        <v>4</v>
      </c>
      <c r="B607" s="15">
        <v>142053498</v>
      </c>
      <c r="C607" s="66">
        <v>142053872</v>
      </c>
    </row>
    <row r="608" spans="1:3" ht="16.05" customHeight="1">
      <c r="A608" s="15">
        <v>4</v>
      </c>
      <c r="B608" s="15">
        <v>144621893</v>
      </c>
      <c r="C608" s="66">
        <v>144622050</v>
      </c>
    </row>
    <row r="609" spans="1:3" ht="16.05" customHeight="1">
      <c r="A609" s="15">
        <v>4</v>
      </c>
      <c r="B609" s="15">
        <v>154680770</v>
      </c>
      <c r="C609" s="66">
        <v>154680814</v>
      </c>
    </row>
    <row r="610" spans="1:3" ht="16.05" customHeight="1">
      <c r="A610" s="15">
        <v>4</v>
      </c>
      <c r="B610" s="15">
        <v>154709586</v>
      </c>
      <c r="C610" s="66">
        <v>154709765</v>
      </c>
    </row>
    <row r="611" spans="1:3" ht="16.05" customHeight="1">
      <c r="A611" s="15">
        <v>4</v>
      </c>
      <c r="B611" s="15">
        <v>154709784</v>
      </c>
      <c r="C611" s="66">
        <v>154710052</v>
      </c>
    </row>
    <row r="612" spans="1:3" ht="16.05" customHeight="1">
      <c r="A612" s="15">
        <v>4</v>
      </c>
      <c r="B612" s="15">
        <v>154710059</v>
      </c>
      <c r="C612" s="66">
        <v>154710906</v>
      </c>
    </row>
    <row r="613" spans="1:3" ht="16.05" customHeight="1">
      <c r="A613" s="15">
        <v>4</v>
      </c>
      <c r="B613" s="15">
        <v>156129566</v>
      </c>
      <c r="C613" s="66">
        <v>156129661</v>
      </c>
    </row>
    <row r="614" spans="1:3" ht="16.05" customHeight="1">
      <c r="A614" s="15">
        <v>4</v>
      </c>
      <c r="B614" s="15">
        <v>16084907</v>
      </c>
      <c r="C614" s="66">
        <v>16085186</v>
      </c>
    </row>
    <row r="615" spans="1:3" ht="16.05" customHeight="1">
      <c r="A615" s="15">
        <v>4</v>
      </c>
      <c r="B615" s="15">
        <v>16085218</v>
      </c>
      <c r="C615" s="66">
        <v>16085445</v>
      </c>
    </row>
    <row r="616" spans="1:3" ht="16.05" customHeight="1">
      <c r="A616" s="15">
        <v>4</v>
      </c>
      <c r="B616" s="15">
        <v>16085436</v>
      </c>
      <c r="C616" s="66">
        <v>16085575</v>
      </c>
    </row>
    <row r="617" spans="1:3" ht="16.05" customHeight="1">
      <c r="A617" s="15">
        <v>4</v>
      </c>
      <c r="B617" s="15">
        <v>164264645</v>
      </c>
      <c r="C617" s="66">
        <v>164264692</v>
      </c>
    </row>
    <row r="618" spans="1:3" ht="16.05" customHeight="1">
      <c r="A618" s="15">
        <v>4</v>
      </c>
      <c r="B618" s="15">
        <v>166794111</v>
      </c>
      <c r="C618" s="66">
        <v>166794212</v>
      </c>
    </row>
    <row r="619" spans="1:3" ht="16.05" customHeight="1">
      <c r="A619" s="15">
        <v>4</v>
      </c>
      <c r="B619" s="15">
        <v>172734168</v>
      </c>
      <c r="C619" s="66">
        <v>172734314</v>
      </c>
    </row>
    <row r="620" spans="1:3" ht="16.05" customHeight="1">
      <c r="A620" s="15">
        <v>4</v>
      </c>
      <c r="B620" s="15">
        <v>172734322</v>
      </c>
      <c r="C620" s="66">
        <v>172734451</v>
      </c>
    </row>
    <row r="621" spans="1:3" ht="16.05" customHeight="1">
      <c r="A621" s="15">
        <v>4</v>
      </c>
      <c r="B621" s="15">
        <v>172734687</v>
      </c>
      <c r="C621" s="66">
        <v>172734849</v>
      </c>
    </row>
    <row r="622" spans="1:3" ht="16.05" customHeight="1">
      <c r="A622" s="15">
        <v>4</v>
      </c>
      <c r="B622" s="15">
        <v>172734856</v>
      </c>
      <c r="C622" s="66">
        <v>172735012</v>
      </c>
    </row>
    <row r="623" spans="1:3" ht="16.05" customHeight="1">
      <c r="A623" s="15">
        <v>4</v>
      </c>
      <c r="B623" s="15">
        <v>174448688</v>
      </c>
      <c r="C623" s="66">
        <v>174448850</v>
      </c>
    </row>
    <row r="624" spans="1:3" ht="16.05" customHeight="1">
      <c r="A624" s="15">
        <v>4</v>
      </c>
      <c r="B624" s="15">
        <v>174448901</v>
      </c>
      <c r="C624" s="66">
        <v>174449012</v>
      </c>
    </row>
    <row r="625" spans="1:3" ht="16.05" customHeight="1">
      <c r="A625" s="15">
        <v>4</v>
      </c>
      <c r="B625" s="15">
        <v>174450237</v>
      </c>
      <c r="C625" s="66">
        <v>174450531</v>
      </c>
    </row>
    <row r="626" spans="1:3" ht="16.05" customHeight="1">
      <c r="A626" s="15">
        <v>4</v>
      </c>
      <c r="B626" s="15">
        <v>174451282</v>
      </c>
      <c r="C626" s="66">
        <v>174451512</v>
      </c>
    </row>
    <row r="627" spans="1:3" ht="16.05" customHeight="1">
      <c r="A627" s="15">
        <v>4</v>
      </c>
      <c r="B627" s="15">
        <v>174451866</v>
      </c>
      <c r="C627" s="66">
        <v>174452090</v>
      </c>
    </row>
    <row r="628" spans="1:3" ht="16.05" customHeight="1">
      <c r="A628" s="15">
        <v>4</v>
      </c>
      <c r="B628" s="15">
        <v>174452128</v>
      </c>
      <c r="C628" s="66">
        <v>174452182</v>
      </c>
    </row>
    <row r="629" spans="1:3" ht="16.05" customHeight="1">
      <c r="A629" s="15">
        <v>4</v>
      </c>
      <c r="B629" s="15">
        <v>175138850</v>
      </c>
      <c r="C629" s="66">
        <v>175139344</v>
      </c>
    </row>
    <row r="630" spans="1:3" ht="16.05" customHeight="1">
      <c r="A630" s="15">
        <v>4</v>
      </c>
      <c r="B630" s="15">
        <v>177714406</v>
      </c>
      <c r="C630" s="66">
        <v>177714462</v>
      </c>
    </row>
    <row r="631" spans="1:3" ht="16.05" customHeight="1">
      <c r="A631" s="15">
        <v>4</v>
      </c>
      <c r="B631" s="15">
        <v>17783147</v>
      </c>
      <c r="C631" s="66">
        <v>17783373</v>
      </c>
    </row>
    <row r="632" spans="1:3" ht="16.05" customHeight="1">
      <c r="A632" s="15">
        <v>4</v>
      </c>
      <c r="B632" s="15">
        <v>17783401</v>
      </c>
      <c r="C632" s="66">
        <v>17783488</v>
      </c>
    </row>
    <row r="633" spans="1:3" ht="16.05" customHeight="1">
      <c r="A633" s="15">
        <v>4</v>
      </c>
      <c r="B633" s="15">
        <v>184826132</v>
      </c>
      <c r="C633" s="66">
        <v>184826190</v>
      </c>
    </row>
    <row r="634" spans="1:3" ht="16.05" customHeight="1">
      <c r="A634" s="15">
        <v>4</v>
      </c>
      <c r="B634" s="15">
        <v>185941911</v>
      </c>
      <c r="C634" s="66">
        <v>185942054</v>
      </c>
    </row>
    <row r="635" spans="1:3" ht="16.05" customHeight="1">
      <c r="A635" s="15">
        <v>4</v>
      </c>
      <c r="B635" s="15">
        <v>185942081</v>
      </c>
      <c r="C635" s="66">
        <v>185942253</v>
      </c>
    </row>
    <row r="636" spans="1:3" ht="16.05" customHeight="1">
      <c r="A636" s="15">
        <v>4</v>
      </c>
      <c r="B636" s="15">
        <v>185942572</v>
      </c>
      <c r="C636" s="66">
        <v>185942841</v>
      </c>
    </row>
    <row r="637" spans="1:3" ht="16.05" customHeight="1">
      <c r="A637" s="15">
        <v>4</v>
      </c>
      <c r="B637" s="15">
        <v>186048567</v>
      </c>
      <c r="C637" s="66">
        <v>186048883</v>
      </c>
    </row>
    <row r="638" spans="1:3" ht="16.05" customHeight="1">
      <c r="A638" s="15">
        <v>4</v>
      </c>
      <c r="B638" s="15">
        <v>188916552</v>
      </c>
      <c r="C638" s="66">
        <v>188916635</v>
      </c>
    </row>
    <row r="639" spans="1:3" ht="16.05" customHeight="1">
      <c r="A639" s="15">
        <v>4</v>
      </c>
      <c r="B639" s="15">
        <v>188916628</v>
      </c>
      <c r="C639" s="66">
        <v>188916881</v>
      </c>
    </row>
    <row r="640" spans="1:3" ht="16.05" customHeight="1">
      <c r="A640" s="15">
        <v>4</v>
      </c>
      <c r="B640" s="15">
        <v>20254887</v>
      </c>
      <c r="C640" s="66">
        <v>20254957</v>
      </c>
    </row>
    <row r="641" spans="1:3" ht="16.05" customHeight="1">
      <c r="A641" s="15">
        <v>4</v>
      </c>
      <c r="B641" s="15">
        <v>21950031</v>
      </c>
      <c r="C641" s="66">
        <v>21950323</v>
      </c>
    </row>
    <row r="642" spans="1:3" ht="16.05" customHeight="1">
      <c r="A642" s="15">
        <v>4</v>
      </c>
      <c r="B642" s="15">
        <v>30723122</v>
      </c>
      <c r="C642" s="66">
        <v>30723232</v>
      </c>
    </row>
    <row r="643" spans="1:3" ht="16.05" customHeight="1">
      <c r="A643" s="15">
        <v>4</v>
      </c>
      <c r="B643" s="15">
        <v>30723249</v>
      </c>
      <c r="C643" s="66">
        <v>30723461</v>
      </c>
    </row>
    <row r="644" spans="1:3" ht="16.05" customHeight="1">
      <c r="A644" s="15">
        <v>4</v>
      </c>
      <c r="B644" s="15">
        <v>37246145</v>
      </c>
      <c r="C644" s="66">
        <v>37246401</v>
      </c>
    </row>
    <row r="645" spans="1:3" ht="16.05" customHeight="1">
      <c r="A645" s="15">
        <v>4</v>
      </c>
      <c r="B645" s="15">
        <v>37978568</v>
      </c>
      <c r="C645" s="66">
        <v>37978629</v>
      </c>
    </row>
    <row r="646" spans="1:3" ht="16.05" customHeight="1">
      <c r="A646" s="15">
        <v>4</v>
      </c>
      <c r="B646" s="15">
        <v>37978661</v>
      </c>
      <c r="C646" s="66">
        <v>37978841</v>
      </c>
    </row>
    <row r="647" spans="1:3" ht="16.05" customHeight="1">
      <c r="A647" s="15">
        <v>4</v>
      </c>
      <c r="B647" s="15">
        <v>41751730</v>
      </c>
      <c r="C647" s="66">
        <v>41751892</v>
      </c>
    </row>
    <row r="648" spans="1:3" ht="16.05" customHeight="1">
      <c r="A648" s="15">
        <v>4</v>
      </c>
      <c r="B648" s="15">
        <v>41751898</v>
      </c>
      <c r="C648" s="66">
        <v>41751998</v>
      </c>
    </row>
    <row r="649" spans="1:3" ht="16.05" customHeight="1">
      <c r="A649" s="15">
        <v>4</v>
      </c>
      <c r="B649" s="15">
        <v>41753621</v>
      </c>
      <c r="C649" s="66">
        <v>41753952</v>
      </c>
    </row>
    <row r="650" spans="1:3" ht="16.05" customHeight="1">
      <c r="A650" s="15">
        <v>4</v>
      </c>
      <c r="B650" s="15">
        <v>41882446</v>
      </c>
      <c r="C650" s="66">
        <v>41882552</v>
      </c>
    </row>
    <row r="651" spans="1:3" ht="16.05" customHeight="1">
      <c r="A651" s="15">
        <v>4</v>
      </c>
      <c r="B651" s="15">
        <v>41882559</v>
      </c>
      <c r="C651" s="66">
        <v>41882704</v>
      </c>
    </row>
    <row r="652" spans="1:3" ht="16.05" customHeight="1">
      <c r="A652" s="15">
        <v>4</v>
      </c>
      <c r="B652" s="15">
        <v>41883102</v>
      </c>
      <c r="C652" s="66">
        <v>41883205</v>
      </c>
    </row>
    <row r="653" spans="1:3" ht="16.05" customHeight="1">
      <c r="A653" s="15">
        <v>4</v>
      </c>
      <c r="B653" s="15">
        <v>46391263</v>
      </c>
      <c r="C653" s="66">
        <v>46391337</v>
      </c>
    </row>
    <row r="654" spans="1:3" ht="16.05" customHeight="1">
      <c r="A654" s="15">
        <v>4</v>
      </c>
      <c r="B654" s="15">
        <v>46391357</v>
      </c>
      <c r="C654" s="66">
        <v>46391594</v>
      </c>
    </row>
    <row r="655" spans="1:3" ht="16.05" customHeight="1">
      <c r="A655" s="15">
        <v>4</v>
      </c>
      <c r="B655" s="15">
        <v>46391519</v>
      </c>
      <c r="C655" s="66">
        <v>46391651</v>
      </c>
    </row>
    <row r="656" spans="1:3" ht="16.05" customHeight="1">
      <c r="A656" s="15">
        <v>4</v>
      </c>
      <c r="B656" s="15">
        <v>46995469</v>
      </c>
      <c r="C656" s="66">
        <v>46995907</v>
      </c>
    </row>
    <row r="657" spans="1:3" ht="16.05" customHeight="1">
      <c r="A657" s="15">
        <v>4</v>
      </c>
      <c r="B657" s="15">
        <v>52917266</v>
      </c>
      <c r="C657" s="66">
        <v>52917309</v>
      </c>
    </row>
    <row r="658" spans="1:3" ht="16.05" customHeight="1">
      <c r="A658" s="15">
        <v>4</v>
      </c>
      <c r="B658" s="15">
        <v>54975757</v>
      </c>
      <c r="C658" s="66">
        <v>54975851</v>
      </c>
    </row>
    <row r="659" spans="1:3" ht="16.05" customHeight="1">
      <c r="A659" s="15">
        <v>4</v>
      </c>
      <c r="B659" s="15">
        <v>54975886</v>
      </c>
      <c r="C659" s="66">
        <v>54976067</v>
      </c>
    </row>
    <row r="660" spans="1:3" ht="16.05" customHeight="1">
      <c r="A660" s="15">
        <v>4</v>
      </c>
      <c r="B660" s="15">
        <v>55093687</v>
      </c>
      <c r="C660" s="66">
        <v>55093840</v>
      </c>
    </row>
    <row r="661" spans="1:3" ht="16.05" customHeight="1">
      <c r="A661" s="15">
        <v>4</v>
      </c>
      <c r="B661" s="15">
        <v>55093852</v>
      </c>
      <c r="C661" s="66">
        <v>55094078</v>
      </c>
    </row>
    <row r="662" spans="1:3" ht="16.05" customHeight="1">
      <c r="A662" s="15">
        <v>4</v>
      </c>
      <c r="B662" s="15">
        <v>55097984</v>
      </c>
      <c r="C662" s="66">
        <v>55098282</v>
      </c>
    </row>
    <row r="663" spans="1:3" ht="16.05" customHeight="1">
      <c r="A663" s="15">
        <v>4</v>
      </c>
      <c r="B663" s="15">
        <v>55098316</v>
      </c>
      <c r="C663" s="66">
        <v>55098530</v>
      </c>
    </row>
    <row r="664" spans="1:3" ht="16.05" customHeight="1">
      <c r="A664" s="15">
        <v>4</v>
      </c>
      <c r="B664" s="15">
        <v>570248</v>
      </c>
      <c r="C664" s="66">
        <v>570493</v>
      </c>
    </row>
    <row r="665" spans="1:3" ht="16.05" customHeight="1">
      <c r="A665" s="15">
        <v>4</v>
      </c>
      <c r="B665" s="15">
        <v>57521925</v>
      </c>
      <c r="C665" s="66">
        <v>57522077</v>
      </c>
    </row>
    <row r="666" spans="1:3" ht="16.05" customHeight="1">
      <c r="A666" s="15">
        <v>4</v>
      </c>
      <c r="B666" s="15">
        <v>57522078</v>
      </c>
      <c r="C666" s="66">
        <v>57522267</v>
      </c>
    </row>
    <row r="667" spans="1:3" ht="16.05" customHeight="1">
      <c r="A667" s="15">
        <v>4</v>
      </c>
      <c r="B667" s="15">
        <v>57522275</v>
      </c>
      <c r="C667" s="66">
        <v>57522368</v>
      </c>
    </row>
    <row r="668" spans="1:3" ht="16.05" customHeight="1">
      <c r="A668" s="15">
        <v>4</v>
      </c>
      <c r="B668" s="15">
        <v>57522377</v>
      </c>
      <c r="C668" s="66">
        <v>57522443</v>
      </c>
    </row>
    <row r="669" spans="1:3" ht="16.05" customHeight="1">
      <c r="A669" s="15">
        <v>4</v>
      </c>
      <c r="B669" s="15">
        <v>6473792</v>
      </c>
      <c r="C669" s="66">
        <v>6473887</v>
      </c>
    </row>
    <row r="670" spans="1:3" ht="16.05" customHeight="1">
      <c r="A670" s="15">
        <v>4</v>
      </c>
      <c r="B670" s="15">
        <v>6665737</v>
      </c>
      <c r="C670" s="66">
        <v>6666065</v>
      </c>
    </row>
    <row r="671" spans="1:3" ht="16.05" customHeight="1">
      <c r="A671" s="15">
        <v>4</v>
      </c>
      <c r="B671" s="15">
        <v>7195048</v>
      </c>
      <c r="C671" s="66">
        <v>7195153</v>
      </c>
    </row>
    <row r="672" spans="1:3" ht="16.05" customHeight="1">
      <c r="A672" s="15">
        <v>4</v>
      </c>
      <c r="B672" s="15">
        <v>81106174</v>
      </c>
      <c r="C672" s="66">
        <v>81106318</v>
      </c>
    </row>
    <row r="673" spans="1:3" ht="16.05" customHeight="1">
      <c r="A673" s="15">
        <v>4</v>
      </c>
      <c r="B673" s="15">
        <v>81106517</v>
      </c>
      <c r="C673" s="66">
        <v>81106672</v>
      </c>
    </row>
    <row r="674" spans="1:3" ht="16.05" customHeight="1">
      <c r="A674" s="15">
        <v>4</v>
      </c>
      <c r="B674" s="15">
        <v>81106757</v>
      </c>
      <c r="C674" s="66">
        <v>81106824</v>
      </c>
    </row>
    <row r="675" spans="1:3" ht="16.05" customHeight="1">
      <c r="A675" s="15">
        <v>4</v>
      </c>
      <c r="B675" s="15">
        <v>82136743</v>
      </c>
      <c r="C675" s="66">
        <v>82136946</v>
      </c>
    </row>
    <row r="676" spans="1:3" ht="16.05" customHeight="1">
      <c r="A676" s="15">
        <v>4</v>
      </c>
      <c r="B676" s="15">
        <v>85403924</v>
      </c>
      <c r="C676" s="66">
        <v>85404045</v>
      </c>
    </row>
    <row r="677" spans="1:3" ht="16.05" customHeight="1">
      <c r="A677" s="15">
        <v>4</v>
      </c>
      <c r="B677" s="15">
        <v>85404065</v>
      </c>
      <c r="C677" s="66">
        <v>85404272</v>
      </c>
    </row>
    <row r="678" spans="1:3" ht="16.05" customHeight="1">
      <c r="A678" s="15">
        <v>4</v>
      </c>
      <c r="B678" s="15">
        <v>85422925</v>
      </c>
      <c r="C678" s="66">
        <v>85423004</v>
      </c>
    </row>
    <row r="679" spans="1:3" ht="16.05" customHeight="1">
      <c r="A679" s="15">
        <v>4</v>
      </c>
      <c r="B679" s="15">
        <v>85423051</v>
      </c>
      <c r="C679" s="66">
        <v>85423227</v>
      </c>
    </row>
    <row r="680" spans="1:3" ht="16.05" customHeight="1">
      <c r="A680" s="15">
        <v>4</v>
      </c>
      <c r="B680" s="15">
        <v>90757454</v>
      </c>
      <c r="C680" s="66">
        <v>90757576</v>
      </c>
    </row>
    <row r="681" spans="1:3" ht="16.05" customHeight="1">
      <c r="A681" s="15">
        <v>4</v>
      </c>
      <c r="B681" s="15">
        <v>90757606</v>
      </c>
      <c r="C681" s="66">
        <v>90757791</v>
      </c>
    </row>
    <row r="682" spans="1:3" ht="16.05" customHeight="1">
      <c r="A682" s="15">
        <v>4</v>
      </c>
      <c r="B682" s="15">
        <v>90758772</v>
      </c>
      <c r="C682" s="66">
        <v>90758929</v>
      </c>
    </row>
    <row r="683" spans="1:3" ht="16.05" customHeight="1">
      <c r="A683" s="15">
        <v>4</v>
      </c>
      <c r="B683" s="15">
        <v>93224890</v>
      </c>
      <c r="C683" s="66">
        <v>93224914</v>
      </c>
    </row>
    <row r="684" spans="1:3" ht="16.05" customHeight="1">
      <c r="A684" s="15">
        <v>4</v>
      </c>
      <c r="B684" s="15">
        <v>96469387</v>
      </c>
      <c r="C684" s="66">
        <v>96469505</v>
      </c>
    </row>
    <row r="685" spans="1:3" ht="16.05" customHeight="1">
      <c r="A685" s="15">
        <v>5</v>
      </c>
      <c r="B685" s="15">
        <v>10307480</v>
      </c>
      <c r="C685" s="66">
        <v>10307578</v>
      </c>
    </row>
    <row r="686" spans="1:3" ht="16.05" customHeight="1">
      <c r="A686" s="15">
        <v>5</v>
      </c>
      <c r="B686" s="15">
        <v>113391812</v>
      </c>
      <c r="C686" s="66">
        <v>113391932</v>
      </c>
    </row>
    <row r="687" spans="1:3" ht="16.05" customHeight="1">
      <c r="A687" s="15">
        <v>5</v>
      </c>
      <c r="B687" s="15">
        <v>114515606</v>
      </c>
      <c r="C687" s="66">
        <v>114515735</v>
      </c>
    </row>
    <row r="688" spans="1:3" ht="16.05" customHeight="1">
      <c r="A688" s="15">
        <v>5</v>
      </c>
      <c r="B688" s="15">
        <v>114516167</v>
      </c>
      <c r="C688" s="66">
        <v>114516297</v>
      </c>
    </row>
    <row r="689" spans="1:3" ht="16.05" customHeight="1">
      <c r="A689" s="15">
        <v>5</v>
      </c>
      <c r="B689" s="15">
        <v>115152239</v>
      </c>
      <c r="C689" s="66">
        <v>115152419</v>
      </c>
    </row>
    <row r="690" spans="1:3" ht="16.05" customHeight="1">
      <c r="A690" s="15">
        <v>5</v>
      </c>
      <c r="B690" s="15">
        <v>115152415</v>
      </c>
      <c r="C690" s="66">
        <v>115152630</v>
      </c>
    </row>
    <row r="691" spans="1:3" ht="16.05" customHeight="1">
      <c r="A691" s="15">
        <v>5</v>
      </c>
      <c r="B691" s="15">
        <v>11903936</v>
      </c>
      <c r="C691" s="66">
        <v>11904073</v>
      </c>
    </row>
    <row r="692" spans="1:3" ht="16.05" customHeight="1">
      <c r="A692" s="15">
        <v>5</v>
      </c>
      <c r="B692" s="15">
        <v>11904079</v>
      </c>
      <c r="C692" s="66">
        <v>11904287</v>
      </c>
    </row>
    <row r="693" spans="1:3" ht="16.05" customHeight="1">
      <c r="A693" s="15">
        <v>5</v>
      </c>
      <c r="B693" s="15">
        <v>122424009</v>
      </c>
      <c r="C693" s="66">
        <v>122424227</v>
      </c>
    </row>
    <row r="694" spans="1:3" ht="16.05" customHeight="1">
      <c r="A694" s="15">
        <v>5</v>
      </c>
      <c r="B694" s="15">
        <v>126626477</v>
      </c>
      <c r="C694" s="66">
        <v>126626662</v>
      </c>
    </row>
    <row r="695" spans="1:3" ht="16.05" customHeight="1">
      <c r="A695" s="15">
        <v>5</v>
      </c>
      <c r="B695" s="15">
        <v>126626698</v>
      </c>
      <c r="C695" s="66">
        <v>126626807</v>
      </c>
    </row>
    <row r="696" spans="1:3" ht="16.05" customHeight="1">
      <c r="A696" s="15">
        <v>5</v>
      </c>
      <c r="B696" s="15">
        <v>127873223</v>
      </c>
      <c r="C696" s="66">
        <v>127873580</v>
      </c>
    </row>
    <row r="697" spans="1:3" ht="16.05" customHeight="1">
      <c r="A697" s="15">
        <v>5</v>
      </c>
      <c r="B697" s="15">
        <v>127873582</v>
      </c>
      <c r="C697" s="66">
        <v>127873881</v>
      </c>
    </row>
    <row r="698" spans="1:3" ht="16.05" customHeight="1">
      <c r="A698" s="15">
        <v>5</v>
      </c>
      <c r="B698" s="15">
        <v>127874335</v>
      </c>
      <c r="C698" s="66">
        <v>127874495</v>
      </c>
    </row>
    <row r="699" spans="1:3" ht="16.05" customHeight="1">
      <c r="A699" s="15">
        <v>5</v>
      </c>
      <c r="B699" s="15">
        <v>127874526</v>
      </c>
      <c r="C699" s="66">
        <v>127874645</v>
      </c>
    </row>
    <row r="700" spans="1:3" ht="16.05" customHeight="1">
      <c r="A700" s="15">
        <v>5</v>
      </c>
      <c r="B700" s="15">
        <v>134880231</v>
      </c>
      <c r="C700" s="66">
        <v>134880493</v>
      </c>
    </row>
    <row r="701" spans="1:3" ht="16.05" customHeight="1">
      <c r="A701" s="15">
        <v>5</v>
      </c>
      <c r="B701" s="15">
        <v>135265722</v>
      </c>
      <c r="C701" s="66">
        <v>135266104</v>
      </c>
    </row>
    <row r="702" spans="1:3" ht="16.05" customHeight="1">
      <c r="A702" s="15">
        <v>5</v>
      </c>
      <c r="B702" s="15">
        <v>136834289</v>
      </c>
      <c r="C702" s="66">
        <v>136834498</v>
      </c>
    </row>
    <row r="703" spans="1:3" ht="16.05" customHeight="1">
      <c r="A703" s="15">
        <v>5</v>
      </c>
      <c r="B703" s="15">
        <v>140474121</v>
      </c>
      <c r="C703" s="66">
        <v>140474307</v>
      </c>
    </row>
    <row r="704" spans="1:3" ht="16.05" customHeight="1">
      <c r="A704" s="15">
        <v>5</v>
      </c>
      <c r="B704" s="15">
        <v>140753382</v>
      </c>
      <c r="C704" s="66">
        <v>140753497</v>
      </c>
    </row>
    <row r="705" spans="1:3" ht="16.05" customHeight="1">
      <c r="A705" s="15">
        <v>5</v>
      </c>
      <c r="B705" s="15">
        <v>1444686</v>
      </c>
      <c r="C705" s="66">
        <v>1444837</v>
      </c>
    </row>
    <row r="706" spans="1:3" ht="16.05" customHeight="1">
      <c r="A706" s="15">
        <v>5</v>
      </c>
      <c r="B706" s="15">
        <v>1444847</v>
      </c>
      <c r="C706" s="66">
        <v>1445026</v>
      </c>
    </row>
    <row r="707" spans="1:3" ht="16.05" customHeight="1">
      <c r="A707" s="15">
        <v>5</v>
      </c>
      <c r="B707" s="15">
        <v>1445206</v>
      </c>
      <c r="C707" s="66">
        <v>1445741</v>
      </c>
    </row>
    <row r="708" spans="1:3" ht="16.05" customHeight="1">
      <c r="A708" s="15">
        <v>5</v>
      </c>
      <c r="B708" s="15">
        <v>145713602</v>
      </c>
      <c r="C708" s="66">
        <v>145713918</v>
      </c>
    </row>
    <row r="709" spans="1:3" ht="16.05" customHeight="1">
      <c r="A709" s="15">
        <v>5</v>
      </c>
      <c r="B709" s="15">
        <v>14873052</v>
      </c>
      <c r="C709" s="66">
        <v>14873065</v>
      </c>
    </row>
    <row r="710" spans="1:3" ht="16.05" customHeight="1">
      <c r="A710" s="15">
        <v>5</v>
      </c>
      <c r="B710" s="15">
        <v>153857666</v>
      </c>
      <c r="C710" s="66">
        <v>153857807</v>
      </c>
    </row>
    <row r="711" spans="1:3" ht="16.05" customHeight="1">
      <c r="A711" s="15">
        <v>5</v>
      </c>
      <c r="B711" s="15">
        <v>153858811</v>
      </c>
      <c r="C711" s="66">
        <v>153858965</v>
      </c>
    </row>
    <row r="712" spans="1:3" ht="16.05" customHeight="1">
      <c r="A712" s="15">
        <v>5</v>
      </c>
      <c r="B712" s="15">
        <v>153862048</v>
      </c>
      <c r="C712" s="66">
        <v>153862456</v>
      </c>
    </row>
    <row r="713" spans="1:3" ht="16.05" customHeight="1">
      <c r="A713" s="15">
        <v>5</v>
      </c>
      <c r="B713" s="15">
        <v>153863297</v>
      </c>
      <c r="C713" s="66">
        <v>153863395</v>
      </c>
    </row>
    <row r="714" spans="1:3" ht="16.05" customHeight="1">
      <c r="A714" s="15">
        <v>5</v>
      </c>
      <c r="B714" s="15">
        <v>153863405</v>
      </c>
      <c r="C714" s="66">
        <v>153863590</v>
      </c>
    </row>
    <row r="715" spans="1:3" ht="16.05" customHeight="1">
      <c r="A715" s="15">
        <v>5</v>
      </c>
      <c r="B715" s="15">
        <v>155108523</v>
      </c>
      <c r="C715" s="66">
        <v>155108703</v>
      </c>
    </row>
    <row r="716" spans="1:3" ht="16.05" customHeight="1">
      <c r="A716" s="15">
        <v>5</v>
      </c>
      <c r="B716" s="15">
        <v>155108744</v>
      </c>
      <c r="C716" s="66">
        <v>155108865</v>
      </c>
    </row>
    <row r="717" spans="1:3" ht="16.05" customHeight="1">
      <c r="A717" s="15">
        <v>5</v>
      </c>
      <c r="B717" s="15">
        <v>157098373</v>
      </c>
      <c r="C717" s="66">
        <v>157098563</v>
      </c>
    </row>
    <row r="718" spans="1:3" ht="16.05" customHeight="1">
      <c r="A718" s="15">
        <v>5</v>
      </c>
      <c r="B718" s="15">
        <v>157098614</v>
      </c>
      <c r="C718" s="66">
        <v>157098718</v>
      </c>
    </row>
    <row r="719" spans="1:3" ht="16.05" customHeight="1">
      <c r="A719" s="15">
        <v>5</v>
      </c>
      <c r="B719" s="15">
        <v>158527411</v>
      </c>
      <c r="C719" s="66">
        <v>158528130</v>
      </c>
    </row>
    <row r="720" spans="1:3" ht="16.05" customHeight="1">
      <c r="A720" s="15">
        <v>5</v>
      </c>
      <c r="B720" s="15">
        <v>158528171</v>
      </c>
      <c r="C720" s="66">
        <v>158528182</v>
      </c>
    </row>
    <row r="721" spans="1:3" ht="16.05" customHeight="1">
      <c r="A721" s="15">
        <v>5</v>
      </c>
      <c r="B721" s="15">
        <v>158533447</v>
      </c>
      <c r="C721" s="66">
        <v>158533596</v>
      </c>
    </row>
    <row r="722" spans="1:3" ht="16.05" customHeight="1">
      <c r="A722" s="15">
        <v>5</v>
      </c>
      <c r="B722" s="15">
        <v>1594578</v>
      </c>
      <c r="C722" s="66">
        <v>1594668</v>
      </c>
    </row>
    <row r="723" spans="1:3" ht="16.05" customHeight="1">
      <c r="A723" s="15">
        <v>5</v>
      </c>
      <c r="B723" s="15">
        <v>1594669</v>
      </c>
      <c r="C723" s="66">
        <v>1594758</v>
      </c>
    </row>
    <row r="724" spans="1:3" ht="16.05" customHeight="1">
      <c r="A724" s="15">
        <v>5</v>
      </c>
      <c r="B724" s="15">
        <v>1594766</v>
      </c>
      <c r="C724" s="66">
        <v>1594815</v>
      </c>
    </row>
    <row r="725" spans="1:3" ht="16.05" customHeight="1">
      <c r="A725" s="15">
        <v>5</v>
      </c>
      <c r="B725" s="15">
        <v>160975735</v>
      </c>
      <c r="C725" s="66">
        <v>160975962</v>
      </c>
    </row>
    <row r="726" spans="1:3" ht="16.05" customHeight="1">
      <c r="A726" s="15">
        <v>5</v>
      </c>
      <c r="B726" s="15">
        <v>16179831</v>
      </c>
      <c r="C726" s="66">
        <v>16179935</v>
      </c>
    </row>
    <row r="727" spans="1:3" ht="16.05" customHeight="1">
      <c r="A727" s="15">
        <v>5</v>
      </c>
      <c r="B727" s="15">
        <v>16179933</v>
      </c>
      <c r="C727" s="66">
        <v>16180189</v>
      </c>
    </row>
    <row r="728" spans="1:3" ht="16.05" customHeight="1">
      <c r="A728" s="15">
        <v>5</v>
      </c>
      <c r="B728" s="15">
        <v>16180211</v>
      </c>
      <c r="C728" s="66">
        <v>16180460</v>
      </c>
    </row>
    <row r="729" spans="1:3" ht="16.05" customHeight="1">
      <c r="A729" s="15">
        <v>5</v>
      </c>
      <c r="B729" s="15">
        <v>166405986</v>
      </c>
      <c r="C729" s="66">
        <v>166406083</v>
      </c>
    </row>
    <row r="730" spans="1:3" ht="16.05" customHeight="1">
      <c r="A730" s="15">
        <v>5</v>
      </c>
      <c r="B730" s="15">
        <v>168727612</v>
      </c>
      <c r="C730" s="66">
        <v>168727734</v>
      </c>
    </row>
    <row r="731" spans="1:3" ht="16.05" customHeight="1">
      <c r="A731" s="15">
        <v>5</v>
      </c>
      <c r="B731" s="15">
        <v>168727747</v>
      </c>
      <c r="C731" s="66">
        <v>168727935</v>
      </c>
    </row>
    <row r="732" spans="1:3" ht="16.05" customHeight="1">
      <c r="A732" s="15">
        <v>5</v>
      </c>
      <c r="B732" s="15">
        <v>168728393</v>
      </c>
      <c r="C732" s="66">
        <v>168728404</v>
      </c>
    </row>
    <row r="733" spans="1:3" ht="16.05" customHeight="1">
      <c r="A733" s="15">
        <v>5</v>
      </c>
      <c r="B733" s="15">
        <v>170735853</v>
      </c>
      <c r="C733" s="66">
        <v>170736027</v>
      </c>
    </row>
    <row r="734" spans="1:3" ht="16.05" customHeight="1">
      <c r="A734" s="15">
        <v>5</v>
      </c>
      <c r="B734" s="15">
        <v>170736053</v>
      </c>
      <c r="C734" s="66">
        <v>170736186</v>
      </c>
    </row>
    <row r="735" spans="1:3" ht="16.05" customHeight="1">
      <c r="A735" s="15">
        <v>5</v>
      </c>
      <c r="B735" s="15">
        <v>170736160</v>
      </c>
      <c r="C735" s="66">
        <v>170736492</v>
      </c>
    </row>
    <row r="736" spans="1:3" ht="16.05" customHeight="1">
      <c r="A736" s="15">
        <v>5</v>
      </c>
      <c r="B736" s="15">
        <v>170736484</v>
      </c>
      <c r="C736" s="66">
        <v>170736738</v>
      </c>
    </row>
    <row r="737" spans="1:3" ht="16.05" customHeight="1">
      <c r="A737" s="15">
        <v>5</v>
      </c>
      <c r="B737" s="15">
        <v>170738140</v>
      </c>
      <c r="C737" s="66">
        <v>170738445</v>
      </c>
    </row>
    <row r="738" spans="1:3" ht="16.05" customHeight="1">
      <c r="A738" s="15">
        <v>5</v>
      </c>
      <c r="B738" s="15">
        <v>170739084</v>
      </c>
      <c r="C738" s="66">
        <v>170739350</v>
      </c>
    </row>
    <row r="739" spans="1:3" ht="16.05" customHeight="1">
      <c r="A739" s="15">
        <v>5</v>
      </c>
      <c r="B739" s="15">
        <v>170740500</v>
      </c>
      <c r="C739" s="66">
        <v>170740727</v>
      </c>
    </row>
    <row r="740" spans="1:3" ht="16.05" customHeight="1">
      <c r="A740" s="15">
        <v>5</v>
      </c>
      <c r="B740" s="15">
        <v>170740769</v>
      </c>
      <c r="C740" s="66">
        <v>170741032</v>
      </c>
    </row>
    <row r="741" spans="1:3" ht="16.05" customHeight="1">
      <c r="A741" s="15">
        <v>5</v>
      </c>
      <c r="B741" s="15">
        <v>170742447</v>
      </c>
      <c r="C741" s="66">
        <v>170742655</v>
      </c>
    </row>
    <row r="742" spans="1:3" ht="16.05" customHeight="1">
      <c r="A742" s="15">
        <v>5</v>
      </c>
      <c r="B742" s="15">
        <v>170742668</v>
      </c>
      <c r="C742" s="66">
        <v>170742756</v>
      </c>
    </row>
    <row r="743" spans="1:3" ht="16.05" customHeight="1">
      <c r="A743" s="15">
        <v>5</v>
      </c>
      <c r="B743" s="15">
        <v>170743389</v>
      </c>
      <c r="C743" s="66">
        <v>170743487</v>
      </c>
    </row>
    <row r="744" spans="1:3" ht="16.05" customHeight="1">
      <c r="A744" s="15">
        <v>5</v>
      </c>
      <c r="B744" s="15">
        <v>170743508</v>
      </c>
      <c r="C744" s="66">
        <v>170743731</v>
      </c>
    </row>
    <row r="745" spans="1:3" ht="16.05" customHeight="1">
      <c r="A745" s="15">
        <v>5</v>
      </c>
      <c r="B745" s="15">
        <v>170745314</v>
      </c>
      <c r="C745" s="66">
        <v>170745529</v>
      </c>
    </row>
    <row r="746" spans="1:3" ht="16.05" customHeight="1">
      <c r="A746" s="15">
        <v>5</v>
      </c>
      <c r="B746" s="15">
        <v>170745534</v>
      </c>
      <c r="C746" s="66">
        <v>170745605</v>
      </c>
    </row>
    <row r="747" spans="1:3" ht="16.05" customHeight="1">
      <c r="A747" s="15">
        <v>5</v>
      </c>
      <c r="B747" s="15">
        <v>17218846</v>
      </c>
      <c r="C747" s="66">
        <v>17219245</v>
      </c>
    </row>
    <row r="748" spans="1:3" ht="16.05" customHeight="1">
      <c r="A748" s="15">
        <v>5</v>
      </c>
      <c r="B748" s="15">
        <v>17219278</v>
      </c>
      <c r="C748" s="66">
        <v>17219358</v>
      </c>
    </row>
    <row r="749" spans="1:3" ht="16.05" customHeight="1">
      <c r="A749" s="15">
        <v>5</v>
      </c>
      <c r="B749" s="15">
        <v>172656008</v>
      </c>
      <c r="C749" s="66">
        <v>172656287</v>
      </c>
    </row>
    <row r="750" spans="1:3" ht="16.05" customHeight="1">
      <c r="A750" s="15">
        <v>5</v>
      </c>
      <c r="B750" s="15">
        <v>172670766</v>
      </c>
      <c r="C750" s="66">
        <v>172670807</v>
      </c>
    </row>
    <row r="751" spans="1:3" ht="16.05" customHeight="1">
      <c r="A751" s="15">
        <v>5</v>
      </c>
      <c r="B751" s="15">
        <v>172670825</v>
      </c>
      <c r="C751" s="66">
        <v>172671038</v>
      </c>
    </row>
    <row r="752" spans="1:3" ht="16.05" customHeight="1">
      <c r="A752" s="15">
        <v>5</v>
      </c>
      <c r="B752" s="15">
        <v>172671356</v>
      </c>
      <c r="C752" s="66">
        <v>172671511</v>
      </c>
    </row>
    <row r="753" spans="1:3" ht="16.05" customHeight="1">
      <c r="A753" s="15">
        <v>5</v>
      </c>
      <c r="B753" s="15">
        <v>172671521</v>
      </c>
      <c r="C753" s="66">
        <v>172671695</v>
      </c>
    </row>
    <row r="754" spans="1:3" ht="16.05" customHeight="1">
      <c r="A754" s="15">
        <v>5</v>
      </c>
      <c r="B754" s="15">
        <v>173846119</v>
      </c>
      <c r="C754" s="66">
        <v>173846335</v>
      </c>
    </row>
    <row r="755" spans="1:3" ht="16.05" customHeight="1">
      <c r="A755" s="15">
        <v>5</v>
      </c>
      <c r="B755" s="15">
        <v>174178729</v>
      </c>
      <c r="C755" s="66">
        <v>174178859</v>
      </c>
    </row>
    <row r="756" spans="1:3" ht="16.05" customHeight="1">
      <c r="A756" s="15">
        <v>5</v>
      </c>
      <c r="B756" s="15">
        <v>174872070</v>
      </c>
      <c r="C756" s="66">
        <v>174872209</v>
      </c>
    </row>
    <row r="757" spans="1:3" ht="16.05" customHeight="1">
      <c r="A757" s="15">
        <v>5</v>
      </c>
      <c r="B757" s="15">
        <v>175298511</v>
      </c>
      <c r="C757" s="66">
        <v>175298669</v>
      </c>
    </row>
    <row r="758" spans="1:3" ht="16.05" customHeight="1">
      <c r="A758" s="15">
        <v>5</v>
      </c>
      <c r="B758" s="15">
        <v>175298663</v>
      </c>
      <c r="C758" s="66">
        <v>175298734</v>
      </c>
    </row>
    <row r="759" spans="1:3" ht="16.05" customHeight="1">
      <c r="A759" s="15">
        <v>5</v>
      </c>
      <c r="B759" s="15">
        <v>175792875</v>
      </c>
      <c r="C759" s="66">
        <v>175793126</v>
      </c>
    </row>
    <row r="760" spans="1:3" ht="16.05" customHeight="1">
      <c r="A760" s="15">
        <v>5</v>
      </c>
      <c r="B760" s="15">
        <v>175793137</v>
      </c>
      <c r="C760" s="66">
        <v>175793210</v>
      </c>
    </row>
    <row r="761" spans="1:3" ht="16.05" customHeight="1">
      <c r="A761" s="15">
        <v>5</v>
      </c>
      <c r="B761" s="15">
        <v>176057040</v>
      </c>
      <c r="C761" s="66">
        <v>176057227</v>
      </c>
    </row>
    <row r="762" spans="1:3" ht="16.05" customHeight="1">
      <c r="A762" s="15">
        <v>5</v>
      </c>
      <c r="B762" s="15">
        <v>178487460</v>
      </c>
      <c r="C762" s="66">
        <v>178487556</v>
      </c>
    </row>
    <row r="763" spans="1:3" ht="16.05" customHeight="1">
      <c r="A763" s="15">
        <v>5</v>
      </c>
      <c r="B763" s="15">
        <v>178771309</v>
      </c>
      <c r="C763" s="66">
        <v>178771557</v>
      </c>
    </row>
    <row r="764" spans="1:3" ht="16.05" customHeight="1">
      <c r="A764" s="15">
        <v>5</v>
      </c>
      <c r="B764" s="15">
        <v>178771807</v>
      </c>
      <c r="C764" s="66">
        <v>178771947</v>
      </c>
    </row>
    <row r="765" spans="1:3" ht="16.05" customHeight="1">
      <c r="A765" s="15">
        <v>5</v>
      </c>
      <c r="B765" s="15">
        <v>180479581</v>
      </c>
      <c r="C765" s="66">
        <v>180479790</v>
      </c>
    </row>
    <row r="766" spans="1:3" ht="16.05" customHeight="1">
      <c r="A766" s="15">
        <v>5</v>
      </c>
      <c r="B766" s="15">
        <v>1882835</v>
      </c>
      <c r="C766" s="66">
        <v>1883099</v>
      </c>
    </row>
    <row r="767" spans="1:3" ht="16.05" customHeight="1">
      <c r="A767" s="15">
        <v>5</v>
      </c>
      <c r="B767" s="15">
        <v>1883098</v>
      </c>
      <c r="C767" s="66">
        <v>1883385</v>
      </c>
    </row>
    <row r="768" spans="1:3" ht="16.05" customHeight="1">
      <c r="A768" s="15">
        <v>5</v>
      </c>
      <c r="B768" s="15">
        <v>1883356</v>
      </c>
      <c r="C768" s="66">
        <v>1883542</v>
      </c>
    </row>
    <row r="769" spans="1:3" ht="16.05" customHeight="1">
      <c r="A769" s="15">
        <v>5</v>
      </c>
      <c r="B769" s="15">
        <v>1883548</v>
      </c>
      <c r="C769" s="66">
        <v>1883681</v>
      </c>
    </row>
    <row r="770" spans="1:3" ht="16.05" customHeight="1">
      <c r="A770" s="15">
        <v>5</v>
      </c>
      <c r="B770" s="15">
        <v>1883768</v>
      </c>
      <c r="C770" s="66">
        <v>1884071</v>
      </c>
    </row>
    <row r="771" spans="1:3" ht="16.05" customHeight="1">
      <c r="A771" s="15">
        <v>5</v>
      </c>
      <c r="B771" s="15">
        <v>1931464</v>
      </c>
      <c r="C771" s="66">
        <v>1931746</v>
      </c>
    </row>
    <row r="772" spans="1:3" ht="16.05" customHeight="1">
      <c r="A772" s="15">
        <v>5</v>
      </c>
      <c r="B772" s="15">
        <v>2751647</v>
      </c>
      <c r="C772" s="66">
        <v>2751791</v>
      </c>
    </row>
    <row r="773" spans="1:3" ht="16.05" customHeight="1">
      <c r="A773" s="15">
        <v>5</v>
      </c>
      <c r="B773" s="15">
        <v>2755927</v>
      </c>
      <c r="C773" s="66">
        <v>2756068</v>
      </c>
    </row>
    <row r="774" spans="1:3" ht="16.05" customHeight="1">
      <c r="A774" s="15">
        <v>5</v>
      </c>
      <c r="B774" s="15">
        <v>2756078</v>
      </c>
      <c r="C774" s="66">
        <v>2756276</v>
      </c>
    </row>
    <row r="775" spans="1:3" ht="16.05" customHeight="1">
      <c r="A775" s="15">
        <v>5</v>
      </c>
      <c r="B775" s="15">
        <v>2757132</v>
      </c>
      <c r="C775" s="66">
        <v>2757298</v>
      </c>
    </row>
    <row r="776" spans="1:3" ht="16.05" customHeight="1">
      <c r="A776" s="15">
        <v>5</v>
      </c>
      <c r="B776" s="15">
        <v>2757307</v>
      </c>
      <c r="C776" s="66">
        <v>2757419</v>
      </c>
    </row>
    <row r="777" spans="1:3" ht="16.05" customHeight="1">
      <c r="A777" s="15">
        <v>5</v>
      </c>
      <c r="B777" s="15">
        <v>31193839</v>
      </c>
      <c r="C777" s="66">
        <v>31194014</v>
      </c>
    </row>
    <row r="778" spans="1:3" ht="16.05" customHeight="1">
      <c r="A778" s="15">
        <v>5</v>
      </c>
      <c r="B778" s="15">
        <v>31194049</v>
      </c>
      <c r="C778" s="66">
        <v>31194180</v>
      </c>
    </row>
    <row r="779" spans="1:3" ht="16.05" customHeight="1">
      <c r="A779" s="15">
        <v>5</v>
      </c>
      <c r="B779" s="15">
        <v>31194629</v>
      </c>
      <c r="C779" s="66">
        <v>31194908</v>
      </c>
    </row>
    <row r="780" spans="1:3" ht="16.05" customHeight="1">
      <c r="A780" s="15">
        <v>5</v>
      </c>
      <c r="B780" s="15">
        <v>31194947</v>
      </c>
      <c r="C780" s="66">
        <v>31194958</v>
      </c>
    </row>
    <row r="781" spans="1:3" ht="16.05" customHeight="1">
      <c r="A781" s="15">
        <v>5</v>
      </c>
      <c r="B781" s="15">
        <v>33936131</v>
      </c>
      <c r="C781" s="66">
        <v>33936368</v>
      </c>
    </row>
    <row r="782" spans="1:3" ht="16.05" customHeight="1">
      <c r="A782" s="15">
        <v>5</v>
      </c>
      <c r="B782" s="15">
        <v>33936376</v>
      </c>
      <c r="C782" s="66">
        <v>33936535</v>
      </c>
    </row>
    <row r="783" spans="1:3" ht="16.05" customHeight="1">
      <c r="A783" s="15">
        <v>5</v>
      </c>
      <c r="B783" s="15">
        <v>36607314</v>
      </c>
      <c r="C783" s="66">
        <v>36607339</v>
      </c>
    </row>
    <row r="784" spans="1:3" ht="16.05" customHeight="1">
      <c r="A784" s="15">
        <v>5</v>
      </c>
      <c r="B784" s="15">
        <v>36607366</v>
      </c>
      <c r="C784" s="66">
        <v>36607438</v>
      </c>
    </row>
    <row r="785" spans="1:3" ht="16.05" customHeight="1">
      <c r="A785" s="15">
        <v>5</v>
      </c>
      <c r="B785" s="15">
        <v>36690203</v>
      </c>
      <c r="C785" s="66">
        <v>36690254</v>
      </c>
    </row>
    <row r="786" spans="1:3" ht="16.05" customHeight="1">
      <c r="A786" s="15">
        <v>5</v>
      </c>
      <c r="B786" s="15">
        <v>36690254</v>
      </c>
      <c r="C786" s="66">
        <v>36690427</v>
      </c>
    </row>
    <row r="787" spans="1:3" ht="16.05" customHeight="1">
      <c r="A787" s="15">
        <v>5</v>
      </c>
      <c r="B787" s="15">
        <v>38257417</v>
      </c>
      <c r="C787" s="66">
        <v>38257561</v>
      </c>
    </row>
    <row r="788" spans="1:3" ht="16.05" customHeight="1">
      <c r="A788" s="15">
        <v>5</v>
      </c>
      <c r="B788" s="15">
        <v>40680726</v>
      </c>
      <c r="C788" s="66">
        <v>40680752</v>
      </c>
    </row>
    <row r="789" spans="1:3" ht="16.05" customHeight="1">
      <c r="A789" s="15">
        <v>5</v>
      </c>
      <c r="B789" s="15">
        <v>42424358</v>
      </c>
      <c r="C789" s="66">
        <v>42424431</v>
      </c>
    </row>
    <row r="790" spans="1:3" ht="16.05" customHeight="1">
      <c r="A790" s="15">
        <v>5</v>
      </c>
      <c r="B790" s="15">
        <v>42952002</v>
      </c>
      <c r="C790" s="66">
        <v>42952286</v>
      </c>
    </row>
    <row r="791" spans="1:3" ht="16.05" customHeight="1">
      <c r="A791" s="15">
        <v>5</v>
      </c>
      <c r="B791" s="15">
        <v>42992608</v>
      </c>
      <c r="C791" s="66">
        <v>42993113</v>
      </c>
    </row>
    <row r="792" spans="1:3" ht="16.05" customHeight="1">
      <c r="A792" s="15">
        <v>5</v>
      </c>
      <c r="B792" s="15">
        <v>42994622</v>
      </c>
      <c r="C792" s="66">
        <v>42994640</v>
      </c>
    </row>
    <row r="793" spans="1:3" ht="16.05" customHeight="1">
      <c r="A793" s="15">
        <v>5</v>
      </c>
      <c r="B793" s="15">
        <v>42994634</v>
      </c>
      <c r="C793" s="66">
        <v>42994941</v>
      </c>
    </row>
    <row r="794" spans="1:3" ht="16.05" customHeight="1">
      <c r="A794" s="15">
        <v>5</v>
      </c>
      <c r="B794" s="15">
        <v>43020000</v>
      </c>
      <c r="C794" s="66">
        <v>43020167</v>
      </c>
    </row>
    <row r="795" spans="1:3" ht="16.05" customHeight="1">
      <c r="A795" s="15">
        <v>5</v>
      </c>
      <c r="B795" s="15">
        <v>43020223</v>
      </c>
      <c r="C795" s="66">
        <v>43020309</v>
      </c>
    </row>
    <row r="796" spans="1:3" ht="16.05" customHeight="1">
      <c r="A796" s="15">
        <v>5</v>
      </c>
      <c r="B796" s="15">
        <v>43040283</v>
      </c>
      <c r="C796" s="66">
        <v>43040394</v>
      </c>
    </row>
    <row r="797" spans="1:3" ht="16.05" customHeight="1">
      <c r="A797" s="15">
        <v>5</v>
      </c>
      <c r="B797" s="15">
        <v>45696290</v>
      </c>
      <c r="C797" s="66">
        <v>45696431</v>
      </c>
    </row>
    <row r="798" spans="1:3" ht="16.05" customHeight="1">
      <c r="A798" s="15">
        <v>5</v>
      </c>
      <c r="B798" s="15">
        <v>45696425</v>
      </c>
      <c r="C798" s="66">
        <v>45696622</v>
      </c>
    </row>
    <row r="799" spans="1:3" ht="16.05" customHeight="1">
      <c r="A799" s="15">
        <v>5</v>
      </c>
      <c r="B799" s="15">
        <v>50259992</v>
      </c>
      <c r="C799" s="66">
        <v>50260210</v>
      </c>
    </row>
    <row r="800" spans="1:3" ht="16.05" customHeight="1">
      <c r="A800" s="15">
        <v>5</v>
      </c>
      <c r="B800" s="15">
        <v>50678553</v>
      </c>
      <c r="C800" s="66">
        <v>50678677</v>
      </c>
    </row>
    <row r="801" spans="1:3" ht="16.05" customHeight="1">
      <c r="A801" s="15">
        <v>5</v>
      </c>
      <c r="B801" s="15">
        <v>50678692</v>
      </c>
      <c r="C801" s="66">
        <v>50678874</v>
      </c>
    </row>
    <row r="802" spans="1:3" ht="16.05" customHeight="1">
      <c r="A802" s="15">
        <v>5</v>
      </c>
      <c r="B802" s="15">
        <v>50679671</v>
      </c>
      <c r="C802" s="66">
        <v>50679823</v>
      </c>
    </row>
    <row r="803" spans="1:3" ht="16.05" customHeight="1">
      <c r="A803" s="15">
        <v>5</v>
      </c>
      <c r="B803" s="15">
        <v>50679895</v>
      </c>
      <c r="C803" s="66">
        <v>50679980</v>
      </c>
    </row>
    <row r="804" spans="1:3" ht="16.05" customHeight="1">
      <c r="A804" s="15">
        <v>5</v>
      </c>
      <c r="B804" s="15">
        <v>50685351</v>
      </c>
      <c r="C804" s="66">
        <v>50685499</v>
      </c>
    </row>
    <row r="805" spans="1:3" ht="16.05" customHeight="1">
      <c r="A805" s="15">
        <v>5</v>
      </c>
      <c r="B805" s="15">
        <v>50685507</v>
      </c>
      <c r="C805" s="66">
        <v>50685683</v>
      </c>
    </row>
    <row r="806" spans="1:3" ht="16.05" customHeight="1">
      <c r="A806" s="15">
        <v>5</v>
      </c>
      <c r="B806" s="15">
        <v>5139693</v>
      </c>
      <c r="C806" s="66">
        <v>5140038</v>
      </c>
    </row>
    <row r="807" spans="1:3" ht="16.05" customHeight="1">
      <c r="A807" s="15">
        <v>5</v>
      </c>
      <c r="B807" s="15">
        <v>528485</v>
      </c>
      <c r="C807" s="66">
        <v>528795</v>
      </c>
    </row>
    <row r="808" spans="1:3" ht="16.05" customHeight="1">
      <c r="A808" s="15">
        <v>5</v>
      </c>
      <c r="B808" s="15">
        <v>54179364</v>
      </c>
      <c r="C808" s="66">
        <v>54179458</v>
      </c>
    </row>
    <row r="809" spans="1:3" ht="16.05" customHeight="1">
      <c r="A809" s="15">
        <v>5</v>
      </c>
      <c r="B809" s="15">
        <v>57878095</v>
      </c>
      <c r="C809" s="66">
        <v>57878367</v>
      </c>
    </row>
    <row r="810" spans="1:3" ht="16.05" customHeight="1">
      <c r="A810" s="15">
        <v>5</v>
      </c>
      <c r="B810" s="15">
        <v>57879464</v>
      </c>
      <c r="C810" s="66">
        <v>57879506</v>
      </c>
    </row>
    <row r="811" spans="1:3" ht="16.05" customHeight="1">
      <c r="A811" s="15">
        <v>5</v>
      </c>
      <c r="B811" s="15">
        <v>63986853</v>
      </c>
      <c r="C811" s="66">
        <v>63986931</v>
      </c>
    </row>
    <row r="812" spans="1:3" ht="16.05" customHeight="1">
      <c r="A812" s="15">
        <v>5</v>
      </c>
      <c r="B812" s="15">
        <v>6448829</v>
      </c>
      <c r="C812" s="66">
        <v>6449096</v>
      </c>
    </row>
    <row r="813" spans="1:3" ht="16.05" customHeight="1">
      <c r="A813" s="15">
        <v>5</v>
      </c>
      <c r="B813" s="15">
        <v>6449114</v>
      </c>
      <c r="C813" s="66">
        <v>6449327</v>
      </c>
    </row>
    <row r="814" spans="1:3" ht="16.05" customHeight="1">
      <c r="A814" s="15">
        <v>5</v>
      </c>
      <c r="B814" s="15">
        <v>72529811</v>
      </c>
      <c r="C814" s="66">
        <v>72529875</v>
      </c>
    </row>
    <row r="815" spans="1:3" ht="16.05" customHeight="1">
      <c r="A815" s="15">
        <v>5</v>
      </c>
      <c r="B815" s="15">
        <v>72529885</v>
      </c>
      <c r="C815" s="66">
        <v>72530014</v>
      </c>
    </row>
    <row r="816" spans="1:3" ht="16.05" customHeight="1">
      <c r="A816" s="15">
        <v>5</v>
      </c>
      <c r="B816" s="15">
        <v>72594289</v>
      </c>
      <c r="C816" s="66">
        <v>72594620</v>
      </c>
    </row>
    <row r="817" spans="1:3" ht="16.05" customHeight="1">
      <c r="A817" s="15">
        <v>5</v>
      </c>
      <c r="B817" s="15">
        <v>72595553</v>
      </c>
      <c r="C817" s="66">
        <v>72595631</v>
      </c>
    </row>
    <row r="818" spans="1:3" ht="16.05" customHeight="1">
      <c r="A818" s="15">
        <v>5</v>
      </c>
      <c r="B818" s="15">
        <v>72595631</v>
      </c>
      <c r="C818" s="66">
        <v>72595722</v>
      </c>
    </row>
    <row r="819" spans="1:3" ht="16.05" customHeight="1">
      <c r="A819" s="15">
        <v>5</v>
      </c>
      <c r="B819" s="15">
        <v>72595718</v>
      </c>
      <c r="C819" s="66">
        <v>72595813</v>
      </c>
    </row>
    <row r="820" spans="1:3" ht="16.05" customHeight="1">
      <c r="A820" s="15">
        <v>5</v>
      </c>
      <c r="B820" s="15">
        <v>72678018</v>
      </c>
      <c r="C820" s="66">
        <v>72678349</v>
      </c>
    </row>
    <row r="821" spans="1:3" ht="16.05" customHeight="1">
      <c r="A821" s="15">
        <v>5</v>
      </c>
      <c r="B821" s="15">
        <v>72715568</v>
      </c>
      <c r="C821" s="66">
        <v>72715820</v>
      </c>
    </row>
    <row r="822" spans="1:3" ht="16.05" customHeight="1">
      <c r="A822" s="15">
        <v>5</v>
      </c>
      <c r="B822" s="15">
        <v>72715906</v>
      </c>
      <c r="C822" s="66">
        <v>72716030</v>
      </c>
    </row>
    <row r="823" spans="1:3" ht="16.05" customHeight="1">
      <c r="A823" s="15">
        <v>5</v>
      </c>
      <c r="B823" s="15">
        <v>72716069</v>
      </c>
      <c r="C823" s="66">
        <v>72716172</v>
      </c>
    </row>
    <row r="824" spans="1:3" ht="16.05" customHeight="1">
      <c r="A824" s="15">
        <v>5</v>
      </c>
      <c r="B824" s="15">
        <v>72732202</v>
      </c>
      <c r="C824" s="66">
        <v>72732285</v>
      </c>
    </row>
    <row r="825" spans="1:3" ht="16.05" customHeight="1">
      <c r="A825" s="15">
        <v>5</v>
      </c>
      <c r="B825" s="15">
        <v>72732359</v>
      </c>
      <c r="C825" s="66">
        <v>72732442</v>
      </c>
    </row>
    <row r="826" spans="1:3" ht="16.05" customHeight="1">
      <c r="A826" s="15">
        <v>5</v>
      </c>
      <c r="B826" s="15">
        <v>7396874</v>
      </c>
      <c r="C826" s="66">
        <v>7397075</v>
      </c>
    </row>
    <row r="827" spans="1:3" ht="16.05" customHeight="1">
      <c r="A827" s="15">
        <v>5</v>
      </c>
      <c r="B827" s="15">
        <v>75377944</v>
      </c>
      <c r="C827" s="66">
        <v>75378194</v>
      </c>
    </row>
    <row r="828" spans="1:3" ht="16.05" customHeight="1">
      <c r="A828" s="15">
        <v>5</v>
      </c>
      <c r="B828" s="15">
        <v>75380667</v>
      </c>
      <c r="C828" s="66">
        <v>75380966</v>
      </c>
    </row>
    <row r="829" spans="1:3" ht="16.05" customHeight="1">
      <c r="A829" s="15">
        <v>5</v>
      </c>
      <c r="B829" s="15">
        <v>76012423</v>
      </c>
      <c r="C829" s="66">
        <v>76012523</v>
      </c>
    </row>
    <row r="830" spans="1:3" ht="16.05" customHeight="1">
      <c r="A830" s="15">
        <v>5</v>
      </c>
      <c r="B830" s="15">
        <v>76012568</v>
      </c>
      <c r="C830" s="66">
        <v>76012763</v>
      </c>
    </row>
    <row r="831" spans="1:3" ht="16.05" customHeight="1">
      <c r="A831" s="15">
        <v>5</v>
      </c>
      <c r="B831" s="15">
        <v>76923789</v>
      </c>
      <c r="C831" s="66">
        <v>76923994</v>
      </c>
    </row>
    <row r="832" spans="1:3" ht="16.05" customHeight="1">
      <c r="A832" s="15">
        <v>5</v>
      </c>
      <c r="B832" s="15">
        <v>76924020</v>
      </c>
      <c r="C832" s="66">
        <v>76924099</v>
      </c>
    </row>
    <row r="833" spans="1:3" ht="16.05" customHeight="1">
      <c r="A833" s="15">
        <v>5</v>
      </c>
      <c r="B833" s="15">
        <v>76928689</v>
      </c>
      <c r="C833" s="66">
        <v>76928898</v>
      </c>
    </row>
    <row r="834" spans="1:3" ht="16.05" customHeight="1">
      <c r="A834" s="15">
        <v>5</v>
      </c>
      <c r="B834" s="15">
        <v>76934414</v>
      </c>
      <c r="C834" s="66">
        <v>76934673</v>
      </c>
    </row>
    <row r="835" spans="1:3" ht="16.05" customHeight="1">
      <c r="A835" s="15">
        <v>5</v>
      </c>
      <c r="B835" s="15">
        <v>77268569</v>
      </c>
      <c r="C835" s="66">
        <v>77268904</v>
      </c>
    </row>
    <row r="836" spans="1:3" ht="16.05" customHeight="1">
      <c r="A836" s="15">
        <v>5</v>
      </c>
      <c r="B836" s="15">
        <v>77268937</v>
      </c>
      <c r="C836" s="66">
        <v>77268961</v>
      </c>
    </row>
    <row r="837" spans="1:3" ht="16.05" customHeight="1">
      <c r="A837" s="15">
        <v>5</v>
      </c>
      <c r="B837" s="15">
        <v>79330754</v>
      </c>
      <c r="C837" s="66">
        <v>79330805</v>
      </c>
    </row>
    <row r="838" spans="1:3" ht="16.05" customHeight="1">
      <c r="A838" s="15">
        <v>5</v>
      </c>
      <c r="B838" s="15">
        <v>79330859</v>
      </c>
      <c r="C838" s="66">
        <v>79331300</v>
      </c>
    </row>
    <row r="839" spans="1:3" ht="16.05" customHeight="1">
      <c r="A839" s="15">
        <v>5</v>
      </c>
      <c r="B839" s="15">
        <v>87956384</v>
      </c>
      <c r="C839" s="66">
        <v>87956686</v>
      </c>
    </row>
    <row r="840" spans="1:3" ht="16.05" customHeight="1">
      <c r="A840" s="15">
        <v>5</v>
      </c>
      <c r="B840" s="15">
        <v>87956798</v>
      </c>
      <c r="C840" s="66">
        <v>87956942</v>
      </c>
    </row>
    <row r="841" spans="1:3" ht="16.05" customHeight="1">
      <c r="A841" s="15">
        <v>5</v>
      </c>
      <c r="B841" s="15">
        <v>87971283</v>
      </c>
      <c r="C841" s="66">
        <v>87971377</v>
      </c>
    </row>
    <row r="842" spans="1:3" ht="16.05" customHeight="1">
      <c r="A842" s="15">
        <v>5</v>
      </c>
      <c r="B842" s="15">
        <v>87971409</v>
      </c>
      <c r="C842" s="66">
        <v>87971617</v>
      </c>
    </row>
    <row r="843" spans="1:3" ht="16.05" customHeight="1">
      <c r="A843" s="15">
        <v>5</v>
      </c>
      <c r="B843" s="15">
        <v>87976619</v>
      </c>
      <c r="C843" s="66">
        <v>87976721</v>
      </c>
    </row>
    <row r="844" spans="1:3" ht="16.05" customHeight="1">
      <c r="A844" s="15">
        <v>5</v>
      </c>
      <c r="B844" s="15">
        <v>87981079</v>
      </c>
      <c r="C844" s="66">
        <v>87981317</v>
      </c>
    </row>
    <row r="845" spans="1:3" ht="16.05" customHeight="1">
      <c r="A845" s="15">
        <v>5</v>
      </c>
      <c r="B845" s="15">
        <v>87986539</v>
      </c>
      <c r="C845" s="66">
        <v>87986591</v>
      </c>
    </row>
    <row r="846" spans="1:3" ht="16.05" customHeight="1">
      <c r="A846" s="15">
        <v>5</v>
      </c>
      <c r="B846" s="15">
        <v>87991225</v>
      </c>
      <c r="C846" s="66">
        <v>87991454</v>
      </c>
    </row>
    <row r="847" spans="1:3" ht="16.05" customHeight="1">
      <c r="A847" s="15">
        <v>5</v>
      </c>
      <c r="B847" s="15">
        <v>94955713</v>
      </c>
      <c r="C847" s="66">
        <v>94955834</v>
      </c>
    </row>
    <row r="848" spans="1:3" ht="16.05" customHeight="1">
      <c r="A848" s="15">
        <v>6</v>
      </c>
      <c r="B848" s="15">
        <v>100037493</v>
      </c>
      <c r="C848" s="66">
        <v>100037549</v>
      </c>
    </row>
    <row r="849" spans="1:3" ht="16.05" customHeight="1">
      <c r="A849" s="15">
        <v>6</v>
      </c>
      <c r="B849" s="15">
        <v>100050657</v>
      </c>
      <c r="C849" s="66">
        <v>100050818</v>
      </c>
    </row>
    <row r="850" spans="1:3" ht="16.05" customHeight="1">
      <c r="A850" s="15">
        <v>6</v>
      </c>
      <c r="B850" s="15">
        <v>100050827</v>
      </c>
      <c r="C850" s="66">
        <v>100050924</v>
      </c>
    </row>
    <row r="851" spans="1:3" ht="16.05" customHeight="1">
      <c r="A851" s="15">
        <v>6</v>
      </c>
      <c r="B851" s="15">
        <v>100050959</v>
      </c>
      <c r="C851" s="66">
        <v>100050970</v>
      </c>
    </row>
    <row r="852" spans="1:3" ht="16.05" customHeight="1">
      <c r="A852" s="15">
        <v>6</v>
      </c>
      <c r="B852" s="15">
        <v>100050968</v>
      </c>
      <c r="C852" s="66">
        <v>100051256</v>
      </c>
    </row>
    <row r="853" spans="1:3" ht="16.05" customHeight="1">
      <c r="A853" s="15">
        <v>6</v>
      </c>
      <c r="B853" s="15">
        <v>100051504</v>
      </c>
      <c r="C853" s="66">
        <v>100051803</v>
      </c>
    </row>
    <row r="854" spans="1:3" ht="16.05" customHeight="1">
      <c r="A854" s="15">
        <v>6</v>
      </c>
      <c r="B854" s="15">
        <v>100054464</v>
      </c>
      <c r="C854" s="66">
        <v>100054554</v>
      </c>
    </row>
    <row r="855" spans="1:3" ht="16.05" customHeight="1">
      <c r="A855" s="15">
        <v>6</v>
      </c>
      <c r="B855" s="15">
        <v>100054580</v>
      </c>
      <c r="C855" s="66">
        <v>100054757</v>
      </c>
    </row>
    <row r="856" spans="1:3" ht="16.05" customHeight="1">
      <c r="A856" s="15">
        <v>6</v>
      </c>
      <c r="B856" s="15">
        <v>100057010</v>
      </c>
      <c r="C856" s="66">
        <v>100057268</v>
      </c>
    </row>
    <row r="857" spans="1:3" ht="16.05" customHeight="1">
      <c r="A857" s="15">
        <v>6</v>
      </c>
      <c r="B857" s="15">
        <v>100060773</v>
      </c>
      <c r="C857" s="66">
        <v>100060875</v>
      </c>
    </row>
    <row r="858" spans="1:3" ht="16.05" customHeight="1">
      <c r="A858" s="15">
        <v>6</v>
      </c>
      <c r="B858" s="15">
        <v>100060874</v>
      </c>
      <c r="C858" s="66">
        <v>100061236</v>
      </c>
    </row>
    <row r="859" spans="1:3" ht="16.05" customHeight="1">
      <c r="A859" s="15">
        <v>6</v>
      </c>
      <c r="B859" s="15">
        <v>100061275</v>
      </c>
      <c r="C859" s="66">
        <v>100061454</v>
      </c>
    </row>
    <row r="860" spans="1:3" ht="16.05" customHeight="1">
      <c r="A860" s="15">
        <v>6</v>
      </c>
      <c r="B860" s="15">
        <v>100062913</v>
      </c>
      <c r="C860" s="66">
        <v>100063008</v>
      </c>
    </row>
    <row r="861" spans="1:3" ht="16.05" customHeight="1">
      <c r="A861" s="15">
        <v>6</v>
      </c>
      <c r="B861" s="15">
        <v>100909010</v>
      </c>
      <c r="C861" s="66">
        <v>100909408</v>
      </c>
    </row>
    <row r="862" spans="1:3" ht="16.05" customHeight="1">
      <c r="A862" s="15">
        <v>6</v>
      </c>
      <c r="B862" s="15">
        <v>100912760</v>
      </c>
      <c r="C862" s="66">
        <v>100913044</v>
      </c>
    </row>
    <row r="863" spans="1:3" ht="16.05" customHeight="1">
      <c r="A863" s="15">
        <v>6</v>
      </c>
      <c r="B863" s="15">
        <v>10415433</v>
      </c>
      <c r="C863" s="66">
        <v>10415705</v>
      </c>
    </row>
    <row r="864" spans="1:3" ht="16.05" customHeight="1">
      <c r="A864" s="15">
        <v>6</v>
      </c>
      <c r="B864" s="15">
        <v>10415733</v>
      </c>
      <c r="C864" s="66">
        <v>10415771</v>
      </c>
    </row>
    <row r="865" spans="1:3" ht="16.05" customHeight="1">
      <c r="A865" s="15">
        <v>6</v>
      </c>
      <c r="B865" s="15">
        <v>10415733</v>
      </c>
      <c r="C865" s="66">
        <v>10415903</v>
      </c>
    </row>
    <row r="866" spans="1:3" ht="16.05" customHeight="1">
      <c r="A866" s="15">
        <v>6</v>
      </c>
      <c r="B866" s="15">
        <v>10415924</v>
      </c>
      <c r="C866" s="66">
        <v>10416040</v>
      </c>
    </row>
    <row r="867" spans="1:3" ht="16.05" customHeight="1">
      <c r="A867" s="15">
        <v>6</v>
      </c>
      <c r="B867" s="15">
        <v>106442275</v>
      </c>
      <c r="C867" s="66">
        <v>106442456</v>
      </c>
    </row>
    <row r="868" spans="1:3" ht="16.05" customHeight="1">
      <c r="A868" s="15">
        <v>6</v>
      </c>
      <c r="B868" s="15">
        <v>106442491</v>
      </c>
      <c r="C868" s="66">
        <v>106442606</v>
      </c>
    </row>
    <row r="869" spans="1:3" ht="16.05" customHeight="1">
      <c r="A869" s="15">
        <v>6</v>
      </c>
      <c r="B869" s="15">
        <v>108439981</v>
      </c>
      <c r="C869" s="66">
        <v>108440034</v>
      </c>
    </row>
    <row r="870" spans="1:3" ht="16.05" customHeight="1">
      <c r="A870" s="15">
        <v>6</v>
      </c>
      <c r="B870" s="15">
        <v>108440036</v>
      </c>
      <c r="C870" s="66">
        <v>108440491</v>
      </c>
    </row>
    <row r="871" spans="1:3" ht="16.05" customHeight="1">
      <c r="A871" s="15">
        <v>6</v>
      </c>
      <c r="B871" s="15">
        <v>108478904</v>
      </c>
      <c r="C871" s="66">
        <v>108479096</v>
      </c>
    </row>
    <row r="872" spans="1:3" ht="16.05" customHeight="1">
      <c r="A872" s="15">
        <v>6</v>
      </c>
      <c r="B872" s="15">
        <v>108479089</v>
      </c>
      <c r="C872" s="66">
        <v>108479243</v>
      </c>
    </row>
    <row r="873" spans="1:3" ht="16.05" customHeight="1">
      <c r="A873" s="15">
        <v>6</v>
      </c>
      <c r="B873" s="15">
        <v>108485886</v>
      </c>
      <c r="C873" s="66">
        <v>108486180</v>
      </c>
    </row>
    <row r="874" spans="1:3" ht="16.05" customHeight="1">
      <c r="A874" s="15">
        <v>6</v>
      </c>
      <c r="B874" s="15">
        <v>108488175</v>
      </c>
      <c r="C874" s="66">
        <v>108488361</v>
      </c>
    </row>
    <row r="875" spans="1:3" ht="16.05" customHeight="1">
      <c r="A875" s="15">
        <v>6</v>
      </c>
      <c r="B875" s="15">
        <v>108488362</v>
      </c>
      <c r="C875" s="66">
        <v>108488436</v>
      </c>
    </row>
    <row r="876" spans="1:3" ht="16.05" customHeight="1">
      <c r="A876" s="15">
        <v>6</v>
      </c>
      <c r="B876" s="15">
        <v>108490734</v>
      </c>
      <c r="C876" s="66">
        <v>108490923</v>
      </c>
    </row>
    <row r="877" spans="1:3" ht="16.05" customHeight="1">
      <c r="A877" s="15">
        <v>6</v>
      </c>
      <c r="B877" s="15">
        <v>108490971</v>
      </c>
      <c r="C877" s="66">
        <v>108491056</v>
      </c>
    </row>
    <row r="878" spans="1:3" ht="16.05" customHeight="1">
      <c r="A878" s="15">
        <v>6</v>
      </c>
      <c r="B878" s="15">
        <v>10882211</v>
      </c>
      <c r="C878" s="66">
        <v>10882405</v>
      </c>
    </row>
    <row r="879" spans="1:3" ht="16.05" customHeight="1">
      <c r="A879" s="15">
        <v>6</v>
      </c>
      <c r="B879" s="15">
        <v>10887089</v>
      </c>
      <c r="C879" s="66">
        <v>10887145</v>
      </c>
    </row>
    <row r="880" spans="1:3" ht="16.05" customHeight="1">
      <c r="A880" s="15">
        <v>6</v>
      </c>
      <c r="B880" s="15">
        <v>110678959</v>
      </c>
      <c r="C880" s="66">
        <v>110679280</v>
      </c>
    </row>
    <row r="881" spans="1:3" ht="16.05" customHeight="1">
      <c r="A881" s="15">
        <v>6</v>
      </c>
      <c r="B881" s="15">
        <v>110679395</v>
      </c>
      <c r="C881" s="66">
        <v>110679691</v>
      </c>
    </row>
    <row r="882" spans="1:3" ht="16.05" customHeight="1">
      <c r="A882" s="15">
        <v>6</v>
      </c>
      <c r="B882" s="15">
        <v>114176592</v>
      </c>
      <c r="C882" s="66">
        <v>114176753</v>
      </c>
    </row>
    <row r="883" spans="1:3" ht="16.05" customHeight="1">
      <c r="A883" s="15">
        <v>6</v>
      </c>
      <c r="B883" s="15">
        <v>114177197</v>
      </c>
      <c r="C883" s="66">
        <v>114177660</v>
      </c>
    </row>
    <row r="884" spans="1:3" ht="16.05" customHeight="1">
      <c r="A884" s="15">
        <v>6</v>
      </c>
      <c r="B884" s="15">
        <v>117086677</v>
      </c>
      <c r="C884" s="66">
        <v>117087016</v>
      </c>
    </row>
    <row r="885" spans="1:3" ht="16.05" customHeight="1">
      <c r="A885" s="15">
        <v>6</v>
      </c>
      <c r="B885" s="15">
        <v>118229569</v>
      </c>
      <c r="C885" s="66">
        <v>118229816</v>
      </c>
    </row>
    <row r="886" spans="1:3" ht="16.05" customHeight="1">
      <c r="A886" s="15">
        <v>6</v>
      </c>
      <c r="B886" s="15">
        <v>118229831</v>
      </c>
      <c r="C886" s="66">
        <v>118229842</v>
      </c>
    </row>
    <row r="887" spans="1:3" ht="16.05" customHeight="1">
      <c r="A887" s="15">
        <v>6</v>
      </c>
      <c r="B887" s="15">
        <v>127840611</v>
      </c>
      <c r="C887" s="66">
        <v>127840761</v>
      </c>
    </row>
    <row r="888" spans="1:3" ht="16.05" customHeight="1">
      <c r="A888" s="15">
        <v>6</v>
      </c>
      <c r="B888" s="15">
        <v>127840799</v>
      </c>
      <c r="C888" s="66">
        <v>127840810</v>
      </c>
    </row>
    <row r="889" spans="1:3" ht="16.05" customHeight="1">
      <c r="A889" s="15">
        <v>6</v>
      </c>
      <c r="B889" s="15">
        <v>133561711</v>
      </c>
      <c r="C889" s="66">
        <v>133561725</v>
      </c>
    </row>
    <row r="890" spans="1:3" ht="16.05" customHeight="1">
      <c r="A890" s="15">
        <v>6</v>
      </c>
      <c r="B890" s="15">
        <v>133561730</v>
      </c>
      <c r="C890" s="66">
        <v>133562645</v>
      </c>
    </row>
    <row r="891" spans="1:3" ht="16.05" customHeight="1">
      <c r="A891" s="15">
        <v>6</v>
      </c>
      <c r="B891" s="15">
        <v>133563899</v>
      </c>
      <c r="C891" s="66">
        <v>133564094</v>
      </c>
    </row>
    <row r="892" spans="1:3" ht="16.05" customHeight="1">
      <c r="A892" s="15">
        <v>6</v>
      </c>
      <c r="B892" s="15">
        <v>137241908</v>
      </c>
      <c r="C892" s="66">
        <v>137242018</v>
      </c>
    </row>
    <row r="893" spans="1:3" ht="16.05" customHeight="1">
      <c r="A893" s="15">
        <v>6</v>
      </c>
      <c r="B893" s="15">
        <v>137242057</v>
      </c>
      <c r="C893" s="66">
        <v>137242197</v>
      </c>
    </row>
    <row r="894" spans="1:3" ht="16.05" customHeight="1">
      <c r="A894" s="15">
        <v>6</v>
      </c>
      <c r="B894" s="15">
        <v>137310864</v>
      </c>
      <c r="C894" s="66">
        <v>137311044</v>
      </c>
    </row>
    <row r="895" spans="1:3" ht="16.05" customHeight="1">
      <c r="A895" s="15">
        <v>6</v>
      </c>
      <c r="B895" s="15">
        <v>137311084</v>
      </c>
      <c r="C895" s="66">
        <v>137311180</v>
      </c>
    </row>
    <row r="896" spans="1:3" ht="16.05" customHeight="1">
      <c r="A896" s="15">
        <v>6</v>
      </c>
      <c r="B896" s="15">
        <v>137311151</v>
      </c>
      <c r="C896" s="66">
        <v>137311311</v>
      </c>
    </row>
    <row r="897" spans="1:3" ht="16.05" customHeight="1">
      <c r="A897" s="15">
        <v>6</v>
      </c>
      <c r="B897" s="15">
        <v>137311359</v>
      </c>
      <c r="C897" s="66">
        <v>137311372</v>
      </c>
    </row>
    <row r="898" spans="1:3" ht="16.05" customHeight="1">
      <c r="A898" s="15">
        <v>6</v>
      </c>
      <c r="B898" s="15">
        <v>1383460</v>
      </c>
      <c r="C898" s="66">
        <v>1383617</v>
      </c>
    </row>
    <row r="899" spans="1:3" ht="16.05" customHeight="1">
      <c r="A899" s="15">
        <v>6</v>
      </c>
      <c r="B899" s="15">
        <v>1383626</v>
      </c>
      <c r="C899" s="66">
        <v>1383806</v>
      </c>
    </row>
    <row r="900" spans="1:3" ht="16.05" customHeight="1">
      <c r="A900" s="15">
        <v>6</v>
      </c>
      <c r="B900" s="15">
        <v>1391092</v>
      </c>
      <c r="C900" s="66">
        <v>1391371</v>
      </c>
    </row>
    <row r="901" spans="1:3" ht="16.05" customHeight="1">
      <c r="A901" s="15">
        <v>6</v>
      </c>
      <c r="B901" s="15">
        <v>150286333</v>
      </c>
      <c r="C901" s="66">
        <v>150286545</v>
      </c>
    </row>
    <row r="902" spans="1:3" ht="16.05" customHeight="1">
      <c r="A902" s="15">
        <v>6</v>
      </c>
      <c r="B902" s="15">
        <v>150311325</v>
      </c>
      <c r="C902" s="66">
        <v>150311437</v>
      </c>
    </row>
    <row r="903" spans="1:3" ht="16.05" customHeight="1">
      <c r="A903" s="15">
        <v>6</v>
      </c>
      <c r="B903" s="15">
        <v>150311477</v>
      </c>
      <c r="C903" s="66">
        <v>150311645</v>
      </c>
    </row>
    <row r="904" spans="1:3" ht="16.05" customHeight="1">
      <c r="A904" s="15">
        <v>6</v>
      </c>
      <c r="B904" s="15">
        <v>150311563</v>
      </c>
      <c r="C904" s="66">
        <v>150311645</v>
      </c>
    </row>
    <row r="905" spans="1:3" ht="16.05" customHeight="1">
      <c r="A905" s="15">
        <v>6</v>
      </c>
      <c r="B905" s="15">
        <v>151562721</v>
      </c>
      <c r="C905" s="66">
        <v>151562783</v>
      </c>
    </row>
    <row r="906" spans="1:3" ht="16.05" customHeight="1">
      <c r="A906" s="15">
        <v>6</v>
      </c>
      <c r="B906" s="15">
        <v>152623065</v>
      </c>
      <c r="C906" s="66">
        <v>152623226</v>
      </c>
    </row>
    <row r="907" spans="1:3" ht="16.05" customHeight="1">
      <c r="A907" s="15">
        <v>6</v>
      </c>
      <c r="B907" s="15">
        <v>152623256</v>
      </c>
      <c r="C907" s="66">
        <v>152623393</v>
      </c>
    </row>
    <row r="908" spans="1:3" ht="16.05" customHeight="1">
      <c r="A908" s="15">
        <v>6</v>
      </c>
      <c r="B908" s="15">
        <v>152957079</v>
      </c>
      <c r="C908" s="66">
        <v>152957177</v>
      </c>
    </row>
    <row r="909" spans="1:3" ht="16.05" customHeight="1">
      <c r="A909" s="15">
        <v>6</v>
      </c>
      <c r="B909" s="15">
        <v>152957197</v>
      </c>
      <c r="C909" s="66">
        <v>152957319</v>
      </c>
    </row>
    <row r="910" spans="1:3" ht="16.05" customHeight="1">
      <c r="A910" s="15">
        <v>6</v>
      </c>
      <c r="B910" s="15">
        <v>155317321</v>
      </c>
      <c r="C910" s="66">
        <v>155317417</v>
      </c>
    </row>
    <row r="911" spans="1:3" ht="16.05" customHeight="1">
      <c r="A911" s="15">
        <v>6</v>
      </c>
      <c r="B911" s="15">
        <v>166421868</v>
      </c>
      <c r="C911" s="66">
        <v>166422002</v>
      </c>
    </row>
    <row r="912" spans="1:3" ht="16.05" customHeight="1">
      <c r="A912" s="15">
        <v>6</v>
      </c>
      <c r="B912" s="15">
        <v>166421994</v>
      </c>
      <c r="C912" s="66">
        <v>166422166</v>
      </c>
    </row>
    <row r="913" spans="1:3" ht="16.05" customHeight="1">
      <c r="A913" s="15">
        <v>6</v>
      </c>
      <c r="B913" s="15">
        <v>166422569</v>
      </c>
      <c r="C913" s="66">
        <v>166422759</v>
      </c>
    </row>
    <row r="914" spans="1:3" ht="16.05" customHeight="1">
      <c r="A914" s="15">
        <v>6</v>
      </c>
      <c r="B914" s="15">
        <v>166580826</v>
      </c>
      <c r="C914" s="66">
        <v>166580938</v>
      </c>
    </row>
    <row r="915" spans="1:3" ht="16.05" customHeight="1">
      <c r="A915" s="15">
        <v>6</v>
      </c>
      <c r="B915" s="15">
        <v>166580945</v>
      </c>
      <c r="C915" s="66">
        <v>166581130</v>
      </c>
    </row>
    <row r="916" spans="1:3" ht="16.05" customHeight="1">
      <c r="A916" s="15">
        <v>6</v>
      </c>
      <c r="B916" s="15">
        <v>166582038</v>
      </c>
      <c r="C916" s="66">
        <v>166582470</v>
      </c>
    </row>
    <row r="917" spans="1:3" ht="16.05" customHeight="1">
      <c r="A917" s="15">
        <v>6</v>
      </c>
      <c r="B917" s="15">
        <v>169653862</v>
      </c>
      <c r="C917" s="66">
        <v>169653980</v>
      </c>
    </row>
    <row r="918" spans="1:3" ht="16.05" customHeight="1">
      <c r="A918" s="15">
        <v>6</v>
      </c>
      <c r="B918" s="15">
        <v>19836846</v>
      </c>
      <c r="C918" s="66">
        <v>19836980</v>
      </c>
    </row>
    <row r="919" spans="1:3" ht="16.05" customHeight="1">
      <c r="A919" s="15">
        <v>6</v>
      </c>
      <c r="B919" s="15">
        <v>19836981</v>
      </c>
      <c r="C919" s="66">
        <v>19837181</v>
      </c>
    </row>
    <row r="920" spans="1:3" ht="16.05" customHeight="1">
      <c r="A920" s="15">
        <v>6</v>
      </c>
      <c r="B920" s="15">
        <v>26216527</v>
      </c>
      <c r="C920" s="66">
        <v>26216679</v>
      </c>
    </row>
    <row r="921" spans="1:3" ht="16.05" customHeight="1">
      <c r="A921" s="15">
        <v>6</v>
      </c>
      <c r="B921" s="15">
        <v>26216749</v>
      </c>
      <c r="C921" s="66">
        <v>26216930</v>
      </c>
    </row>
    <row r="922" spans="1:3" ht="16.05" customHeight="1">
      <c r="A922" s="15">
        <v>6</v>
      </c>
      <c r="B922" s="15">
        <v>26224065</v>
      </c>
      <c r="C922" s="66">
        <v>26224134</v>
      </c>
    </row>
    <row r="923" spans="1:3" ht="16.05" customHeight="1">
      <c r="A923" s="15">
        <v>6</v>
      </c>
      <c r="B923" s="15">
        <v>26250537</v>
      </c>
      <c r="C923" s="66">
        <v>26250942</v>
      </c>
    </row>
    <row r="924" spans="1:3" ht="16.05" customHeight="1">
      <c r="A924" s="15">
        <v>6</v>
      </c>
      <c r="B924" s="15">
        <v>26251652</v>
      </c>
      <c r="C924" s="66">
        <v>26251823</v>
      </c>
    </row>
    <row r="925" spans="1:3" ht="16.05" customHeight="1">
      <c r="A925" s="15">
        <v>6</v>
      </c>
      <c r="B925" s="15">
        <v>26251894</v>
      </c>
      <c r="C925" s="66">
        <v>26252043</v>
      </c>
    </row>
    <row r="926" spans="1:3" ht="16.05" customHeight="1">
      <c r="A926" s="15">
        <v>6</v>
      </c>
      <c r="B926" s="15">
        <v>26271555</v>
      </c>
      <c r="C926" s="66">
        <v>26271611</v>
      </c>
    </row>
    <row r="927" spans="1:3" ht="16.05" customHeight="1">
      <c r="A927" s="15">
        <v>6</v>
      </c>
      <c r="B927" s="15">
        <v>26271711</v>
      </c>
      <c r="C927" s="66">
        <v>26271890</v>
      </c>
    </row>
    <row r="928" spans="1:3" ht="16.05" customHeight="1">
      <c r="A928" s="15">
        <v>6</v>
      </c>
      <c r="B928" s="15">
        <v>26272442</v>
      </c>
      <c r="C928" s="66">
        <v>26272683</v>
      </c>
    </row>
    <row r="929" spans="1:3" ht="16.05" customHeight="1">
      <c r="A929" s="15">
        <v>6</v>
      </c>
      <c r="B929" s="15">
        <v>27064963</v>
      </c>
      <c r="C929" s="66">
        <v>27065115</v>
      </c>
    </row>
    <row r="930" spans="1:3" ht="16.05" customHeight="1">
      <c r="A930" s="15">
        <v>6</v>
      </c>
      <c r="B930" s="15">
        <v>27205691</v>
      </c>
      <c r="C930" s="66">
        <v>27205978</v>
      </c>
    </row>
    <row r="931" spans="1:3" ht="16.05" customHeight="1">
      <c r="A931" s="15">
        <v>6</v>
      </c>
      <c r="B931" s="15">
        <v>27235699</v>
      </c>
      <c r="C931" s="66">
        <v>27235940</v>
      </c>
    </row>
    <row r="932" spans="1:3" ht="16.05" customHeight="1">
      <c r="A932" s="15">
        <v>6</v>
      </c>
      <c r="B932" s="15">
        <v>27279856</v>
      </c>
      <c r="C932" s="66">
        <v>27280089</v>
      </c>
    </row>
    <row r="933" spans="1:3" ht="16.05" customHeight="1">
      <c r="A933" s="15">
        <v>6</v>
      </c>
      <c r="B933" s="15">
        <v>27463042</v>
      </c>
      <c r="C933" s="66">
        <v>27463256</v>
      </c>
    </row>
    <row r="934" spans="1:3" ht="16.05" customHeight="1">
      <c r="A934" s="15">
        <v>6</v>
      </c>
      <c r="B934" s="15">
        <v>27463254</v>
      </c>
      <c r="C934" s="66">
        <v>27463423</v>
      </c>
    </row>
    <row r="935" spans="1:3" ht="16.05" customHeight="1">
      <c r="A935" s="15">
        <v>6</v>
      </c>
      <c r="B935" s="15">
        <v>27858463</v>
      </c>
      <c r="C935" s="66">
        <v>27858643</v>
      </c>
    </row>
    <row r="936" spans="1:3" ht="16.05" customHeight="1">
      <c r="A936" s="15">
        <v>6</v>
      </c>
      <c r="B936" s="15">
        <v>28175278</v>
      </c>
      <c r="C936" s="66">
        <v>28175430</v>
      </c>
    </row>
    <row r="937" spans="1:3" ht="16.05" customHeight="1">
      <c r="A937" s="15">
        <v>6</v>
      </c>
      <c r="B937" s="15">
        <v>28175432</v>
      </c>
      <c r="C937" s="66">
        <v>28175610</v>
      </c>
    </row>
    <row r="938" spans="1:3" ht="16.05" customHeight="1">
      <c r="A938" s="15">
        <v>6</v>
      </c>
      <c r="B938" s="15">
        <v>28175565</v>
      </c>
      <c r="C938" s="66">
        <v>28175745</v>
      </c>
    </row>
    <row r="939" spans="1:3" ht="16.05" customHeight="1">
      <c r="A939" s="15">
        <v>6</v>
      </c>
      <c r="B939" s="15">
        <v>28175785</v>
      </c>
      <c r="C939" s="66">
        <v>28175911</v>
      </c>
    </row>
    <row r="940" spans="1:3" ht="16.05" customHeight="1">
      <c r="A940" s="15">
        <v>6</v>
      </c>
      <c r="B940" s="15">
        <v>28303760</v>
      </c>
      <c r="C940" s="66">
        <v>28303953</v>
      </c>
    </row>
    <row r="941" spans="1:3" ht="16.05" customHeight="1">
      <c r="A941" s="15">
        <v>6</v>
      </c>
      <c r="B941" s="15">
        <v>28304035</v>
      </c>
      <c r="C941" s="66">
        <v>28304293</v>
      </c>
    </row>
    <row r="942" spans="1:3" ht="16.05" customHeight="1">
      <c r="A942" s="15">
        <v>6</v>
      </c>
      <c r="B942" s="15">
        <v>28304282</v>
      </c>
      <c r="C942" s="66">
        <v>28304457</v>
      </c>
    </row>
    <row r="943" spans="1:3" ht="16.05" customHeight="1">
      <c r="A943" s="15">
        <v>6</v>
      </c>
      <c r="B943" s="15">
        <v>28410870</v>
      </c>
      <c r="C943" s="66">
        <v>28410911</v>
      </c>
    </row>
    <row r="944" spans="1:3" ht="16.05" customHeight="1">
      <c r="A944" s="15">
        <v>6</v>
      </c>
      <c r="B944" s="15">
        <v>28411111</v>
      </c>
      <c r="C944" s="66">
        <v>28411345</v>
      </c>
    </row>
    <row r="945" spans="1:3" ht="16.05" customHeight="1">
      <c r="A945" s="15">
        <v>6</v>
      </c>
      <c r="B945" s="15">
        <v>28554928</v>
      </c>
      <c r="C945" s="66">
        <v>28554974</v>
      </c>
    </row>
    <row r="946" spans="1:3" ht="16.05" customHeight="1">
      <c r="A946" s="15">
        <v>6</v>
      </c>
      <c r="B946" s="15">
        <v>28557199</v>
      </c>
      <c r="C946" s="66">
        <v>28557406</v>
      </c>
    </row>
    <row r="947" spans="1:3" ht="16.05" customHeight="1">
      <c r="A947" s="15">
        <v>6</v>
      </c>
      <c r="B947" s="15">
        <v>28602614</v>
      </c>
      <c r="C947" s="66">
        <v>28602797</v>
      </c>
    </row>
    <row r="948" spans="1:3" ht="16.05" customHeight="1">
      <c r="A948" s="15">
        <v>6</v>
      </c>
      <c r="B948" s="15">
        <v>28602849</v>
      </c>
      <c r="C948" s="66">
        <v>28603219</v>
      </c>
    </row>
    <row r="949" spans="1:3" ht="16.05" customHeight="1">
      <c r="A949" s="15">
        <v>6</v>
      </c>
      <c r="B949" s="15">
        <v>28626470</v>
      </c>
      <c r="C949" s="66">
        <v>28626513</v>
      </c>
    </row>
    <row r="950" spans="1:3" ht="16.05" customHeight="1">
      <c r="A950" s="15">
        <v>6</v>
      </c>
      <c r="B950" s="15">
        <v>28626559</v>
      </c>
      <c r="C950" s="66">
        <v>28626642</v>
      </c>
    </row>
    <row r="951" spans="1:3" ht="16.05" customHeight="1">
      <c r="A951" s="15">
        <v>6</v>
      </c>
      <c r="B951" s="15">
        <v>28642241</v>
      </c>
      <c r="C951" s="66">
        <v>28642472</v>
      </c>
    </row>
    <row r="952" spans="1:3" ht="16.05" customHeight="1">
      <c r="A952" s="15">
        <v>6</v>
      </c>
      <c r="B952" s="15">
        <v>28642513</v>
      </c>
      <c r="C952" s="66">
        <v>28642537</v>
      </c>
    </row>
    <row r="953" spans="1:3" ht="16.05" customHeight="1">
      <c r="A953" s="15">
        <v>6</v>
      </c>
      <c r="B953" s="15">
        <v>28762380</v>
      </c>
      <c r="C953" s="66">
        <v>28762717</v>
      </c>
    </row>
    <row r="954" spans="1:3" ht="16.05" customHeight="1">
      <c r="A954" s="15">
        <v>6</v>
      </c>
      <c r="B954" s="15">
        <v>29596981</v>
      </c>
      <c r="C954" s="66">
        <v>29597011</v>
      </c>
    </row>
    <row r="955" spans="1:3" ht="16.05" customHeight="1">
      <c r="A955" s="15">
        <v>6</v>
      </c>
      <c r="B955" s="15">
        <v>29795844</v>
      </c>
      <c r="C955" s="66">
        <v>29796038</v>
      </c>
    </row>
    <row r="956" spans="1:3" ht="16.05" customHeight="1">
      <c r="A956" s="15">
        <v>6</v>
      </c>
      <c r="B956" s="15">
        <v>29796061</v>
      </c>
      <c r="C956" s="66">
        <v>29796205</v>
      </c>
    </row>
    <row r="957" spans="1:3" ht="16.05" customHeight="1">
      <c r="A957" s="15">
        <v>6</v>
      </c>
      <c r="B957" s="15">
        <v>29975190</v>
      </c>
      <c r="C957" s="66">
        <v>29975275</v>
      </c>
    </row>
    <row r="958" spans="1:3" ht="16.05" customHeight="1">
      <c r="A958" s="15">
        <v>6</v>
      </c>
      <c r="B958" s="15">
        <v>30449076</v>
      </c>
      <c r="C958" s="66">
        <v>30449260</v>
      </c>
    </row>
    <row r="959" spans="1:3" ht="16.05" customHeight="1">
      <c r="A959" s="15">
        <v>6</v>
      </c>
      <c r="B959" s="15">
        <v>30647107</v>
      </c>
      <c r="C959" s="66">
        <v>30647154</v>
      </c>
    </row>
    <row r="960" spans="1:3" ht="16.05" customHeight="1">
      <c r="A960" s="15">
        <v>6</v>
      </c>
      <c r="B960" s="15">
        <v>33161117</v>
      </c>
      <c r="C960" s="66">
        <v>33161400</v>
      </c>
    </row>
    <row r="961" spans="1:3" ht="16.05" customHeight="1">
      <c r="A961" s="15">
        <v>6</v>
      </c>
      <c r="B961" s="15">
        <v>36807020</v>
      </c>
      <c r="C961" s="66">
        <v>36807136</v>
      </c>
    </row>
    <row r="962" spans="1:3" ht="16.05" customHeight="1">
      <c r="A962" s="15">
        <v>6</v>
      </c>
      <c r="B962" s="15">
        <v>36808321</v>
      </c>
      <c r="C962" s="66">
        <v>36808536</v>
      </c>
    </row>
    <row r="963" spans="1:3" ht="16.05" customHeight="1">
      <c r="A963" s="15">
        <v>6</v>
      </c>
      <c r="B963" s="15">
        <v>36808533</v>
      </c>
      <c r="C963" s="66">
        <v>36808653</v>
      </c>
    </row>
    <row r="964" spans="1:3" ht="16.05" customHeight="1">
      <c r="A964" s="15">
        <v>6</v>
      </c>
      <c r="B964" s="15">
        <v>37673489</v>
      </c>
      <c r="C964" s="66">
        <v>37673768</v>
      </c>
    </row>
    <row r="965" spans="1:3" ht="16.05" customHeight="1">
      <c r="A965" s="15">
        <v>6</v>
      </c>
      <c r="B965" s="15">
        <v>391034</v>
      </c>
      <c r="C965" s="66">
        <v>391120</v>
      </c>
    </row>
    <row r="966" spans="1:3" ht="16.05" customHeight="1">
      <c r="A966" s="15">
        <v>6</v>
      </c>
      <c r="B966" s="15">
        <v>391184</v>
      </c>
      <c r="C966" s="66">
        <v>391357</v>
      </c>
    </row>
    <row r="967" spans="1:3" ht="16.05" customHeight="1">
      <c r="A967" s="15">
        <v>6</v>
      </c>
      <c r="B967" s="15">
        <v>39281099</v>
      </c>
      <c r="C967" s="66">
        <v>39281355</v>
      </c>
    </row>
    <row r="968" spans="1:3" ht="16.05" customHeight="1">
      <c r="A968" s="15">
        <v>6</v>
      </c>
      <c r="B968" s="15">
        <v>393088</v>
      </c>
      <c r="C968" s="66">
        <v>393272</v>
      </c>
    </row>
    <row r="969" spans="1:3" ht="16.05" customHeight="1">
      <c r="A969" s="15">
        <v>6</v>
      </c>
      <c r="B969" s="15">
        <v>393279</v>
      </c>
      <c r="C969" s="66">
        <v>393407</v>
      </c>
    </row>
    <row r="970" spans="1:3" ht="16.05" customHeight="1">
      <c r="A970" s="15">
        <v>6</v>
      </c>
      <c r="B970" s="15">
        <v>393441</v>
      </c>
      <c r="C970" s="66">
        <v>393632</v>
      </c>
    </row>
    <row r="971" spans="1:3" ht="16.05" customHeight="1">
      <c r="A971" s="15">
        <v>6</v>
      </c>
      <c r="B971" s="15">
        <v>393631</v>
      </c>
      <c r="C971" s="66">
        <v>393785</v>
      </c>
    </row>
    <row r="972" spans="1:3" ht="16.05" customHeight="1">
      <c r="A972" s="15">
        <v>6</v>
      </c>
      <c r="B972" s="15">
        <v>40567436</v>
      </c>
      <c r="C972" s="66">
        <v>40567683</v>
      </c>
    </row>
    <row r="973" spans="1:3" ht="16.05" customHeight="1">
      <c r="A973" s="15">
        <v>6</v>
      </c>
      <c r="B973" s="15">
        <v>41339422</v>
      </c>
      <c r="C973" s="66">
        <v>41339464</v>
      </c>
    </row>
    <row r="974" spans="1:3" ht="16.05" customHeight="1">
      <c r="A974" s="15">
        <v>6</v>
      </c>
      <c r="B974" s="15">
        <v>41339455</v>
      </c>
      <c r="C974" s="66">
        <v>41339493</v>
      </c>
    </row>
    <row r="975" spans="1:3" ht="16.05" customHeight="1">
      <c r="A975" s="15">
        <v>6</v>
      </c>
      <c r="B975" s="15">
        <v>41606175</v>
      </c>
      <c r="C975" s="66">
        <v>41606492</v>
      </c>
    </row>
    <row r="976" spans="1:3" ht="16.05" customHeight="1">
      <c r="A976" s="15">
        <v>6</v>
      </c>
      <c r="B976" s="15">
        <v>41606595</v>
      </c>
      <c r="C976" s="66">
        <v>41606746</v>
      </c>
    </row>
    <row r="977" spans="1:3" ht="16.05" customHeight="1">
      <c r="A977" s="15">
        <v>6</v>
      </c>
      <c r="B977" s="15">
        <v>41606765</v>
      </c>
      <c r="C977" s="66">
        <v>41606875</v>
      </c>
    </row>
    <row r="978" spans="1:3" ht="16.05" customHeight="1">
      <c r="A978" s="15">
        <v>6</v>
      </c>
      <c r="B978" s="15">
        <v>43211075</v>
      </c>
      <c r="C978" s="66">
        <v>43211382</v>
      </c>
    </row>
    <row r="979" spans="1:3" ht="16.05" customHeight="1">
      <c r="A979" s="15">
        <v>6</v>
      </c>
      <c r="B979" s="15">
        <v>43243444</v>
      </c>
      <c r="C979" s="66">
        <v>43243632</v>
      </c>
    </row>
    <row r="980" spans="1:3" ht="16.05" customHeight="1">
      <c r="A980" s="15">
        <v>6</v>
      </c>
      <c r="B980" s="15">
        <v>43613225</v>
      </c>
      <c r="C980" s="66">
        <v>43613469</v>
      </c>
    </row>
    <row r="981" spans="1:3" ht="16.05" customHeight="1">
      <c r="A981" s="15">
        <v>6</v>
      </c>
      <c r="B981" s="15">
        <v>46459956</v>
      </c>
      <c r="C981" s="66">
        <v>46460009</v>
      </c>
    </row>
    <row r="982" spans="1:3" ht="16.05" customHeight="1">
      <c r="A982" s="15">
        <v>6</v>
      </c>
      <c r="B982" s="15">
        <v>54711532</v>
      </c>
      <c r="C982" s="66">
        <v>54711602</v>
      </c>
    </row>
    <row r="983" spans="1:3" ht="16.05" customHeight="1">
      <c r="A983" s="15">
        <v>6</v>
      </c>
      <c r="B983" s="15">
        <v>5996111</v>
      </c>
      <c r="C983" s="66">
        <v>5996418</v>
      </c>
    </row>
    <row r="984" spans="1:3" ht="16.05" customHeight="1">
      <c r="A984" s="15">
        <v>6</v>
      </c>
      <c r="B984" s="15">
        <v>5996714</v>
      </c>
      <c r="C984" s="66">
        <v>5996829</v>
      </c>
    </row>
    <row r="985" spans="1:3" ht="16.05" customHeight="1">
      <c r="A985" s="15">
        <v>6</v>
      </c>
      <c r="B985" s="15">
        <v>5996963</v>
      </c>
      <c r="C985" s="66">
        <v>5997103</v>
      </c>
    </row>
    <row r="986" spans="1:3" ht="16.05" customHeight="1">
      <c r="A986" s="15">
        <v>6</v>
      </c>
      <c r="B986" s="15">
        <v>5997112</v>
      </c>
      <c r="C986" s="66">
        <v>5997290</v>
      </c>
    </row>
    <row r="987" spans="1:3" ht="16.05" customHeight="1">
      <c r="A987" s="15">
        <v>6</v>
      </c>
      <c r="B987" s="15">
        <v>6002601</v>
      </c>
      <c r="C987" s="66">
        <v>6002805</v>
      </c>
    </row>
    <row r="988" spans="1:3" ht="16.05" customHeight="1">
      <c r="A988" s="15">
        <v>6</v>
      </c>
      <c r="B988" s="15">
        <v>6002808</v>
      </c>
      <c r="C988" s="66">
        <v>6002933</v>
      </c>
    </row>
    <row r="989" spans="1:3" ht="16.05" customHeight="1">
      <c r="A989" s="15">
        <v>6</v>
      </c>
      <c r="B989" s="15">
        <v>6004038</v>
      </c>
      <c r="C989" s="66">
        <v>6004229</v>
      </c>
    </row>
    <row r="990" spans="1:3" ht="16.05" customHeight="1">
      <c r="A990" s="15">
        <v>6</v>
      </c>
      <c r="B990" s="15">
        <v>6004226</v>
      </c>
      <c r="C990" s="66">
        <v>6004298</v>
      </c>
    </row>
    <row r="991" spans="1:3" ht="16.05" customHeight="1">
      <c r="A991" s="15">
        <v>6</v>
      </c>
      <c r="B991" s="15">
        <v>6004293</v>
      </c>
      <c r="C991" s="66">
        <v>6004500</v>
      </c>
    </row>
    <row r="992" spans="1:3" ht="16.05" customHeight="1">
      <c r="A992" s="15">
        <v>6</v>
      </c>
      <c r="B992" s="15">
        <v>6005205</v>
      </c>
      <c r="C992" s="66">
        <v>6005362</v>
      </c>
    </row>
    <row r="993" spans="1:3" ht="16.05" customHeight="1">
      <c r="A993" s="15">
        <v>6</v>
      </c>
      <c r="B993" s="15">
        <v>6005398</v>
      </c>
      <c r="C993" s="66">
        <v>6005436</v>
      </c>
    </row>
    <row r="994" spans="1:3" ht="16.05" customHeight="1">
      <c r="A994" s="15">
        <v>6</v>
      </c>
      <c r="B994" s="15">
        <v>6007254</v>
      </c>
      <c r="C994" s="66">
        <v>6007418</v>
      </c>
    </row>
    <row r="995" spans="1:3" ht="16.05" customHeight="1">
      <c r="A995" s="15">
        <v>6</v>
      </c>
      <c r="B995" s="15">
        <v>6007433</v>
      </c>
      <c r="C995" s="66">
        <v>6007562</v>
      </c>
    </row>
    <row r="996" spans="1:3" ht="16.05" customHeight="1">
      <c r="A996" s="15">
        <v>6</v>
      </c>
      <c r="B996" s="15">
        <v>6007518</v>
      </c>
      <c r="C996" s="66">
        <v>6007647</v>
      </c>
    </row>
    <row r="997" spans="1:3" ht="16.05" customHeight="1">
      <c r="A997" s="15">
        <v>6</v>
      </c>
      <c r="B997" s="15">
        <v>6007665</v>
      </c>
      <c r="C997" s="66">
        <v>6007928</v>
      </c>
    </row>
    <row r="998" spans="1:3" ht="16.05" customHeight="1">
      <c r="A998" s="15">
        <v>6</v>
      </c>
      <c r="B998" s="15">
        <v>70576381</v>
      </c>
      <c r="C998" s="66">
        <v>70576508</v>
      </c>
    </row>
    <row r="999" spans="1:3" ht="16.05" customHeight="1">
      <c r="A999" s="15">
        <v>6</v>
      </c>
      <c r="B999" s="15">
        <v>70576518</v>
      </c>
      <c r="C999" s="66">
        <v>70576609</v>
      </c>
    </row>
    <row r="1000" spans="1:3" ht="16.05" customHeight="1">
      <c r="A1000" s="15">
        <v>6</v>
      </c>
      <c r="B1000" s="15">
        <v>72130794</v>
      </c>
      <c r="C1000" s="66">
        <v>72130911</v>
      </c>
    </row>
    <row r="1001" spans="1:3" ht="16.05" customHeight="1">
      <c r="A1001" s="15">
        <v>6</v>
      </c>
      <c r="B1001" s="15">
        <v>7728804</v>
      </c>
      <c r="C1001" s="66">
        <v>7729063</v>
      </c>
    </row>
    <row r="1002" spans="1:3" ht="16.05" customHeight="1">
      <c r="A1002" s="15">
        <v>6</v>
      </c>
      <c r="B1002" s="15">
        <v>78172227</v>
      </c>
      <c r="C1002" s="66">
        <v>78172500</v>
      </c>
    </row>
    <row r="1003" spans="1:3" ht="16.05" customHeight="1">
      <c r="A1003" s="15">
        <v>6</v>
      </c>
      <c r="B1003" s="15">
        <v>78173067</v>
      </c>
      <c r="C1003" s="66">
        <v>78173188</v>
      </c>
    </row>
    <row r="1004" spans="1:3" ht="16.05" customHeight="1">
      <c r="A1004" s="15">
        <v>6</v>
      </c>
      <c r="B1004" s="15">
        <v>79620234</v>
      </c>
      <c r="C1004" s="66">
        <v>79620257</v>
      </c>
    </row>
    <row r="1005" spans="1:3" ht="16.05" customHeight="1">
      <c r="A1005" s="15">
        <v>6</v>
      </c>
      <c r="B1005" s="15">
        <v>84418561</v>
      </c>
      <c r="C1005" s="66">
        <v>84418737</v>
      </c>
    </row>
    <row r="1006" spans="1:3" ht="16.05" customHeight="1">
      <c r="A1006" s="15">
        <v>6</v>
      </c>
      <c r="B1006" s="15">
        <v>84418759</v>
      </c>
      <c r="C1006" s="66">
        <v>84418963</v>
      </c>
    </row>
    <row r="1007" spans="1:3" ht="16.05" customHeight="1">
      <c r="A1007" s="15">
        <v>6</v>
      </c>
      <c r="B1007" s="15">
        <v>84419021</v>
      </c>
      <c r="C1007" s="66">
        <v>84419250</v>
      </c>
    </row>
    <row r="1008" spans="1:3" ht="16.05" customHeight="1">
      <c r="A1008" s="15">
        <v>6</v>
      </c>
      <c r="B1008" s="15">
        <v>84419249</v>
      </c>
      <c r="C1008" s="66">
        <v>84419471</v>
      </c>
    </row>
    <row r="1009" spans="1:3" ht="16.05" customHeight="1">
      <c r="A1009" s="15">
        <v>6</v>
      </c>
      <c r="B1009" s="15">
        <v>84562672</v>
      </c>
      <c r="C1009" s="66">
        <v>84562733</v>
      </c>
    </row>
    <row r="1010" spans="1:3" ht="16.05" customHeight="1">
      <c r="A1010" s="15">
        <v>6</v>
      </c>
      <c r="B1010" s="15">
        <v>84562773</v>
      </c>
      <c r="C1010" s="66">
        <v>84563102</v>
      </c>
    </row>
    <row r="1011" spans="1:3" ht="16.05" customHeight="1">
      <c r="A1011" s="15">
        <v>6</v>
      </c>
      <c r="B1011" s="15">
        <v>85474023</v>
      </c>
      <c r="C1011" s="66">
        <v>85474194</v>
      </c>
    </row>
    <row r="1012" spans="1:3" ht="16.05" customHeight="1">
      <c r="A1012" s="15">
        <v>6</v>
      </c>
      <c r="B1012" s="15">
        <v>85474308</v>
      </c>
      <c r="C1012" s="66">
        <v>85474432</v>
      </c>
    </row>
    <row r="1013" spans="1:3" ht="16.05" customHeight="1">
      <c r="A1013" s="15">
        <v>6</v>
      </c>
      <c r="B1013" s="15">
        <v>85474443</v>
      </c>
      <c r="C1013" s="66">
        <v>85474591</v>
      </c>
    </row>
    <row r="1014" spans="1:3" ht="16.05" customHeight="1">
      <c r="A1014" s="15">
        <v>6</v>
      </c>
      <c r="B1014" s="15">
        <v>88877122</v>
      </c>
      <c r="C1014" s="66">
        <v>88877226</v>
      </c>
    </row>
    <row r="1015" spans="1:3" ht="16.05" customHeight="1">
      <c r="A1015" s="15">
        <v>6</v>
      </c>
      <c r="B1015" s="15">
        <v>99272057</v>
      </c>
      <c r="C1015" s="66">
        <v>99272248</v>
      </c>
    </row>
    <row r="1016" spans="1:3" ht="16.05" customHeight="1">
      <c r="A1016" s="15">
        <v>6</v>
      </c>
      <c r="B1016" s="15">
        <v>99295944</v>
      </c>
      <c r="C1016" s="66">
        <v>99296243</v>
      </c>
    </row>
    <row r="1017" spans="1:3" ht="16.05" customHeight="1">
      <c r="A1017" s="15">
        <v>6</v>
      </c>
      <c r="B1017" s="15">
        <v>99395887</v>
      </c>
      <c r="C1017" s="66">
        <v>99396137</v>
      </c>
    </row>
    <row r="1018" spans="1:3" ht="16.05" customHeight="1">
      <c r="A1018" s="15">
        <v>7</v>
      </c>
      <c r="B1018" s="15">
        <v>101005963</v>
      </c>
      <c r="C1018" s="66">
        <v>101006264</v>
      </c>
    </row>
    <row r="1019" spans="1:3" ht="16.05" customHeight="1">
      <c r="A1019" s="15">
        <v>7</v>
      </c>
      <c r="B1019" s="15">
        <v>103629429</v>
      </c>
      <c r="C1019" s="66">
        <v>103629461</v>
      </c>
    </row>
    <row r="1020" spans="1:3" ht="16.05" customHeight="1">
      <c r="A1020" s="15">
        <v>7</v>
      </c>
      <c r="B1020" s="15">
        <v>103629521</v>
      </c>
      <c r="C1020" s="66">
        <v>103629715</v>
      </c>
    </row>
    <row r="1021" spans="1:3" ht="16.05" customHeight="1">
      <c r="A1021" s="15">
        <v>7</v>
      </c>
      <c r="B1021" s="15">
        <v>103629915</v>
      </c>
      <c r="C1021" s="66">
        <v>103630126</v>
      </c>
    </row>
    <row r="1022" spans="1:3" ht="16.05" customHeight="1">
      <c r="A1022" s="15">
        <v>7</v>
      </c>
      <c r="B1022" s="15">
        <v>113722862</v>
      </c>
      <c r="C1022" s="66">
        <v>113723052</v>
      </c>
    </row>
    <row r="1023" spans="1:3" ht="16.05" customHeight="1">
      <c r="A1023" s="15">
        <v>7</v>
      </c>
      <c r="B1023" s="15">
        <v>113723088</v>
      </c>
      <c r="C1023" s="66">
        <v>113723332</v>
      </c>
    </row>
    <row r="1024" spans="1:3" ht="16.05" customHeight="1">
      <c r="A1024" s="15">
        <v>7</v>
      </c>
      <c r="B1024" s="15">
        <v>117119801</v>
      </c>
      <c r="C1024" s="66">
        <v>117120070</v>
      </c>
    </row>
    <row r="1025" spans="1:3" ht="16.05" customHeight="1">
      <c r="A1025" s="15">
        <v>7</v>
      </c>
      <c r="B1025" s="15">
        <v>120969711</v>
      </c>
      <c r="C1025" s="66">
        <v>120969836</v>
      </c>
    </row>
    <row r="1026" spans="1:3" ht="16.05" customHeight="1">
      <c r="A1026" s="15">
        <v>7</v>
      </c>
      <c r="B1026" s="15">
        <v>120970460</v>
      </c>
      <c r="C1026" s="66">
        <v>120970527</v>
      </c>
    </row>
    <row r="1027" spans="1:3" ht="16.05" customHeight="1">
      <c r="A1027" s="15">
        <v>7</v>
      </c>
      <c r="B1027" s="15">
        <v>120970601</v>
      </c>
      <c r="C1027" s="66">
        <v>120970766</v>
      </c>
    </row>
    <row r="1028" spans="1:3" ht="16.05" customHeight="1">
      <c r="A1028" s="15">
        <v>7</v>
      </c>
      <c r="B1028" s="15">
        <v>121940784</v>
      </c>
      <c r="C1028" s="66">
        <v>121940998</v>
      </c>
    </row>
    <row r="1029" spans="1:3" ht="16.05" customHeight="1">
      <c r="A1029" s="15">
        <v>7</v>
      </c>
      <c r="B1029" s="15">
        <v>121941033</v>
      </c>
      <c r="C1029" s="66">
        <v>121941112</v>
      </c>
    </row>
    <row r="1030" spans="1:3" ht="16.05" customHeight="1">
      <c r="A1030" s="15">
        <v>7</v>
      </c>
      <c r="B1030" s="15">
        <v>121941892</v>
      </c>
      <c r="C1030" s="66">
        <v>121941903</v>
      </c>
    </row>
    <row r="1031" spans="1:3" ht="16.05" customHeight="1">
      <c r="A1031" s="15">
        <v>7</v>
      </c>
      <c r="B1031" s="15">
        <v>121941923</v>
      </c>
      <c r="C1031" s="66">
        <v>121942179</v>
      </c>
    </row>
    <row r="1032" spans="1:3" ht="16.05" customHeight="1">
      <c r="A1032" s="15">
        <v>7</v>
      </c>
      <c r="B1032" s="15">
        <v>121946433</v>
      </c>
      <c r="C1032" s="66">
        <v>121946586</v>
      </c>
    </row>
    <row r="1033" spans="1:3" ht="16.05" customHeight="1">
      <c r="A1033" s="15">
        <v>7</v>
      </c>
      <c r="B1033" s="15">
        <v>121946585</v>
      </c>
      <c r="C1033" s="66">
        <v>121946686</v>
      </c>
    </row>
    <row r="1034" spans="1:3" ht="16.05" customHeight="1">
      <c r="A1034" s="15">
        <v>7</v>
      </c>
      <c r="B1034" s="15">
        <v>121950113</v>
      </c>
      <c r="C1034" s="66">
        <v>121950435</v>
      </c>
    </row>
    <row r="1035" spans="1:3" ht="16.05" customHeight="1">
      <c r="A1035" s="15">
        <v>7</v>
      </c>
      <c r="B1035" s="15">
        <v>121950451</v>
      </c>
      <c r="C1035" s="66">
        <v>121950672</v>
      </c>
    </row>
    <row r="1036" spans="1:3" ht="16.05" customHeight="1">
      <c r="A1036" s="15">
        <v>7</v>
      </c>
      <c r="B1036" s="15">
        <v>121955566</v>
      </c>
      <c r="C1036" s="66">
        <v>121955644</v>
      </c>
    </row>
    <row r="1037" spans="1:3" ht="16.05" customHeight="1">
      <c r="A1037" s="15">
        <v>7</v>
      </c>
      <c r="B1037" s="15">
        <v>121955712</v>
      </c>
      <c r="C1037" s="66">
        <v>121955867</v>
      </c>
    </row>
    <row r="1038" spans="1:3" ht="16.05" customHeight="1">
      <c r="A1038" s="15">
        <v>7</v>
      </c>
      <c r="B1038" s="15">
        <v>121956469</v>
      </c>
      <c r="C1038" s="66">
        <v>121956812</v>
      </c>
    </row>
    <row r="1039" spans="1:3" ht="16.05" customHeight="1">
      <c r="A1039" s="15">
        <v>7</v>
      </c>
      <c r="B1039" s="15">
        <v>121956841</v>
      </c>
      <c r="C1039" s="66">
        <v>121957056</v>
      </c>
    </row>
    <row r="1040" spans="1:3" ht="16.05" customHeight="1">
      <c r="A1040" s="15">
        <v>7</v>
      </c>
      <c r="B1040" s="15">
        <v>123672027</v>
      </c>
      <c r="C1040" s="66">
        <v>123672138</v>
      </c>
    </row>
    <row r="1041" spans="1:3" ht="16.05" customHeight="1">
      <c r="A1041" s="15">
        <v>7</v>
      </c>
      <c r="B1041" s="15">
        <v>126891192</v>
      </c>
      <c r="C1041" s="66">
        <v>126891490</v>
      </c>
    </row>
    <row r="1042" spans="1:3" ht="16.05" customHeight="1">
      <c r="A1042" s="15">
        <v>7</v>
      </c>
      <c r="B1042" s="15">
        <v>1270478</v>
      </c>
      <c r="C1042" s="66">
        <v>1270771</v>
      </c>
    </row>
    <row r="1043" spans="1:3" ht="16.05" customHeight="1">
      <c r="A1043" s="15">
        <v>7</v>
      </c>
      <c r="B1043" s="15">
        <v>1272507</v>
      </c>
      <c r="C1043" s="66">
        <v>1272716</v>
      </c>
    </row>
    <row r="1044" spans="1:3" ht="16.05" customHeight="1">
      <c r="A1044" s="15">
        <v>7</v>
      </c>
      <c r="B1044" s="15">
        <v>12726031</v>
      </c>
      <c r="C1044" s="66">
        <v>12726105</v>
      </c>
    </row>
    <row r="1045" spans="1:3" ht="16.05" customHeight="1">
      <c r="A1045" s="15">
        <v>7</v>
      </c>
      <c r="B1045" s="15">
        <v>1272708</v>
      </c>
      <c r="C1045" s="66">
        <v>1272877</v>
      </c>
    </row>
    <row r="1046" spans="1:3" ht="16.05" customHeight="1">
      <c r="A1046" s="15">
        <v>7</v>
      </c>
      <c r="B1046" s="15">
        <v>128337578</v>
      </c>
      <c r="C1046" s="66">
        <v>128337829</v>
      </c>
    </row>
    <row r="1047" spans="1:3" ht="16.05" customHeight="1">
      <c r="A1047" s="15">
        <v>7</v>
      </c>
      <c r="B1047" s="15">
        <v>129423204</v>
      </c>
      <c r="C1047" s="66">
        <v>129423360</v>
      </c>
    </row>
    <row r="1048" spans="1:3" ht="16.05" customHeight="1">
      <c r="A1048" s="15">
        <v>7</v>
      </c>
      <c r="B1048" s="15">
        <v>129423399</v>
      </c>
      <c r="C1048" s="66">
        <v>129423507</v>
      </c>
    </row>
    <row r="1049" spans="1:3" ht="16.05" customHeight="1">
      <c r="A1049" s="15">
        <v>7</v>
      </c>
      <c r="B1049" s="15">
        <v>132260125</v>
      </c>
      <c r="C1049" s="66">
        <v>132260190</v>
      </c>
    </row>
    <row r="1050" spans="1:3" ht="16.05" customHeight="1">
      <c r="A1050" s="15">
        <v>7</v>
      </c>
      <c r="B1050" s="15">
        <v>133811693</v>
      </c>
      <c r="C1050" s="66">
        <v>133811709</v>
      </c>
    </row>
    <row r="1051" spans="1:3" ht="16.05" customHeight="1">
      <c r="A1051" s="15">
        <v>7</v>
      </c>
      <c r="B1051" s="15">
        <v>136555836</v>
      </c>
      <c r="C1051" s="66">
        <v>136555904</v>
      </c>
    </row>
    <row r="1052" spans="1:3" ht="16.05" customHeight="1">
      <c r="A1052" s="15">
        <v>7</v>
      </c>
      <c r="B1052" s="15">
        <v>139207966</v>
      </c>
      <c r="C1052" s="66">
        <v>139208066</v>
      </c>
    </row>
    <row r="1053" spans="1:3" ht="16.05" customHeight="1">
      <c r="A1053" s="15">
        <v>7</v>
      </c>
      <c r="B1053" s="15">
        <v>139208681</v>
      </c>
      <c r="C1053" s="66">
        <v>139209000</v>
      </c>
    </row>
    <row r="1054" spans="1:3" ht="16.05" customHeight="1">
      <c r="A1054" s="15">
        <v>7</v>
      </c>
      <c r="B1054" s="15">
        <v>140715192</v>
      </c>
      <c r="C1054" s="66">
        <v>140715252</v>
      </c>
    </row>
    <row r="1055" spans="1:3" ht="16.05" customHeight="1">
      <c r="A1055" s="15">
        <v>7</v>
      </c>
      <c r="B1055" s="15">
        <v>140771897</v>
      </c>
      <c r="C1055" s="66">
        <v>140771972</v>
      </c>
    </row>
    <row r="1056" spans="1:3" ht="16.05" customHeight="1">
      <c r="A1056" s="15">
        <v>7</v>
      </c>
      <c r="B1056" s="15">
        <v>143042504</v>
      </c>
      <c r="C1056" s="66">
        <v>143042530</v>
      </c>
    </row>
    <row r="1057" spans="1:3" ht="16.05" customHeight="1">
      <c r="A1057" s="15">
        <v>7</v>
      </c>
      <c r="B1057" s="15">
        <v>145813319</v>
      </c>
      <c r="C1057" s="66">
        <v>145813621</v>
      </c>
    </row>
    <row r="1058" spans="1:3" ht="16.05" customHeight="1">
      <c r="A1058" s="15">
        <v>7</v>
      </c>
      <c r="B1058" s="15">
        <v>151107682</v>
      </c>
      <c r="C1058" s="66">
        <v>151107804</v>
      </c>
    </row>
    <row r="1059" spans="1:3" ht="16.05" customHeight="1">
      <c r="A1059" s="15">
        <v>7</v>
      </c>
      <c r="B1059" s="15">
        <v>152622257</v>
      </c>
      <c r="C1059" s="66">
        <v>152622305</v>
      </c>
    </row>
    <row r="1060" spans="1:3" ht="16.05" customHeight="1">
      <c r="A1060" s="15">
        <v>7</v>
      </c>
      <c r="B1060" s="15">
        <v>152622339</v>
      </c>
      <c r="C1060" s="66">
        <v>152622627</v>
      </c>
    </row>
    <row r="1061" spans="1:3" ht="16.05" customHeight="1">
      <c r="A1061" s="15">
        <v>7</v>
      </c>
      <c r="B1061" s="15">
        <v>152622616</v>
      </c>
      <c r="C1061" s="66">
        <v>152622753</v>
      </c>
    </row>
    <row r="1062" spans="1:3" ht="16.05" customHeight="1">
      <c r="A1062" s="15">
        <v>7</v>
      </c>
      <c r="B1062" s="15">
        <v>152622782</v>
      </c>
      <c r="C1062" s="66">
        <v>152622985</v>
      </c>
    </row>
    <row r="1063" spans="1:3" ht="16.05" customHeight="1">
      <c r="A1063" s="15">
        <v>7</v>
      </c>
      <c r="B1063" s="15">
        <v>155164833</v>
      </c>
      <c r="C1063" s="66">
        <v>155164979</v>
      </c>
    </row>
    <row r="1064" spans="1:3" ht="16.05" customHeight="1">
      <c r="A1064" s="15">
        <v>7</v>
      </c>
      <c r="B1064" s="15">
        <v>155164984</v>
      </c>
      <c r="C1064" s="66">
        <v>155165150</v>
      </c>
    </row>
    <row r="1065" spans="1:3" ht="16.05" customHeight="1">
      <c r="A1065" s="15">
        <v>7</v>
      </c>
      <c r="B1065" s="15">
        <v>155166125</v>
      </c>
      <c r="C1065" s="66">
        <v>155166296</v>
      </c>
    </row>
    <row r="1066" spans="1:3" ht="16.05" customHeight="1">
      <c r="A1066" s="15">
        <v>7</v>
      </c>
      <c r="B1066" s="15">
        <v>155166685</v>
      </c>
      <c r="C1066" s="66">
        <v>155166873</v>
      </c>
    </row>
    <row r="1067" spans="1:3" ht="16.05" customHeight="1">
      <c r="A1067" s="15">
        <v>7</v>
      </c>
      <c r="B1067" s="15">
        <v>155166884</v>
      </c>
      <c r="C1067" s="66">
        <v>155167212</v>
      </c>
    </row>
    <row r="1068" spans="1:3" ht="16.05" customHeight="1">
      <c r="A1068" s="15">
        <v>7</v>
      </c>
      <c r="B1068" s="15">
        <v>155170883</v>
      </c>
      <c r="C1068" s="66">
        <v>155170963</v>
      </c>
    </row>
    <row r="1069" spans="1:3" ht="16.05" customHeight="1">
      <c r="A1069" s="15">
        <v>7</v>
      </c>
      <c r="B1069" s="15">
        <v>155242511</v>
      </c>
      <c r="C1069" s="66">
        <v>155242659</v>
      </c>
    </row>
    <row r="1070" spans="1:3" ht="16.05" customHeight="1">
      <c r="A1070" s="15">
        <v>7</v>
      </c>
      <c r="B1070" s="15">
        <v>155242669</v>
      </c>
      <c r="C1070" s="66">
        <v>155242845</v>
      </c>
    </row>
    <row r="1071" spans="1:3" ht="16.05" customHeight="1">
      <c r="A1071" s="15">
        <v>7</v>
      </c>
      <c r="B1071" s="15">
        <v>155246081</v>
      </c>
      <c r="C1071" s="66">
        <v>155246118</v>
      </c>
    </row>
    <row r="1072" spans="1:3" ht="16.05" customHeight="1">
      <c r="A1072" s="15">
        <v>7</v>
      </c>
      <c r="B1072" s="15">
        <v>155249314</v>
      </c>
      <c r="C1072" s="66">
        <v>155249413</v>
      </c>
    </row>
    <row r="1073" spans="1:3" ht="16.05" customHeight="1">
      <c r="A1073" s="15">
        <v>7</v>
      </c>
      <c r="B1073" s="15">
        <v>155252549</v>
      </c>
      <c r="C1073" s="66">
        <v>155252754</v>
      </c>
    </row>
    <row r="1074" spans="1:3" ht="16.05" customHeight="1">
      <c r="A1074" s="15">
        <v>7</v>
      </c>
      <c r="B1074" s="15">
        <v>155252791</v>
      </c>
      <c r="C1074" s="66">
        <v>155252822</v>
      </c>
    </row>
    <row r="1075" spans="1:3" ht="16.05" customHeight="1">
      <c r="A1075" s="15">
        <v>7</v>
      </c>
      <c r="B1075" s="15">
        <v>155258735</v>
      </c>
      <c r="C1075" s="66">
        <v>155258992</v>
      </c>
    </row>
    <row r="1076" spans="1:3" ht="16.05" customHeight="1">
      <c r="A1076" s="15">
        <v>7</v>
      </c>
      <c r="B1076" s="15">
        <v>155259519</v>
      </c>
      <c r="C1076" s="66">
        <v>155259977</v>
      </c>
    </row>
    <row r="1077" spans="1:3" ht="16.05" customHeight="1">
      <c r="A1077" s="15">
        <v>7</v>
      </c>
      <c r="B1077" s="15">
        <v>155259969</v>
      </c>
      <c r="C1077" s="66">
        <v>155260018</v>
      </c>
    </row>
    <row r="1078" spans="1:3" ht="16.05" customHeight="1">
      <c r="A1078" s="15">
        <v>7</v>
      </c>
      <c r="B1078" s="15">
        <v>155302765</v>
      </c>
      <c r="C1078" s="66">
        <v>155303005</v>
      </c>
    </row>
    <row r="1079" spans="1:3" ht="16.05" customHeight="1">
      <c r="A1079" s="15">
        <v>7</v>
      </c>
      <c r="B1079" s="15">
        <v>155596018</v>
      </c>
      <c r="C1079" s="66">
        <v>155596295</v>
      </c>
    </row>
    <row r="1080" spans="1:3" ht="16.05" customHeight="1">
      <c r="A1080" s="15">
        <v>7</v>
      </c>
      <c r="B1080" s="15">
        <v>157128982</v>
      </c>
      <c r="C1080" s="66">
        <v>157128998</v>
      </c>
    </row>
    <row r="1081" spans="1:3" ht="16.05" customHeight="1">
      <c r="A1081" s="15">
        <v>7</v>
      </c>
      <c r="B1081" s="15">
        <v>157129010</v>
      </c>
      <c r="C1081" s="66">
        <v>157129330</v>
      </c>
    </row>
    <row r="1082" spans="1:3" ht="16.05" customHeight="1">
      <c r="A1082" s="15">
        <v>7</v>
      </c>
      <c r="B1082" s="15">
        <v>15726187</v>
      </c>
      <c r="C1082" s="66">
        <v>15726226</v>
      </c>
    </row>
    <row r="1083" spans="1:3" ht="16.05" customHeight="1">
      <c r="A1083" s="15">
        <v>7</v>
      </c>
      <c r="B1083" s="15">
        <v>15726343</v>
      </c>
      <c r="C1083" s="66">
        <v>15726647</v>
      </c>
    </row>
    <row r="1084" spans="1:3" ht="16.05" customHeight="1">
      <c r="A1084" s="15">
        <v>7</v>
      </c>
      <c r="B1084" s="15">
        <v>15726697</v>
      </c>
      <c r="C1084" s="66">
        <v>15726881</v>
      </c>
    </row>
    <row r="1085" spans="1:3" ht="16.05" customHeight="1">
      <c r="A1085" s="15">
        <v>7</v>
      </c>
      <c r="B1085" s="15">
        <v>15726887</v>
      </c>
      <c r="C1085" s="66">
        <v>15726979</v>
      </c>
    </row>
    <row r="1086" spans="1:3" ht="16.05" customHeight="1">
      <c r="A1086" s="15">
        <v>7</v>
      </c>
      <c r="B1086" s="15">
        <v>157482355</v>
      </c>
      <c r="C1086" s="66">
        <v>157482619</v>
      </c>
    </row>
    <row r="1087" spans="1:3" ht="16.05" customHeight="1">
      <c r="A1087" s="15">
        <v>7</v>
      </c>
      <c r="B1087" s="15">
        <v>157483394</v>
      </c>
      <c r="C1087" s="66">
        <v>157483617</v>
      </c>
    </row>
    <row r="1088" spans="1:3" ht="16.05" customHeight="1">
      <c r="A1088" s="15">
        <v>7</v>
      </c>
      <c r="B1088" s="15">
        <v>158936503</v>
      </c>
      <c r="C1088" s="66">
        <v>158936556</v>
      </c>
    </row>
    <row r="1089" spans="1:3" ht="16.05" customHeight="1">
      <c r="A1089" s="15">
        <v>7</v>
      </c>
      <c r="B1089" s="15">
        <v>158936555</v>
      </c>
      <c r="C1089" s="66">
        <v>158936872</v>
      </c>
    </row>
    <row r="1090" spans="1:3" ht="16.05" customHeight="1">
      <c r="A1090" s="15">
        <v>7</v>
      </c>
      <c r="B1090" s="15">
        <v>158936953</v>
      </c>
      <c r="C1090" s="66">
        <v>158937144</v>
      </c>
    </row>
    <row r="1091" spans="1:3" ht="16.05" customHeight="1">
      <c r="A1091" s="15">
        <v>7</v>
      </c>
      <c r="B1091" s="15">
        <v>158937139</v>
      </c>
      <c r="C1091" s="66">
        <v>158937280</v>
      </c>
    </row>
    <row r="1092" spans="1:3" ht="16.05" customHeight="1">
      <c r="A1092" s="15">
        <v>7</v>
      </c>
      <c r="B1092" s="15">
        <v>158937898</v>
      </c>
      <c r="C1092" s="66">
        <v>158938156</v>
      </c>
    </row>
    <row r="1093" spans="1:3" ht="16.05" customHeight="1">
      <c r="A1093" s="15">
        <v>7</v>
      </c>
      <c r="B1093" s="15">
        <v>1707065</v>
      </c>
      <c r="C1093" s="66">
        <v>1707178</v>
      </c>
    </row>
    <row r="1094" spans="1:3" ht="16.05" customHeight="1">
      <c r="A1094" s="15">
        <v>7</v>
      </c>
      <c r="B1094" s="15">
        <v>19146982</v>
      </c>
      <c r="C1094" s="66">
        <v>19147076</v>
      </c>
    </row>
    <row r="1095" spans="1:3" ht="16.05" customHeight="1">
      <c r="A1095" s="15">
        <v>7</v>
      </c>
      <c r="B1095" s="15">
        <v>19147091</v>
      </c>
      <c r="C1095" s="66">
        <v>19147313</v>
      </c>
    </row>
    <row r="1096" spans="1:3" ht="16.05" customHeight="1">
      <c r="A1096" s="15">
        <v>7</v>
      </c>
      <c r="B1096" s="15">
        <v>19156471</v>
      </c>
      <c r="C1096" s="66">
        <v>19156651</v>
      </c>
    </row>
    <row r="1097" spans="1:3" ht="16.05" customHeight="1">
      <c r="A1097" s="15">
        <v>7</v>
      </c>
      <c r="B1097" s="15">
        <v>19156648</v>
      </c>
      <c r="C1097" s="66">
        <v>19156794</v>
      </c>
    </row>
    <row r="1098" spans="1:3" ht="16.05" customHeight="1">
      <c r="A1098" s="15">
        <v>7</v>
      </c>
      <c r="B1098" s="15">
        <v>19156733</v>
      </c>
      <c r="C1098" s="66">
        <v>19156918</v>
      </c>
    </row>
    <row r="1099" spans="1:3" ht="16.05" customHeight="1">
      <c r="A1099" s="15">
        <v>7</v>
      </c>
      <c r="B1099" s="15">
        <v>19156916</v>
      </c>
      <c r="C1099" s="66">
        <v>19157062</v>
      </c>
    </row>
    <row r="1100" spans="1:3" ht="16.05" customHeight="1">
      <c r="A1100" s="15">
        <v>7</v>
      </c>
      <c r="B1100" s="15">
        <v>19157018</v>
      </c>
      <c r="C1100" s="66">
        <v>19157249</v>
      </c>
    </row>
    <row r="1101" spans="1:3" ht="16.05" customHeight="1">
      <c r="A1101" s="15">
        <v>7</v>
      </c>
      <c r="B1101" s="15">
        <v>19157258</v>
      </c>
      <c r="C1101" s="66">
        <v>19157506</v>
      </c>
    </row>
    <row r="1102" spans="1:3" ht="16.05" customHeight="1">
      <c r="A1102" s="15">
        <v>7</v>
      </c>
      <c r="B1102" s="15">
        <v>19812439</v>
      </c>
      <c r="C1102" s="66">
        <v>19812450</v>
      </c>
    </row>
    <row r="1103" spans="1:3" ht="16.05" customHeight="1">
      <c r="A1103" s="15">
        <v>7</v>
      </c>
      <c r="B1103" s="15">
        <v>19812474</v>
      </c>
      <c r="C1103" s="66">
        <v>19812766</v>
      </c>
    </row>
    <row r="1104" spans="1:3" ht="16.05" customHeight="1">
      <c r="A1104" s="15">
        <v>7</v>
      </c>
      <c r="B1104" s="15">
        <v>19812845</v>
      </c>
      <c r="C1104" s="66">
        <v>19813034</v>
      </c>
    </row>
    <row r="1105" spans="1:3" ht="16.05" customHeight="1">
      <c r="A1105" s="15">
        <v>7</v>
      </c>
      <c r="B1105" s="15">
        <v>19813074</v>
      </c>
      <c r="C1105" s="66">
        <v>19813166</v>
      </c>
    </row>
    <row r="1106" spans="1:3" ht="16.05" customHeight="1">
      <c r="A1106" s="15">
        <v>7</v>
      </c>
      <c r="B1106" s="15">
        <v>21209173</v>
      </c>
      <c r="C1106" s="66">
        <v>21209310</v>
      </c>
    </row>
    <row r="1107" spans="1:3" ht="16.05" customHeight="1">
      <c r="A1107" s="15">
        <v>7</v>
      </c>
      <c r="B1107" s="15">
        <v>21209333</v>
      </c>
      <c r="C1107" s="66">
        <v>21209501</v>
      </c>
    </row>
    <row r="1108" spans="1:3" ht="16.05" customHeight="1">
      <c r="A1108" s="15">
        <v>7</v>
      </c>
      <c r="B1108" s="15">
        <v>2271645</v>
      </c>
      <c r="C1108" s="66">
        <v>2271820</v>
      </c>
    </row>
    <row r="1109" spans="1:3" ht="16.05" customHeight="1">
      <c r="A1109" s="15">
        <v>7</v>
      </c>
      <c r="B1109" s="15">
        <v>23513530</v>
      </c>
      <c r="C1109" s="66">
        <v>23513761</v>
      </c>
    </row>
    <row r="1110" spans="1:3" ht="16.05" customHeight="1">
      <c r="A1110" s="15">
        <v>7</v>
      </c>
      <c r="B1110" s="15">
        <v>24797591</v>
      </c>
      <c r="C1110" s="66">
        <v>24797602</v>
      </c>
    </row>
    <row r="1111" spans="1:3" ht="16.05" customHeight="1">
      <c r="A1111" s="15">
        <v>7</v>
      </c>
      <c r="B1111" s="15">
        <v>25896653</v>
      </c>
      <c r="C1111" s="66">
        <v>25896930</v>
      </c>
    </row>
    <row r="1112" spans="1:3" ht="16.05" customHeight="1">
      <c r="A1112" s="15">
        <v>7</v>
      </c>
      <c r="B1112" s="15">
        <v>27135338</v>
      </c>
      <c r="C1112" s="66">
        <v>27135938</v>
      </c>
    </row>
    <row r="1113" spans="1:3" ht="16.05" customHeight="1">
      <c r="A1113" s="15">
        <v>7</v>
      </c>
      <c r="B1113" s="15">
        <v>27136024</v>
      </c>
      <c r="C1113" s="66">
        <v>27136327</v>
      </c>
    </row>
    <row r="1114" spans="1:3" ht="16.05" customHeight="1">
      <c r="A1114" s="15">
        <v>7</v>
      </c>
      <c r="B1114" s="15">
        <v>27136358</v>
      </c>
      <c r="C1114" s="66">
        <v>27136656</v>
      </c>
    </row>
    <row r="1115" spans="1:3" ht="16.05" customHeight="1">
      <c r="A1115" s="15">
        <v>7</v>
      </c>
      <c r="B1115" s="15">
        <v>27190932</v>
      </c>
      <c r="C1115" s="66">
        <v>27191146</v>
      </c>
    </row>
    <row r="1116" spans="1:3" ht="16.05" customHeight="1">
      <c r="A1116" s="15">
        <v>7</v>
      </c>
      <c r="B1116" s="15">
        <v>27191200</v>
      </c>
      <c r="C1116" s="66">
        <v>27191265</v>
      </c>
    </row>
    <row r="1117" spans="1:3" ht="16.05" customHeight="1">
      <c r="A1117" s="15">
        <v>7</v>
      </c>
      <c r="B1117" s="15">
        <v>27195789</v>
      </c>
      <c r="C1117" s="66">
        <v>27195939</v>
      </c>
    </row>
    <row r="1118" spans="1:3" ht="16.05" customHeight="1">
      <c r="A1118" s="15">
        <v>7</v>
      </c>
      <c r="B1118" s="15">
        <v>27195934</v>
      </c>
      <c r="C1118" s="66">
        <v>27196126</v>
      </c>
    </row>
    <row r="1119" spans="1:3" ht="16.05" customHeight="1">
      <c r="A1119" s="15">
        <v>7</v>
      </c>
      <c r="B1119" s="15">
        <v>27196112</v>
      </c>
      <c r="C1119" s="66">
        <v>27196377</v>
      </c>
    </row>
    <row r="1120" spans="1:3" ht="16.05" customHeight="1">
      <c r="A1120" s="15">
        <v>7</v>
      </c>
      <c r="B1120" s="15">
        <v>27196400</v>
      </c>
      <c r="C1120" s="66">
        <v>27196536</v>
      </c>
    </row>
    <row r="1121" spans="1:3" ht="16.05" customHeight="1">
      <c r="A1121" s="15">
        <v>7</v>
      </c>
      <c r="B1121" s="15">
        <v>27204829</v>
      </c>
      <c r="C1121" s="66">
        <v>27205120</v>
      </c>
    </row>
    <row r="1122" spans="1:3" ht="16.05" customHeight="1">
      <c r="A1122" s="15">
        <v>7</v>
      </c>
      <c r="B1122" s="15">
        <v>27205154</v>
      </c>
      <c r="C1122" s="66">
        <v>27205427</v>
      </c>
    </row>
    <row r="1123" spans="1:3" ht="16.05" customHeight="1">
      <c r="A1123" s="15">
        <v>7</v>
      </c>
      <c r="B1123" s="15">
        <v>27205447</v>
      </c>
      <c r="C1123" s="66">
        <v>27205678</v>
      </c>
    </row>
    <row r="1124" spans="1:3" ht="16.05" customHeight="1">
      <c r="A1124" s="15">
        <v>7</v>
      </c>
      <c r="B1124" s="15">
        <v>27209638</v>
      </c>
      <c r="C1124" s="66">
        <v>27209796</v>
      </c>
    </row>
    <row r="1125" spans="1:3" ht="16.05" customHeight="1">
      <c r="A1125" s="15">
        <v>7</v>
      </c>
      <c r="B1125" s="15">
        <v>27209799</v>
      </c>
      <c r="C1125" s="66">
        <v>27209932</v>
      </c>
    </row>
    <row r="1126" spans="1:3" ht="16.05" customHeight="1">
      <c r="A1126" s="15">
        <v>7</v>
      </c>
      <c r="B1126" s="15">
        <v>27213441</v>
      </c>
      <c r="C1126" s="66">
        <v>27213631</v>
      </c>
    </row>
    <row r="1127" spans="1:3" ht="16.05" customHeight="1">
      <c r="A1127" s="15">
        <v>7</v>
      </c>
      <c r="B1127" s="15">
        <v>27213626</v>
      </c>
      <c r="C1127" s="66">
        <v>27213785</v>
      </c>
    </row>
    <row r="1128" spans="1:3" ht="16.05" customHeight="1">
      <c r="A1128" s="15">
        <v>7</v>
      </c>
      <c r="B1128" s="15">
        <v>27213776</v>
      </c>
      <c r="C1128" s="66">
        <v>27213899</v>
      </c>
    </row>
    <row r="1129" spans="1:3" ht="16.05" customHeight="1">
      <c r="A1129" s="15">
        <v>7</v>
      </c>
      <c r="B1129" s="15">
        <v>27213945</v>
      </c>
      <c r="C1129" s="66">
        <v>27214083</v>
      </c>
    </row>
    <row r="1130" spans="1:3" ht="16.05" customHeight="1">
      <c r="A1130" s="15">
        <v>7</v>
      </c>
      <c r="B1130" s="15">
        <v>27214114</v>
      </c>
      <c r="C1130" s="66">
        <v>27214226</v>
      </c>
    </row>
    <row r="1131" spans="1:3" ht="16.05" customHeight="1">
      <c r="A1131" s="15">
        <v>7</v>
      </c>
      <c r="B1131" s="15">
        <v>27224157</v>
      </c>
      <c r="C1131" s="66">
        <v>27224337</v>
      </c>
    </row>
    <row r="1132" spans="1:3" ht="16.05" customHeight="1">
      <c r="A1132" s="15">
        <v>7</v>
      </c>
      <c r="B1132" s="15">
        <v>27224338</v>
      </c>
      <c r="C1132" s="66">
        <v>27224517</v>
      </c>
    </row>
    <row r="1133" spans="1:3" ht="16.05" customHeight="1">
      <c r="A1133" s="15">
        <v>7</v>
      </c>
      <c r="B1133" s="15">
        <v>27239526</v>
      </c>
      <c r="C1133" s="66">
        <v>27239690</v>
      </c>
    </row>
    <row r="1134" spans="1:3" ht="16.05" customHeight="1">
      <c r="A1134" s="15">
        <v>7</v>
      </c>
      <c r="B1134" s="15">
        <v>27240077</v>
      </c>
      <c r="C1134" s="66">
        <v>27240187</v>
      </c>
    </row>
    <row r="1135" spans="1:3" ht="16.05" customHeight="1">
      <c r="A1135" s="15">
        <v>7</v>
      </c>
      <c r="B1135" s="15">
        <v>27240241</v>
      </c>
      <c r="C1135" s="66">
        <v>27240373</v>
      </c>
    </row>
    <row r="1136" spans="1:3" ht="16.05" customHeight="1">
      <c r="A1136" s="15">
        <v>7</v>
      </c>
      <c r="B1136" s="15">
        <v>27241865</v>
      </c>
      <c r="C1136" s="66">
        <v>27242103</v>
      </c>
    </row>
    <row r="1137" spans="1:3" ht="16.05" customHeight="1">
      <c r="A1137" s="15">
        <v>7</v>
      </c>
      <c r="B1137" s="15">
        <v>27242137</v>
      </c>
      <c r="C1137" s="66">
        <v>27242195</v>
      </c>
    </row>
    <row r="1138" spans="1:3" ht="16.05" customHeight="1">
      <c r="A1138" s="15">
        <v>7</v>
      </c>
      <c r="B1138" s="15">
        <v>27244526</v>
      </c>
      <c r="C1138" s="66">
        <v>27244561</v>
      </c>
    </row>
    <row r="1139" spans="1:3" ht="16.05" customHeight="1">
      <c r="A1139" s="15">
        <v>7</v>
      </c>
      <c r="B1139" s="15">
        <v>27244559</v>
      </c>
      <c r="C1139" s="66">
        <v>27244663</v>
      </c>
    </row>
    <row r="1140" spans="1:3" ht="16.05" customHeight="1">
      <c r="A1140" s="15">
        <v>7</v>
      </c>
      <c r="B1140" s="15">
        <v>27244668</v>
      </c>
      <c r="C1140" s="66">
        <v>27244729</v>
      </c>
    </row>
    <row r="1141" spans="1:3" ht="16.05" customHeight="1">
      <c r="A1141" s="15">
        <v>7</v>
      </c>
      <c r="B1141" s="15">
        <v>27282082</v>
      </c>
      <c r="C1141" s="66">
        <v>27282150</v>
      </c>
    </row>
    <row r="1142" spans="1:3" ht="16.05" customHeight="1">
      <c r="A1142" s="15">
        <v>7</v>
      </c>
      <c r="B1142" s="15">
        <v>27282228</v>
      </c>
      <c r="C1142" s="66">
        <v>27282603</v>
      </c>
    </row>
    <row r="1143" spans="1:3" ht="16.05" customHeight="1">
      <c r="A1143" s="15">
        <v>7</v>
      </c>
      <c r="B1143" s="15">
        <v>30029933</v>
      </c>
      <c r="C1143" s="66">
        <v>30029944</v>
      </c>
    </row>
    <row r="1144" spans="1:3" ht="16.05" customHeight="1">
      <c r="A1144" s="15">
        <v>7</v>
      </c>
      <c r="B1144" s="15">
        <v>30722145</v>
      </c>
      <c r="C1144" s="66">
        <v>30722439</v>
      </c>
    </row>
    <row r="1145" spans="1:3" ht="16.05" customHeight="1">
      <c r="A1145" s="15">
        <v>7</v>
      </c>
      <c r="B1145" s="15">
        <v>30722439</v>
      </c>
      <c r="C1145" s="66">
        <v>30722498</v>
      </c>
    </row>
    <row r="1146" spans="1:3" ht="16.05" customHeight="1">
      <c r="A1146" s="15">
        <v>7</v>
      </c>
      <c r="B1146" s="15">
        <v>31093014</v>
      </c>
      <c r="C1146" s="66">
        <v>31093125</v>
      </c>
    </row>
    <row r="1147" spans="1:3" ht="16.05" customHeight="1">
      <c r="A1147" s="15">
        <v>7</v>
      </c>
      <c r="B1147" s="15">
        <v>32110067</v>
      </c>
      <c r="C1147" s="66">
        <v>32110245</v>
      </c>
    </row>
    <row r="1148" spans="1:3" ht="16.05" customHeight="1">
      <c r="A1148" s="15">
        <v>7</v>
      </c>
      <c r="B1148" s="15">
        <v>32110631</v>
      </c>
      <c r="C1148" s="66">
        <v>32110802</v>
      </c>
    </row>
    <row r="1149" spans="1:3" ht="16.05" customHeight="1">
      <c r="A1149" s="15">
        <v>7</v>
      </c>
      <c r="B1149" s="15">
        <v>32339049</v>
      </c>
      <c r="C1149" s="66">
        <v>32339101</v>
      </c>
    </row>
    <row r="1150" spans="1:3" ht="16.05" customHeight="1">
      <c r="A1150" s="15">
        <v>7</v>
      </c>
      <c r="B1150" s="15">
        <v>33943518</v>
      </c>
      <c r="C1150" s="66">
        <v>33943552</v>
      </c>
    </row>
    <row r="1151" spans="1:3" ht="16.05" customHeight="1">
      <c r="A1151" s="15">
        <v>7</v>
      </c>
      <c r="B1151" s="15">
        <v>33943661</v>
      </c>
      <c r="C1151" s="66">
        <v>33943831</v>
      </c>
    </row>
    <row r="1152" spans="1:3" ht="16.05" customHeight="1">
      <c r="A1152" s="15">
        <v>7</v>
      </c>
      <c r="B1152" s="15">
        <v>35293583</v>
      </c>
      <c r="C1152" s="66">
        <v>35293765</v>
      </c>
    </row>
    <row r="1153" spans="1:3" ht="16.05" customHeight="1">
      <c r="A1153" s="15">
        <v>7</v>
      </c>
      <c r="B1153" s="15">
        <v>35293762</v>
      </c>
      <c r="C1153" s="66">
        <v>35293898</v>
      </c>
    </row>
    <row r="1154" spans="1:3" ht="16.05" customHeight="1">
      <c r="A1154" s="15">
        <v>7</v>
      </c>
      <c r="B1154" s="15">
        <v>37487458</v>
      </c>
      <c r="C1154" s="66">
        <v>37487639</v>
      </c>
    </row>
    <row r="1155" spans="1:3" ht="16.05" customHeight="1">
      <c r="A1155" s="15">
        <v>7</v>
      </c>
      <c r="B1155" s="15">
        <v>38670631</v>
      </c>
      <c r="C1155" s="66">
        <v>38671142</v>
      </c>
    </row>
    <row r="1156" spans="1:3" ht="16.05" customHeight="1">
      <c r="A1156" s="15">
        <v>7</v>
      </c>
      <c r="B1156" s="15">
        <v>39649219</v>
      </c>
      <c r="C1156" s="66">
        <v>39649368</v>
      </c>
    </row>
    <row r="1157" spans="1:3" ht="16.05" customHeight="1">
      <c r="A1157" s="15">
        <v>7</v>
      </c>
      <c r="B1157" s="15">
        <v>39649382</v>
      </c>
      <c r="C1157" s="66">
        <v>39649515</v>
      </c>
    </row>
    <row r="1158" spans="1:3" ht="16.05" customHeight="1">
      <c r="A1158" s="15">
        <v>7</v>
      </c>
      <c r="B1158" s="15">
        <v>42267891</v>
      </c>
      <c r="C1158" s="66">
        <v>42267916</v>
      </c>
    </row>
    <row r="1159" spans="1:3" ht="16.05" customHeight="1">
      <c r="A1159" s="15">
        <v>7</v>
      </c>
      <c r="B1159" s="15">
        <v>43151981</v>
      </c>
      <c r="C1159" s="66">
        <v>43152149</v>
      </c>
    </row>
    <row r="1160" spans="1:3" ht="16.05" customHeight="1">
      <c r="A1160" s="15">
        <v>7</v>
      </c>
      <c r="B1160" s="15">
        <v>43152204</v>
      </c>
      <c r="C1160" s="66">
        <v>43152297</v>
      </c>
    </row>
    <row r="1161" spans="1:3" ht="16.05" customHeight="1">
      <c r="A1161" s="15">
        <v>7</v>
      </c>
      <c r="B1161" s="15">
        <v>43152303</v>
      </c>
      <c r="C1161" s="66">
        <v>43152467</v>
      </c>
    </row>
    <row r="1162" spans="1:3" ht="16.05" customHeight="1">
      <c r="A1162" s="15">
        <v>7</v>
      </c>
      <c r="B1162" s="15">
        <v>43152463</v>
      </c>
      <c r="C1162" s="66">
        <v>43152635</v>
      </c>
    </row>
    <row r="1163" spans="1:3" ht="16.05" customHeight="1">
      <c r="A1163" s="15">
        <v>7</v>
      </c>
      <c r="B1163" s="15">
        <v>43152884</v>
      </c>
      <c r="C1163" s="66">
        <v>43153398</v>
      </c>
    </row>
    <row r="1164" spans="1:3" ht="16.05" customHeight="1">
      <c r="A1164" s="15">
        <v>7</v>
      </c>
      <c r="B1164" s="15">
        <v>44144505</v>
      </c>
      <c r="C1164" s="66">
        <v>44144587</v>
      </c>
    </row>
    <row r="1165" spans="1:3" ht="16.05" customHeight="1">
      <c r="A1165" s="15">
        <v>7</v>
      </c>
      <c r="B1165" s="15">
        <v>44349217</v>
      </c>
      <c r="C1165" s="66">
        <v>44349301</v>
      </c>
    </row>
    <row r="1166" spans="1:3" ht="16.05" customHeight="1">
      <c r="A1166" s="15">
        <v>7</v>
      </c>
      <c r="B1166" s="15">
        <v>44349294</v>
      </c>
      <c r="C1166" s="66">
        <v>44349563</v>
      </c>
    </row>
    <row r="1167" spans="1:3" ht="16.05" customHeight="1">
      <c r="A1167" s="15">
        <v>7</v>
      </c>
      <c r="B1167" s="15">
        <v>47576794</v>
      </c>
      <c r="C1167" s="66">
        <v>47577107</v>
      </c>
    </row>
    <row r="1168" spans="1:3" ht="16.05" customHeight="1">
      <c r="A1168" s="15">
        <v>7</v>
      </c>
      <c r="B1168" s="15">
        <v>49812956</v>
      </c>
      <c r="C1168" s="66">
        <v>49813166</v>
      </c>
    </row>
    <row r="1169" spans="1:3" ht="16.05" customHeight="1">
      <c r="A1169" s="15">
        <v>7</v>
      </c>
      <c r="B1169" s="15">
        <v>49813325</v>
      </c>
      <c r="C1169" s="66">
        <v>49813514</v>
      </c>
    </row>
    <row r="1170" spans="1:3" ht="16.05" customHeight="1">
      <c r="A1170" s="15">
        <v>7</v>
      </c>
      <c r="B1170" s="15">
        <v>49813505</v>
      </c>
      <c r="C1170" s="66">
        <v>49813659</v>
      </c>
    </row>
    <row r="1171" spans="1:3" ht="16.05" customHeight="1">
      <c r="A1171" s="15">
        <v>7</v>
      </c>
      <c r="B1171" s="15">
        <v>49815193</v>
      </c>
      <c r="C1171" s="66">
        <v>49815379</v>
      </c>
    </row>
    <row r="1172" spans="1:3" ht="16.05" customHeight="1">
      <c r="A1172" s="15">
        <v>7</v>
      </c>
      <c r="B1172" s="15">
        <v>49815379</v>
      </c>
      <c r="C1172" s="66">
        <v>49815532</v>
      </c>
    </row>
    <row r="1173" spans="1:3" ht="16.05" customHeight="1">
      <c r="A1173" s="15">
        <v>7</v>
      </c>
      <c r="B1173" s="15">
        <v>49815469</v>
      </c>
      <c r="C1173" s="66">
        <v>49815698</v>
      </c>
    </row>
    <row r="1174" spans="1:3" ht="16.05" customHeight="1">
      <c r="A1174" s="15">
        <v>7</v>
      </c>
      <c r="B1174" s="15">
        <v>49815719</v>
      </c>
      <c r="C1174" s="66">
        <v>49815757</v>
      </c>
    </row>
    <row r="1175" spans="1:3" ht="16.05" customHeight="1">
      <c r="A1175" s="15">
        <v>7</v>
      </c>
      <c r="B1175" s="15">
        <v>4998296</v>
      </c>
      <c r="C1175" s="66">
        <v>4998438</v>
      </c>
    </row>
    <row r="1176" spans="1:3" ht="16.05" customHeight="1">
      <c r="A1176" s="15">
        <v>7</v>
      </c>
      <c r="B1176" s="15">
        <v>4998435</v>
      </c>
      <c r="C1176" s="66">
        <v>4998641</v>
      </c>
    </row>
    <row r="1177" spans="1:3" ht="16.05" customHeight="1">
      <c r="A1177" s="15">
        <v>7</v>
      </c>
      <c r="B1177" s="15">
        <v>4998543</v>
      </c>
      <c r="C1177" s="66">
        <v>4998695</v>
      </c>
    </row>
    <row r="1178" spans="1:3" ht="16.05" customHeight="1">
      <c r="A1178" s="15">
        <v>7</v>
      </c>
      <c r="B1178" s="15">
        <v>4998709</v>
      </c>
      <c r="C1178" s="66">
        <v>4998836</v>
      </c>
    </row>
    <row r="1179" spans="1:3" ht="16.05" customHeight="1">
      <c r="A1179" s="15">
        <v>7</v>
      </c>
      <c r="B1179" s="15">
        <v>50343207</v>
      </c>
      <c r="C1179" s="66">
        <v>50343308</v>
      </c>
    </row>
    <row r="1180" spans="1:3" ht="16.05" customHeight="1">
      <c r="A1180" s="15">
        <v>7</v>
      </c>
      <c r="B1180" s="15">
        <v>54609485</v>
      </c>
      <c r="C1180" s="66">
        <v>54609712</v>
      </c>
    </row>
    <row r="1181" spans="1:3" ht="16.05" customHeight="1">
      <c r="A1181" s="15">
        <v>7</v>
      </c>
      <c r="B1181" s="15">
        <v>54609730</v>
      </c>
      <c r="C1181" s="66">
        <v>54609947</v>
      </c>
    </row>
    <row r="1182" spans="1:3" ht="16.05" customHeight="1">
      <c r="A1182" s="15">
        <v>7</v>
      </c>
      <c r="B1182" s="15">
        <v>54609863</v>
      </c>
      <c r="C1182" s="66">
        <v>54609998</v>
      </c>
    </row>
    <row r="1183" spans="1:3" ht="16.05" customHeight="1">
      <c r="A1183" s="15">
        <v>7</v>
      </c>
      <c r="B1183" s="15">
        <v>54610011</v>
      </c>
      <c r="C1183" s="66">
        <v>54610183</v>
      </c>
    </row>
    <row r="1184" spans="1:3" ht="16.05" customHeight="1">
      <c r="A1184" s="15">
        <v>7</v>
      </c>
      <c r="B1184" s="15">
        <v>55086055</v>
      </c>
      <c r="C1184" s="66">
        <v>55086097</v>
      </c>
    </row>
    <row r="1185" spans="1:3" ht="16.05" customHeight="1">
      <c r="A1185" s="15">
        <v>7</v>
      </c>
      <c r="B1185" s="15">
        <v>55088173</v>
      </c>
      <c r="C1185" s="66">
        <v>55088184</v>
      </c>
    </row>
    <row r="1186" spans="1:3" ht="16.05" customHeight="1">
      <c r="A1186" s="15">
        <v>7</v>
      </c>
      <c r="B1186" s="15">
        <v>64030072</v>
      </c>
      <c r="C1186" s="66">
        <v>64030263</v>
      </c>
    </row>
    <row r="1187" spans="1:3" ht="16.05" customHeight="1">
      <c r="A1187" s="15">
        <v>7</v>
      </c>
      <c r="B1187" s="15">
        <v>64734825</v>
      </c>
      <c r="C1187" s="66">
        <v>64734866</v>
      </c>
    </row>
    <row r="1188" spans="1:3" ht="16.05" customHeight="1">
      <c r="A1188" s="15">
        <v>7</v>
      </c>
      <c r="B1188" s="15">
        <v>65037620</v>
      </c>
      <c r="C1188" s="66">
        <v>65037779</v>
      </c>
    </row>
    <row r="1189" spans="1:3" ht="16.05" customHeight="1">
      <c r="A1189" s="15">
        <v>7</v>
      </c>
      <c r="B1189" s="15">
        <v>65508976</v>
      </c>
      <c r="C1189" s="66">
        <v>65509131</v>
      </c>
    </row>
    <row r="1190" spans="1:3" ht="16.05" customHeight="1">
      <c r="A1190" s="15">
        <v>7</v>
      </c>
      <c r="B1190" s="15">
        <v>70060893</v>
      </c>
      <c r="C1190" s="66">
        <v>70061010</v>
      </c>
    </row>
    <row r="1191" spans="1:3" ht="16.05" customHeight="1">
      <c r="A1191" s="15">
        <v>7</v>
      </c>
      <c r="B1191" s="15">
        <v>75889122</v>
      </c>
      <c r="C1191" s="66">
        <v>75889283</v>
      </c>
    </row>
    <row r="1192" spans="1:3" ht="16.05" customHeight="1">
      <c r="A1192" s="15">
        <v>7</v>
      </c>
      <c r="B1192" s="15">
        <v>82072070</v>
      </c>
      <c r="C1192" s="66">
        <v>82072155</v>
      </c>
    </row>
    <row r="1193" spans="1:3" ht="16.05" customHeight="1">
      <c r="A1193" s="15">
        <v>7</v>
      </c>
      <c r="B1193" s="15">
        <v>84814493</v>
      </c>
      <c r="C1193" s="66">
        <v>84814612</v>
      </c>
    </row>
    <row r="1194" spans="1:3" ht="16.05" customHeight="1">
      <c r="A1194" s="15">
        <v>7</v>
      </c>
      <c r="B1194" s="15">
        <v>84814641</v>
      </c>
      <c r="C1194" s="66">
        <v>84814821</v>
      </c>
    </row>
    <row r="1195" spans="1:3" ht="16.05" customHeight="1">
      <c r="A1195" s="15">
        <v>7</v>
      </c>
      <c r="B1195" s="15">
        <v>84814928</v>
      </c>
      <c r="C1195" s="66">
        <v>84815031</v>
      </c>
    </row>
    <row r="1196" spans="1:3" ht="16.05" customHeight="1">
      <c r="A1196" s="15">
        <v>7</v>
      </c>
      <c r="B1196" s="15">
        <v>84815374</v>
      </c>
      <c r="C1196" s="66">
        <v>84815608</v>
      </c>
    </row>
    <row r="1197" spans="1:3" ht="16.05" customHeight="1">
      <c r="A1197" s="15">
        <v>7</v>
      </c>
      <c r="B1197" s="15">
        <v>87229476</v>
      </c>
      <c r="C1197" s="66">
        <v>87229702</v>
      </c>
    </row>
    <row r="1198" spans="1:3" ht="16.05" customHeight="1">
      <c r="A1198" s="15">
        <v>7</v>
      </c>
      <c r="B1198" s="15">
        <v>87229717</v>
      </c>
      <c r="C1198" s="66">
        <v>87229974</v>
      </c>
    </row>
    <row r="1199" spans="1:3" ht="16.05" customHeight="1">
      <c r="A1199" s="15">
        <v>7</v>
      </c>
      <c r="B1199" s="15">
        <v>87229984</v>
      </c>
      <c r="C1199" s="66">
        <v>87230350</v>
      </c>
    </row>
    <row r="1200" spans="1:3" ht="16.05" customHeight="1">
      <c r="A1200" s="15">
        <v>7</v>
      </c>
      <c r="B1200" s="15">
        <v>87974705</v>
      </c>
      <c r="C1200" s="66">
        <v>87974777</v>
      </c>
    </row>
    <row r="1201" spans="1:3" ht="16.05" customHeight="1">
      <c r="A1201" s="15">
        <v>7</v>
      </c>
      <c r="B1201" s="15">
        <v>87974820</v>
      </c>
      <c r="C1201" s="66">
        <v>87974843</v>
      </c>
    </row>
    <row r="1202" spans="1:3" ht="16.05" customHeight="1">
      <c r="A1202" s="15">
        <v>7</v>
      </c>
      <c r="B1202" s="15">
        <v>88387690</v>
      </c>
      <c r="C1202" s="66">
        <v>88387838</v>
      </c>
    </row>
    <row r="1203" spans="1:3" ht="16.05" customHeight="1">
      <c r="A1203" s="15">
        <v>7</v>
      </c>
      <c r="B1203" s="15">
        <v>88387856</v>
      </c>
      <c r="C1203" s="66">
        <v>88388023</v>
      </c>
    </row>
    <row r="1204" spans="1:3" ht="16.05" customHeight="1">
      <c r="A1204" s="15">
        <v>7</v>
      </c>
      <c r="B1204" s="15">
        <v>88388142</v>
      </c>
      <c r="C1204" s="66">
        <v>88388397</v>
      </c>
    </row>
    <row r="1205" spans="1:3" ht="16.05" customHeight="1">
      <c r="A1205" s="15">
        <v>7</v>
      </c>
      <c r="B1205" s="15">
        <v>88388641</v>
      </c>
      <c r="C1205" s="66">
        <v>88388817</v>
      </c>
    </row>
    <row r="1206" spans="1:3" ht="16.05" customHeight="1">
      <c r="A1206" s="15">
        <v>7</v>
      </c>
      <c r="B1206" s="15">
        <v>89950502</v>
      </c>
      <c r="C1206" s="66">
        <v>89950802</v>
      </c>
    </row>
    <row r="1207" spans="1:3" ht="16.05" customHeight="1">
      <c r="A1207" s="15">
        <v>7</v>
      </c>
      <c r="B1207" s="15">
        <v>93519143</v>
      </c>
      <c r="C1207" s="66">
        <v>93519391</v>
      </c>
    </row>
    <row r="1208" spans="1:3" ht="16.05" customHeight="1">
      <c r="A1208" s="15">
        <v>7</v>
      </c>
      <c r="B1208" s="15">
        <v>96621880</v>
      </c>
      <c r="C1208" s="66">
        <v>96622048</v>
      </c>
    </row>
    <row r="1209" spans="1:3" ht="16.05" customHeight="1">
      <c r="A1209" s="15">
        <v>7</v>
      </c>
      <c r="B1209" s="15">
        <v>96622055</v>
      </c>
      <c r="C1209" s="66">
        <v>96622210</v>
      </c>
    </row>
    <row r="1210" spans="1:3" ht="16.05" customHeight="1">
      <c r="A1210" s="15">
        <v>7</v>
      </c>
      <c r="B1210" s="15">
        <v>96625492</v>
      </c>
      <c r="C1210" s="66">
        <v>96625643</v>
      </c>
    </row>
    <row r="1211" spans="1:3" ht="16.05" customHeight="1">
      <c r="A1211" s="15">
        <v>7</v>
      </c>
      <c r="B1211" s="15">
        <v>96625685</v>
      </c>
      <c r="C1211" s="66">
        <v>96625759</v>
      </c>
    </row>
    <row r="1212" spans="1:3" ht="16.05" customHeight="1">
      <c r="A1212" s="15">
        <v>7</v>
      </c>
      <c r="B1212" s="15">
        <v>96632708</v>
      </c>
      <c r="C1212" s="66">
        <v>96632856</v>
      </c>
    </row>
    <row r="1213" spans="1:3" ht="16.05" customHeight="1">
      <c r="A1213" s="15">
        <v>7</v>
      </c>
      <c r="B1213" s="15">
        <v>96634618</v>
      </c>
      <c r="C1213" s="66">
        <v>96634830</v>
      </c>
    </row>
    <row r="1214" spans="1:3" ht="16.05" customHeight="1">
      <c r="A1214" s="15">
        <v>7</v>
      </c>
      <c r="B1214" s="15">
        <v>96653693</v>
      </c>
      <c r="C1214" s="66">
        <v>96653840</v>
      </c>
    </row>
    <row r="1215" spans="1:3" ht="16.05" customHeight="1">
      <c r="A1215" s="15">
        <v>7</v>
      </c>
      <c r="B1215" s="15">
        <v>96653841</v>
      </c>
      <c r="C1215" s="66">
        <v>96653985</v>
      </c>
    </row>
    <row r="1216" spans="1:3" ht="16.05" customHeight="1">
      <c r="A1216" s="15">
        <v>7</v>
      </c>
      <c r="B1216" s="15">
        <v>98245827</v>
      </c>
      <c r="C1216" s="66">
        <v>98245883</v>
      </c>
    </row>
    <row r="1217" spans="1:3" ht="16.05" customHeight="1">
      <c r="A1217" s="15">
        <v>7</v>
      </c>
      <c r="B1217" s="15">
        <v>98245896</v>
      </c>
      <c r="C1217" s="66">
        <v>98246174</v>
      </c>
    </row>
    <row r="1218" spans="1:3" ht="16.05" customHeight="1">
      <c r="A1218" s="15">
        <v>7</v>
      </c>
      <c r="B1218" s="15">
        <v>98467242</v>
      </c>
      <c r="C1218" s="66">
        <v>98467310</v>
      </c>
    </row>
    <row r="1219" spans="1:3" ht="16.05" customHeight="1">
      <c r="A1219" s="15">
        <v>7</v>
      </c>
      <c r="B1219" s="15">
        <v>98990455</v>
      </c>
      <c r="C1219" s="66">
        <v>98990565</v>
      </c>
    </row>
    <row r="1220" spans="1:3" ht="16.05" customHeight="1">
      <c r="A1220" s="15">
        <v>7</v>
      </c>
      <c r="B1220" s="15">
        <v>98990621</v>
      </c>
      <c r="C1220" s="66">
        <v>98990785</v>
      </c>
    </row>
    <row r="1221" spans="1:3" ht="16.05" customHeight="1">
      <c r="A1221" s="15">
        <v>8</v>
      </c>
      <c r="B1221" s="15">
        <v>104512684</v>
      </c>
      <c r="C1221" s="66">
        <v>104512945</v>
      </c>
    </row>
    <row r="1222" spans="1:3" ht="16.05" customHeight="1">
      <c r="A1222" s="15">
        <v>8</v>
      </c>
      <c r="B1222" s="15">
        <v>104512976</v>
      </c>
      <c r="C1222" s="66">
        <v>104513246</v>
      </c>
    </row>
    <row r="1223" spans="1:3" ht="16.05" customHeight="1">
      <c r="A1223" s="15">
        <v>8</v>
      </c>
      <c r="B1223" s="15">
        <v>104513513</v>
      </c>
      <c r="C1223" s="66">
        <v>104513918</v>
      </c>
    </row>
    <row r="1224" spans="1:3" ht="16.05" customHeight="1">
      <c r="A1224" s="15">
        <v>8</v>
      </c>
      <c r="B1224" s="15">
        <v>105479074</v>
      </c>
      <c r="C1224" s="66">
        <v>105479194</v>
      </c>
    </row>
    <row r="1225" spans="1:3" ht="16.05" customHeight="1">
      <c r="A1225" s="15">
        <v>8</v>
      </c>
      <c r="B1225" s="15">
        <v>105479201</v>
      </c>
      <c r="C1225" s="66">
        <v>105479389</v>
      </c>
    </row>
    <row r="1226" spans="1:3" ht="16.05" customHeight="1">
      <c r="A1226" s="15">
        <v>8</v>
      </c>
      <c r="B1226" s="15">
        <v>109094062</v>
      </c>
      <c r="C1226" s="66">
        <v>109094172</v>
      </c>
    </row>
    <row r="1227" spans="1:3" ht="16.05" customHeight="1">
      <c r="A1227" s="15">
        <v>8</v>
      </c>
      <c r="B1227" s="15">
        <v>109094223</v>
      </c>
      <c r="C1227" s="66">
        <v>109094352</v>
      </c>
    </row>
    <row r="1228" spans="1:3" ht="16.05" customHeight="1">
      <c r="A1228" s="15">
        <v>8</v>
      </c>
      <c r="B1228" s="15">
        <v>109095563</v>
      </c>
      <c r="C1228" s="66">
        <v>109095737</v>
      </c>
    </row>
    <row r="1229" spans="1:3" ht="16.05" customHeight="1">
      <c r="A1229" s="15">
        <v>8</v>
      </c>
      <c r="B1229" s="15">
        <v>109095758</v>
      </c>
      <c r="C1229" s="66">
        <v>109095957</v>
      </c>
    </row>
    <row r="1230" spans="1:3" ht="16.05" customHeight="1">
      <c r="A1230" s="15">
        <v>8</v>
      </c>
      <c r="B1230" s="15">
        <v>109095970</v>
      </c>
      <c r="C1230" s="66">
        <v>109096070</v>
      </c>
    </row>
    <row r="1231" spans="1:3" ht="16.05" customHeight="1">
      <c r="A1231" s="15">
        <v>8</v>
      </c>
      <c r="B1231" s="15">
        <v>10916699</v>
      </c>
      <c r="C1231" s="66">
        <v>10916811</v>
      </c>
    </row>
    <row r="1232" spans="1:3" ht="16.05" customHeight="1">
      <c r="A1232" s="15">
        <v>8</v>
      </c>
      <c r="B1232" s="15">
        <v>110374463</v>
      </c>
      <c r="C1232" s="66">
        <v>110374474</v>
      </c>
    </row>
    <row r="1233" spans="1:3" ht="16.05" customHeight="1">
      <c r="A1233" s="15">
        <v>8</v>
      </c>
      <c r="B1233" s="15">
        <v>11204507</v>
      </c>
      <c r="C1233" s="66">
        <v>11204749</v>
      </c>
    </row>
    <row r="1234" spans="1:3" ht="16.05" customHeight="1">
      <c r="A1234" s="15">
        <v>8</v>
      </c>
      <c r="B1234" s="15">
        <v>114444822</v>
      </c>
      <c r="C1234" s="66">
        <v>114444892</v>
      </c>
    </row>
    <row r="1235" spans="1:3" ht="16.05" customHeight="1">
      <c r="A1235" s="15">
        <v>8</v>
      </c>
      <c r="B1235" s="15">
        <v>114444904</v>
      </c>
      <c r="C1235" s="66">
        <v>114445139</v>
      </c>
    </row>
    <row r="1236" spans="1:3" ht="16.05" customHeight="1">
      <c r="A1236" s="15">
        <v>8</v>
      </c>
      <c r="B1236" s="15">
        <v>11560552</v>
      </c>
      <c r="C1236" s="66">
        <v>11560610</v>
      </c>
    </row>
    <row r="1237" spans="1:3" ht="16.05" customHeight="1">
      <c r="A1237" s="15">
        <v>8</v>
      </c>
      <c r="B1237" s="15">
        <v>11561453</v>
      </c>
      <c r="C1237" s="66">
        <v>11561882</v>
      </c>
    </row>
    <row r="1238" spans="1:3" ht="16.05" customHeight="1">
      <c r="A1238" s="15">
        <v>8</v>
      </c>
      <c r="B1238" s="15">
        <v>11562638</v>
      </c>
      <c r="C1238" s="66">
        <v>11562849</v>
      </c>
    </row>
    <row r="1239" spans="1:3" ht="16.05" customHeight="1">
      <c r="A1239" s="15">
        <v>8</v>
      </c>
      <c r="B1239" s="15">
        <v>121137868</v>
      </c>
      <c r="C1239" s="66">
        <v>121138016</v>
      </c>
    </row>
    <row r="1240" spans="1:3" ht="16.05" customHeight="1">
      <c r="A1240" s="15">
        <v>8</v>
      </c>
      <c r="B1240" s="15">
        <v>127568794</v>
      </c>
      <c r="C1240" s="66">
        <v>127568937</v>
      </c>
    </row>
    <row r="1241" spans="1:3" ht="16.05" customHeight="1">
      <c r="A1241" s="15">
        <v>8</v>
      </c>
      <c r="B1241" s="15">
        <v>127568942</v>
      </c>
      <c r="C1241" s="66">
        <v>127569117</v>
      </c>
    </row>
    <row r="1242" spans="1:3" ht="16.05" customHeight="1">
      <c r="A1242" s="15">
        <v>8</v>
      </c>
      <c r="B1242" s="15">
        <v>144241945</v>
      </c>
      <c r="C1242" s="66">
        <v>144242142</v>
      </c>
    </row>
    <row r="1243" spans="1:3" ht="16.05" customHeight="1">
      <c r="A1243" s="15">
        <v>8</v>
      </c>
      <c r="B1243" s="15">
        <v>144650590</v>
      </c>
      <c r="C1243" s="66">
        <v>144650899</v>
      </c>
    </row>
    <row r="1244" spans="1:3" ht="16.05" customHeight="1">
      <c r="A1244" s="15">
        <v>8</v>
      </c>
      <c r="B1244" s="15">
        <v>145106124</v>
      </c>
      <c r="C1244" s="66">
        <v>145106225</v>
      </c>
    </row>
    <row r="1245" spans="1:3" ht="16.05" customHeight="1">
      <c r="A1245" s="15">
        <v>8</v>
      </c>
      <c r="B1245" s="15">
        <v>145106227</v>
      </c>
      <c r="C1245" s="66">
        <v>145106359</v>
      </c>
    </row>
    <row r="1246" spans="1:3" ht="16.05" customHeight="1">
      <c r="A1246" s="15">
        <v>8</v>
      </c>
      <c r="B1246" s="15">
        <v>145925814</v>
      </c>
      <c r="C1246" s="66">
        <v>145925880</v>
      </c>
    </row>
    <row r="1247" spans="1:3" ht="16.05" customHeight="1">
      <c r="A1247" s="15">
        <v>8</v>
      </c>
      <c r="B1247" s="15">
        <v>145925823</v>
      </c>
      <c r="C1247" s="66">
        <v>145925900</v>
      </c>
    </row>
    <row r="1248" spans="1:3" ht="16.05" customHeight="1">
      <c r="A1248" s="15">
        <v>8</v>
      </c>
      <c r="B1248" s="15">
        <v>23560416</v>
      </c>
      <c r="C1248" s="66">
        <v>23560653</v>
      </c>
    </row>
    <row r="1249" spans="1:3" ht="16.05" customHeight="1">
      <c r="A1249" s="15">
        <v>8</v>
      </c>
      <c r="B1249" s="15">
        <v>23567151</v>
      </c>
      <c r="C1249" s="66">
        <v>23567271</v>
      </c>
    </row>
    <row r="1250" spans="1:3" ht="16.05" customHeight="1">
      <c r="A1250" s="15">
        <v>8</v>
      </c>
      <c r="B1250" s="15">
        <v>23567265</v>
      </c>
      <c r="C1250" s="66">
        <v>23567484</v>
      </c>
    </row>
    <row r="1251" spans="1:3" ht="16.05" customHeight="1">
      <c r="A1251" s="15">
        <v>8</v>
      </c>
      <c r="B1251" s="15">
        <v>23584183</v>
      </c>
      <c r="C1251" s="66">
        <v>23584249</v>
      </c>
    </row>
    <row r="1252" spans="1:3" ht="16.05" customHeight="1">
      <c r="A1252" s="15">
        <v>8</v>
      </c>
      <c r="B1252" s="15">
        <v>24857413</v>
      </c>
      <c r="C1252" s="66">
        <v>24857424</v>
      </c>
    </row>
    <row r="1253" spans="1:3" ht="16.05" customHeight="1">
      <c r="A1253" s="15">
        <v>8</v>
      </c>
      <c r="B1253" s="15">
        <v>25902109</v>
      </c>
      <c r="C1253" s="66">
        <v>25902406</v>
      </c>
    </row>
    <row r="1254" spans="1:3" ht="16.05" customHeight="1">
      <c r="A1254" s="15">
        <v>8</v>
      </c>
      <c r="B1254" s="15">
        <v>25905314</v>
      </c>
      <c r="C1254" s="66">
        <v>25905636</v>
      </c>
    </row>
    <row r="1255" spans="1:3" ht="16.05" customHeight="1">
      <c r="A1255" s="15">
        <v>8</v>
      </c>
      <c r="B1255" s="15">
        <v>25907747</v>
      </c>
      <c r="C1255" s="66">
        <v>25907982</v>
      </c>
    </row>
    <row r="1256" spans="1:3" ht="16.05" customHeight="1">
      <c r="A1256" s="15">
        <v>8</v>
      </c>
      <c r="B1256" s="15">
        <v>25909208</v>
      </c>
      <c r="C1256" s="66">
        <v>25909498</v>
      </c>
    </row>
    <row r="1257" spans="1:3" ht="16.05" customHeight="1">
      <c r="A1257" s="15">
        <v>8</v>
      </c>
      <c r="B1257" s="15">
        <v>26437360</v>
      </c>
      <c r="C1257" s="66">
        <v>26437476</v>
      </c>
    </row>
    <row r="1258" spans="1:3" ht="16.05" customHeight="1">
      <c r="A1258" s="15">
        <v>8</v>
      </c>
      <c r="B1258" s="15">
        <v>32406963</v>
      </c>
      <c r="C1258" s="66">
        <v>32406974</v>
      </c>
    </row>
    <row r="1259" spans="1:3" ht="16.05" customHeight="1">
      <c r="A1259" s="15">
        <v>8</v>
      </c>
      <c r="B1259" s="15">
        <v>33457662</v>
      </c>
      <c r="C1259" s="66">
        <v>33457709</v>
      </c>
    </row>
    <row r="1260" spans="1:3" ht="16.05" customHeight="1">
      <c r="A1260" s="15">
        <v>8</v>
      </c>
      <c r="B1260" s="15">
        <v>37823188</v>
      </c>
      <c r="C1260" s="66">
        <v>37823339</v>
      </c>
    </row>
    <row r="1261" spans="1:3" ht="16.05" customHeight="1">
      <c r="A1261" s="15">
        <v>8</v>
      </c>
      <c r="B1261" s="15">
        <v>37823352</v>
      </c>
      <c r="C1261" s="66">
        <v>37823458</v>
      </c>
    </row>
    <row r="1262" spans="1:3" ht="16.05" customHeight="1">
      <c r="A1262" s="15">
        <v>8</v>
      </c>
      <c r="B1262" s="15">
        <v>41625490</v>
      </c>
      <c r="C1262" s="66">
        <v>41625592</v>
      </c>
    </row>
    <row r="1263" spans="1:3" ht="16.05" customHeight="1">
      <c r="A1263" s="15">
        <v>8</v>
      </c>
      <c r="B1263" s="15">
        <v>49292828</v>
      </c>
      <c r="C1263" s="66">
        <v>49292926</v>
      </c>
    </row>
    <row r="1264" spans="1:3" ht="16.05" customHeight="1">
      <c r="A1264" s="15">
        <v>8</v>
      </c>
      <c r="B1264" s="15">
        <v>49293374</v>
      </c>
      <c r="C1264" s="66">
        <v>49293552</v>
      </c>
    </row>
    <row r="1265" spans="1:3" ht="16.05" customHeight="1">
      <c r="A1265" s="15">
        <v>8</v>
      </c>
      <c r="B1265" s="15">
        <v>50824274</v>
      </c>
      <c r="C1265" s="66">
        <v>50824401</v>
      </c>
    </row>
    <row r="1266" spans="1:3" ht="16.05" customHeight="1">
      <c r="A1266" s="15">
        <v>8</v>
      </c>
      <c r="B1266" s="15">
        <v>53852096</v>
      </c>
      <c r="C1266" s="66">
        <v>53852350</v>
      </c>
    </row>
    <row r="1267" spans="1:3" ht="16.05" customHeight="1">
      <c r="A1267" s="15">
        <v>8</v>
      </c>
      <c r="B1267" s="15">
        <v>55370170</v>
      </c>
      <c r="C1267" s="66">
        <v>55370500</v>
      </c>
    </row>
    <row r="1268" spans="1:3" ht="16.05" customHeight="1">
      <c r="A1268" s="15">
        <v>8</v>
      </c>
      <c r="B1268" s="15">
        <v>55378924</v>
      </c>
      <c r="C1268" s="66">
        <v>55379087</v>
      </c>
    </row>
    <row r="1269" spans="1:3" ht="16.05" customHeight="1">
      <c r="A1269" s="15">
        <v>8</v>
      </c>
      <c r="B1269" s="15">
        <v>55379833</v>
      </c>
      <c r="C1269" s="66">
        <v>55380155</v>
      </c>
    </row>
    <row r="1270" spans="1:3" ht="16.05" customHeight="1">
      <c r="A1270" s="15">
        <v>8</v>
      </c>
      <c r="B1270" s="15">
        <v>57069734</v>
      </c>
      <c r="C1270" s="66">
        <v>57069925</v>
      </c>
    </row>
    <row r="1271" spans="1:3" ht="16.05" customHeight="1">
      <c r="A1271" s="15">
        <v>8</v>
      </c>
      <c r="B1271" s="15">
        <v>57069926</v>
      </c>
      <c r="C1271" s="66">
        <v>57070149</v>
      </c>
    </row>
    <row r="1272" spans="1:3" ht="16.05" customHeight="1">
      <c r="A1272" s="15">
        <v>8</v>
      </c>
      <c r="B1272" s="15">
        <v>62200332</v>
      </c>
      <c r="C1272" s="66">
        <v>62200469</v>
      </c>
    </row>
    <row r="1273" spans="1:3" ht="16.05" customHeight="1">
      <c r="A1273" s="15">
        <v>8</v>
      </c>
      <c r="B1273" s="15">
        <v>65286223</v>
      </c>
      <c r="C1273" s="66">
        <v>65286490</v>
      </c>
    </row>
    <row r="1274" spans="1:3" ht="16.05" customHeight="1">
      <c r="A1274" s="15">
        <v>8</v>
      </c>
      <c r="B1274" s="15">
        <v>65488910</v>
      </c>
      <c r="C1274" s="66">
        <v>65489071</v>
      </c>
    </row>
    <row r="1275" spans="1:3" ht="16.05" customHeight="1">
      <c r="A1275" s="15">
        <v>8</v>
      </c>
      <c r="B1275" s="15">
        <v>67873338</v>
      </c>
      <c r="C1275" s="66">
        <v>67873517</v>
      </c>
    </row>
    <row r="1276" spans="1:3" ht="16.05" customHeight="1">
      <c r="A1276" s="15">
        <v>8</v>
      </c>
      <c r="B1276" s="15">
        <v>67873535</v>
      </c>
      <c r="C1276" s="66">
        <v>67873685</v>
      </c>
    </row>
    <row r="1277" spans="1:3" ht="16.05" customHeight="1">
      <c r="A1277" s="15">
        <v>8</v>
      </c>
      <c r="B1277" s="15">
        <v>67873629</v>
      </c>
      <c r="C1277" s="66">
        <v>67873786</v>
      </c>
    </row>
    <row r="1278" spans="1:3" ht="16.05" customHeight="1">
      <c r="A1278" s="15">
        <v>8</v>
      </c>
      <c r="B1278" s="15">
        <v>67873794</v>
      </c>
      <c r="C1278" s="66">
        <v>67873970</v>
      </c>
    </row>
    <row r="1279" spans="1:3" ht="16.05" customHeight="1">
      <c r="A1279" s="15">
        <v>8</v>
      </c>
      <c r="B1279" s="15">
        <v>67874006</v>
      </c>
      <c r="C1279" s="66">
        <v>67874212</v>
      </c>
    </row>
    <row r="1280" spans="1:3" ht="16.05" customHeight="1">
      <c r="A1280" s="15">
        <v>8</v>
      </c>
      <c r="B1280" s="15">
        <v>67874237</v>
      </c>
      <c r="C1280" s="66">
        <v>67874381</v>
      </c>
    </row>
    <row r="1281" spans="1:3" ht="16.05" customHeight="1">
      <c r="A1281" s="15">
        <v>8</v>
      </c>
      <c r="B1281" s="15">
        <v>67874859</v>
      </c>
      <c r="C1281" s="66">
        <v>67874951</v>
      </c>
    </row>
    <row r="1282" spans="1:3" ht="16.05" customHeight="1">
      <c r="A1282" s="15">
        <v>8</v>
      </c>
      <c r="B1282" s="15">
        <v>67874965</v>
      </c>
      <c r="C1282" s="66">
        <v>67875183</v>
      </c>
    </row>
    <row r="1283" spans="1:3" ht="16.05" customHeight="1">
      <c r="A1283" s="15">
        <v>8</v>
      </c>
      <c r="B1283" s="15">
        <v>67875315</v>
      </c>
      <c r="C1283" s="66">
        <v>67875478</v>
      </c>
    </row>
    <row r="1284" spans="1:3" ht="16.05" customHeight="1">
      <c r="A1284" s="15">
        <v>8</v>
      </c>
      <c r="B1284" s="15">
        <v>67875490</v>
      </c>
      <c r="C1284" s="66">
        <v>67875605</v>
      </c>
    </row>
    <row r="1285" spans="1:3" ht="16.05" customHeight="1">
      <c r="A1285" s="15">
        <v>8</v>
      </c>
      <c r="B1285" s="15">
        <v>70946886</v>
      </c>
      <c r="C1285" s="66">
        <v>70946996</v>
      </c>
    </row>
    <row r="1286" spans="1:3" ht="16.05" customHeight="1">
      <c r="A1286" s="15">
        <v>8</v>
      </c>
      <c r="B1286" s="15">
        <v>70946994</v>
      </c>
      <c r="C1286" s="66">
        <v>70947181</v>
      </c>
    </row>
    <row r="1287" spans="1:3" ht="16.05" customHeight="1">
      <c r="A1287" s="15">
        <v>8</v>
      </c>
      <c r="B1287" s="15">
        <v>70982110</v>
      </c>
      <c r="C1287" s="66">
        <v>70982255</v>
      </c>
    </row>
    <row r="1288" spans="1:3" ht="16.05" customHeight="1">
      <c r="A1288" s="15">
        <v>8</v>
      </c>
      <c r="B1288" s="15">
        <v>70982250</v>
      </c>
      <c r="C1288" s="66">
        <v>70982368</v>
      </c>
    </row>
    <row r="1289" spans="1:3" ht="16.05" customHeight="1">
      <c r="A1289" s="15">
        <v>8</v>
      </c>
      <c r="B1289" s="15">
        <v>70983429</v>
      </c>
      <c r="C1289" s="66">
        <v>70983658</v>
      </c>
    </row>
    <row r="1290" spans="1:3" ht="16.05" customHeight="1">
      <c r="A1290" s="15">
        <v>8</v>
      </c>
      <c r="B1290" s="15">
        <v>70983696</v>
      </c>
      <c r="C1290" s="66">
        <v>70983766</v>
      </c>
    </row>
    <row r="1291" spans="1:3" ht="16.05" customHeight="1">
      <c r="A1291" s="15">
        <v>8</v>
      </c>
      <c r="B1291" s="15">
        <v>70984095</v>
      </c>
      <c r="C1291" s="66">
        <v>70984361</v>
      </c>
    </row>
    <row r="1292" spans="1:3" ht="16.05" customHeight="1">
      <c r="A1292" s="15">
        <v>8</v>
      </c>
      <c r="B1292" s="15">
        <v>70984359</v>
      </c>
      <c r="C1292" s="66">
        <v>70984610</v>
      </c>
    </row>
    <row r="1293" spans="1:3" ht="16.05" customHeight="1">
      <c r="A1293" s="15">
        <v>8</v>
      </c>
      <c r="B1293" s="15">
        <v>72468645</v>
      </c>
      <c r="C1293" s="66">
        <v>72468778</v>
      </c>
    </row>
    <row r="1294" spans="1:3" ht="16.05" customHeight="1">
      <c r="A1294" s="15">
        <v>8</v>
      </c>
      <c r="B1294" s="15">
        <v>72468786</v>
      </c>
      <c r="C1294" s="66">
        <v>72468857</v>
      </c>
    </row>
    <row r="1295" spans="1:3" ht="16.05" customHeight="1">
      <c r="A1295" s="15">
        <v>8</v>
      </c>
      <c r="B1295" s="15">
        <v>72468876</v>
      </c>
      <c r="C1295" s="66">
        <v>72469146</v>
      </c>
    </row>
    <row r="1296" spans="1:3" ht="16.05" customHeight="1">
      <c r="A1296" s="15">
        <v>8</v>
      </c>
      <c r="B1296" s="15">
        <v>72469341</v>
      </c>
      <c r="C1296" s="66">
        <v>72469559</v>
      </c>
    </row>
    <row r="1297" spans="1:3" ht="16.05" customHeight="1">
      <c r="A1297" s="15">
        <v>8</v>
      </c>
      <c r="B1297" s="15">
        <v>72469555</v>
      </c>
      <c r="C1297" s="66">
        <v>72469648</v>
      </c>
    </row>
    <row r="1298" spans="1:3" ht="16.05" customHeight="1">
      <c r="A1298" s="15">
        <v>8</v>
      </c>
      <c r="B1298" s="15">
        <v>72755662</v>
      </c>
      <c r="C1298" s="66">
        <v>72755688</v>
      </c>
    </row>
    <row r="1299" spans="1:3" ht="16.05" customHeight="1">
      <c r="A1299" s="15">
        <v>8</v>
      </c>
      <c r="B1299" s="15">
        <v>72755749</v>
      </c>
      <c r="C1299" s="66">
        <v>72755951</v>
      </c>
    </row>
    <row r="1300" spans="1:3" ht="16.05" customHeight="1">
      <c r="A1300" s="15">
        <v>8</v>
      </c>
      <c r="B1300" s="15">
        <v>72755892</v>
      </c>
      <c r="C1300" s="66">
        <v>72756227</v>
      </c>
    </row>
    <row r="1301" spans="1:3" ht="16.05" customHeight="1">
      <c r="A1301" s="15">
        <v>8</v>
      </c>
      <c r="B1301" s="15">
        <v>72756231</v>
      </c>
      <c r="C1301" s="66">
        <v>72756505</v>
      </c>
    </row>
    <row r="1302" spans="1:3" ht="16.05" customHeight="1">
      <c r="A1302" s="15">
        <v>8</v>
      </c>
      <c r="B1302" s="15">
        <v>72756754</v>
      </c>
      <c r="C1302" s="66">
        <v>72756941</v>
      </c>
    </row>
    <row r="1303" spans="1:3" ht="16.05" customHeight="1">
      <c r="A1303" s="15">
        <v>8</v>
      </c>
      <c r="B1303" s="15">
        <v>72987582</v>
      </c>
      <c r="C1303" s="66">
        <v>72987803</v>
      </c>
    </row>
    <row r="1304" spans="1:3" ht="16.05" customHeight="1">
      <c r="A1304" s="15">
        <v>8</v>
      </c>
      <c r="B1304" s="15">
        <v>75897371</v>
      </c>
      <c r="C1304" s="66">
        <v>75897457</v>
      </c>
    </row>
    <row r="1305" spans="1:3" ht="16.05" customHeight="1">
      <c r="A1305" s="15">
        <v>8</v>
      </c>
      <c r="B1305" s="15">
        <v>77585062</v>
      </c>
      <c r="C1305" s="66">
        <v>77585095</v>
      </c>
    </row>
    <row r="1306" spans="1:3" ht="16.05" customHeight="1">
      <c r="A1306" s="15">
        <v>8</v>
      </c>
      <c r="B1306" s="15">
        <v>77585122</v>
      </c>
      <c r="C1306" s="66">
        <v>77585387</v>
      </c>
    </row>
    <row r="1307" spans="1:3" ht="16.05" customHeight="1">
      <c r="A1307" s="15">
        <v>8</v>
      </c>
      <c r="B1307" s="15">
        <v>77586254</v>
      </c>
      <c r="C1307" s="66">
        <v>77586332</v>
      </c>
    </row>
    <row r="1308" spans="1:3" ht="16.05" customHeight="1">
      <c r="A1308" s="15">
        <v>8</v>
      </c>
      <c r="B1308" s="15">
        <v>77586354</v>
      </c>
      <c r="C1308" s="66">
        <v>77586445</v>
      </c>
    </row>
    <row r="1309" spans="1:3" ht="16.05" customHeight="1">
      <c r="A1309" s="15">
        <v>8</v>
      </c>
      <c r="B1309" s="15">
        <v>77586467</v>
      </c>
      <c r="C1309" s="66">
        <v>77586523</v>
      </c>
    </row>
    <row r="1310" spans="1:3" ht="16.05" customHeight="1">
      <c r="A1310" s="15">
        <v>8</v>
      </c>
      <c r="B1310" s="15">
        <v>77593121</v>
      </c>
      <c r="C1310" s="66">
        <v>77593368</v>
      </c>
    </row>
    <row r="1311" spans="1:3" ht="16.05" customHeight="1">
      <c r="A1311" s="15">
        <v>8</v>
      </c>
      <c r="B1311" s="15">
        <v>77594520</v>
      </c>
      <c r="C1311" s="66">
        <v>77594832</v>
      </c>
    </row>
    <row r="1312" spans="1:3" ht="16.05" customHeight="1">
      <c r="A1312" s="15">
        <v>8</v>
      </c>
      <c r="B1312" s="15">
        <v>77595988</v>
      </c>
      <c r="C1312" s="66">
        <v>77595999</v>
      </c>
    </row>
    <row r="1313" spans="1:3" ht="16.05" customHeight="1">
      <c r="A1313" s="15">
        <v>8</v>
      </c>
      <c r="B1313" s="15">
        <v>77596064</v>
      </c>
      <c r="C1313" s="66">
        <v>77596211</v>
      </c>
    </row>
    <row r="1314" spans="1:3" ht="16.05" customHeight="1">
      <c r="A1314" s="15">
        <v>8</v>
      </c>
      <c r="B1314" s="15">
        <v>85094737</v>
      </c>
      <c r="C1314" s="66">
        <v>85094848</v>
      </c>
    </row>
    <row r="1315" spans="1:3" ht="16.05" customHeight="1">
      <c r="A1315" s="15">
        <v>8</v>
      </c>
      <c r="B1315" s="15">
        <v>85094899</v>
      </c>
      <c r="C1315" s="66">
        <v>85095025</v>
      </c>
    </row>
    <row r="1316" spans="1:3" ht="16.05" customHeight="1">
      <c r="A1316" s="15">
        <v>8</v>
      </c>
      <c r="B1316" s="15">
        <v>85095323</v>
      </c>
      <c r="C1316" s="66">
        <v>85095636</v>
      </c>
    </row>
    <row r="1317" spans="1:3" ht="16.05" customHeight="1">
      <c r="A1317" s="15">
        <v>8</v>
      </c>
      <c r="B1317" s="15">
        <v>85096897</v>
      </c>
      <c r="C1317" s="66">
        <v>85097252</v>
      </c>
    </row>
    <row r="1318" spans="1:3" ht="16.05" customHeight="1">
      <c r="A1318" s="15">
        <v>8</v>
      </c>
      <c r="B1318" s="15">
        <v>93113984</v>
      </c>
      <c r="C1318" s="66">
        <v>93114172</v>
      </c>
    </row>
    <row r="1319" spans="1:3" ht="16.05" customHeight="1">
      <c r="A1319" s="15">
        <v>8</v>
      </c>
      <c r="B1319" s="15">
        <v>93114282</v>
      </c>
      <c r="C1319" s="66">
        <v>93114520</v>
      </c>
    </row>
    <row r="1320" spans="1:3" ht="16.05" customHeight="1">
      <c r="A1320" s="15">
        <v>8</v>
      </c>
      <c r="B1320" s="15">
        <v>95246364</v>
      </c>
      <c r="C1320" s="66">
        <v>95246449</v>
      </c>
    </row>
    <row r="1321" spans="1:3" ht="16.05" customHeight="1">
      <c r="A1321" s="15">
        <v>8</v>
      </c>
      <c r="B1321" s="15">
        <v>95246471</v>
      </c>
      <c r="C1321" s="66">
        <v>95246679</v>
      </c>
    </row>
    <row r="1322" spans="1:3" ht="16.05" customHeight="1">
      <c r="A1322" s="15">
        <v>8</v>
      </c>
      <c r="B1322" s="15">
        <v>97172885</v>
      </c>
      <c r="C1322" s="66">
        <v>97173048</v>
      </c>
    </row>
    <row r="1323" spans="1:3" ht="16.05" customHeight="1">
      <c r="A1323" s="15">
        <v>8</v>
      </c>
      <c r="B1323" s="15">
        <v>97173163</v>
      </c>
      <c r="C1323" s="66">
        <v>97173662</v>
      </c>
    </row>
    <row r="1324" spans="1:3" ht="16.05" customHeight="1">
      <c r="A1324" s="15">
        <v>8</v>
      </c>
      <c r="B1324" s="15">
        <v>98289974</v>
      </c>
      <c r="C1324" s="66">
        <v>98290107</v>
      </c>
    </row>
    <row r="1325" spans="1:3" ht="16.05" customHeight="1">
      <c r="A1325" s="15">
        <v>8</v>
      </c>
      <c r="B1325" s="15">
        <v>99076600</v>
      </c>
      <c r="C1325" s="66">
        <v>99076611</v>
      </c>
    </row>
    <row r="1326" spans="1:3" ht="16.05" customHeight="1">
      <c r="A1326" s="15">
        <v>8</v>
      </c>
      <c r="B1326" s="15">
        <v>99952421</v>
      </c>
      <c r="C1326" s="66">
        <v>99952569</v>
      </c>
    </row>
    <row r="1327" spans="1:3" ht="16.05" customHeight="1">
      <c r="A1327" s="15">
        <v>8</v>
      </c>
      <c r="B1327" s="15">
        <v>99952586</v>
      </c>
      <c r="C1327" s="66">
        <v>99952755</v>
      </c>
    </row>
    <row r="1328" spans="1:3" ht="16.05" customHeight="1">
      <c r="A1328" s="15">
        <v>9</v>
      </c>
      <c r="B1328" s="15">
        <v>100615028</v>
      </c>
      <c r="C1328" s="66">
        <v>100615150</v>
      </c>
    </row>
    <row r="1329" spans="1:3" ht="16.05" customHeight="1">
      <c r="A1329" s="15">
        <v>9</v>
      </c>
      <c r="B1329" s="15">
        <v>101706448</v>
      </c>
      <c r="C1329" s="66">
        <v>101706623</v>
      </c>
    </row>
    <row r="1330" spans="1:3" ht="16.05" customHeight="1">
      <c r="A1330" s="15">
        <v>9</v>
      </c>
      <c r="B1330" s="15">
        <v>104248756</v>
      </c>
      <c r="C1330" s="66">
        <v>104248911</v>
      </c>
    </row>
    <row r="1331" spans="1:3" ht="16.05" customHeight="1">
      <c r="A1331" s="15">
        <v>9</v>
      </c>
      <c r="B1331" s="15">
        <v>104249638</v>
      </c>
      <c r="C1331" s="66">
        <v>104249672</v>
      </c>
    </row>
    <row r="1332" spans="1:3" ht="16.05" customHeight="1">
      <c r="A1332" s="15">
        <v>9</v>
      </c>
      <c r="B1332" s="15">
        <v>104500152</v>
      </c>
      <c r="C1332" s="66">
        <v>104500214</v>
      </c>
    </row>
    <row r="1333" spans="1:3" ht="16.05" customHeight="1">
      <c r="A1333" s="15">
        <v>9</v>
      </c>
      <c r="B1333" s="15">
        <v>104500267</v>
      </c>
      <c r="C1333" s="66">
        <v>104500497</v>
      </c>
    </row>
    <row r="1334" spans="1:3" ht="16.05" customHeight="1">
      <c r="A1334" s="15">
        <v>9</v>
      </c>
      <c r="B1334" s="15">
        <v>108418643</v>
      </c>
      <c r="C1334" s="66">
        <v>108418768</v>
      </c>
    </row>
    <row r="1335" spans="1:3" ht="16.05" customHeight="1">
      <c r="A1335" s="15">
        <v>9</v>
      </c>
      <c r="B1335" s="15">
        <v>113341776</v>
      </c>
      <c r="C1335" s="66">
        <v>113341957</v>
      </c>
    </row>
    <row r="1336" spans="1:3" ht="16.05" customHeight="1">
      <c r="A1336" s="15">
        <v>9</v>
      </c>
      <c r="B1336" s="15">
        <v>115653051</v>
      </c>
      <c r="C1336" s="66">
        <v>115653196</v>
      </c>
    </row>
    <row r="1337" spans="1:3" ht="16.05" customHeight="1">
      <c r="A1337" s="15">
        <v>9</v>
      </c>
      <c r="B1337" s="15">
        <v>115653215</v>
      </c>
      <c r="C1337" s="66">
        <v>115653387</v>
      </c>
    </row>
    <row r="1338" spans="1:3" ht="16.05" customHeight="1">
      <c r="A1338" s="15">
        <v>9</v>
      </c>
      <c r="B1338" s="15">
        <v>120176344</v>
      </c>
      <c r="C1338" s="66">
        <v>120176636</v>
      </c>
    </row>
    <row r="1339" spans="1:3" ht="16.05" customHeight="1">
      <c r="A1339" s="15">
        <v>9</v>
      </c>
      <c r="B1339" s="15">
        <v>122131728</v>
      </c>
      <c r="C1339" s="66">
        <v>122132277</v>
      </c>
    </row>
    <row r="1340" spans="1:3" ht="16.05" customHeight="1">
      <c r="A1340" s="15">
        <v>9</v>
      </c>
      <c r="B1340" s="15">
        <v>122318725</v>
      </c>
      <c r="C1340" s="66">
        <v>122318843</v>
      </c>
    </row>
    <row r="1341" spans="1:3" ht="16.05" customHeight="1">
      <c r="A1341" s="15">
        <v>9</v>
      </c>
      <c r="B1341" s="15">
        <v>124981332</v>
      </c>
      <c r="C1341" s="66">
        <v>124981459</v>
      </c>
    </row>
    <row r="1342" spans="1:3" ht="16.05" customHeight="1">
      <c r="A1342" s="15">
        <v>9</v>
      </c>
      <c r="B1342" s="15">
        <v>124981495</v>
      </c>
      <c r="C1342" s="66">
        <v>124981668</v>
      </c>
    </row>
    <row r="1343" spans="1:3" ht="16.05" customHeight="1">
      <c r="A1343" s="15">
        <v>9</v>
      </c>
      <c r="B1343" s="15">
        <v>124982229</v>
      </c>
      <c r="C1343" s="66">
        <v>124982265</v>
      </c>
    </row>
    <row r="1344" spans="1:3" ht="16.05" customHeight="1">
      <c r="A1344" s="15">
        <v>9</v>
      </c>
      <c r="B1344" s="15">
        <v>126777506</v>
      </c>
      <c r="C1344" s="66">
        <v>126777787</v>
      </c>
    </row>
    <row r="1345" spans="1:3" ht="16.05" customHeight="1">
      <c r="A1345" s="15">
        <v>9</v>
      </c>
      <c r="B1345" s="15">
        <v>126777785</v>
      </c>
      <c r="C1345" s="66">
        <v>126777832</v>
      </c>
    </row>
    <row r="1346" spans="1:3" ht="16.05" customHeight="1">
      <c r="A1346" s="15">
        <v>9</v>
      </c>
      <c r="B1346" s="15">
        <v>129276405</v>
      </c>
      <c r="C1346" s="66">
        <v>129276444</v>
      </c>
    </row>
    <row r="1347" spans="1:3" ht="16.05" customHeight="1">
      <c r="A1347" s="15">
        <v>9</v>
      </c>
      <c r="B1347" s="15">
        <v>13278829</v>
      </c>
      <c r="C1347" s="66">
        <v>13278983</v>
      </c>
    </row>
    <row r="1348" spans="1:3" ht="16.05" customHeight="1">
      <c r="A1348" s="15">
        <v>9</v>
      </c>
      <c r="B1348" s="15">
        <v>133534790</v>
      </c>
      <c r="C1348" s="66">
        <v>133534874</v>
      </c>
    </row>
    <row r="1349" spans="1:3" ht="16.05" customHeight="1">
      <c r="A1349" s="15">
        <v>9</v>
      </c>
      <c r="B1349" s="15">
        <v>133534873</v>
      </c>
      <c r="C1349" s="66">
        <v>133534969</v>
      </c>
    </row>
    <row r="1350" spans="1:3" ht="16.05" customHeight="1">
      <c r="A1350" s="15">
        <v>9</v>
      </c>
      <c r="B1350" s="15">
        <v>133534973</v>
      </c>
      <c r="C1350" s="66">
        <v>133535133</v>
      </c>
    </row>
    <row r="1351" spans="1:3" ht="16.05" customHeight="1">
      <c r="A1351" s="15">
        <v>9</v>
      </c>
      <c r="B1351" s="15">
        <v>135455505</v>
      </c>
      <c r="C1351" s="66">
        <v>135455628</v>
      </c>
    </row>
    <row r="1352" spans="1:3" ht="16.05" customHeight="1">
      <c r="A1352" s="15">
        <v>9</v>
      </c>
      <c r="B1352" s="15">
        <v>139085324</v>
      </c>
      <c r="C1352" s="66">
        <v>139085422</v>
      </c>
    </row>
    <row r="1353" spans="1:3" ht="16.05" customHeight="1">
      <c r="A1353" s="15">
        <v>9</v>
      </c>
      <c r="B1353" s="15">
        <v>139939779</v>
      </c>
      <c r="C1353" s="66">
        <v>139939836</v>
      </c>
    </row>
    <row r="1354" spans="1:3" ht="16.05" customHeight="1">
      <c r="A1354" s="15">
        <v>9</v>
      </c>
      <c r="B1354" s="15">
        <v>140033231</v>
      </c>
      <c r="C1354" s="66">
        <v>140033370</v>
      </c>
    </row>
    <row r="1355" spans="1:3" ht="16.05" customHeight="1">
      <c r="A1355" s="15">
        <v>9</v>
      </c>
      <c r="B1355" s="15">
        <v>140033389</v>
      </c>
      <c r="C1355" s="66">
        <v>140033538</v>
      </c>
    </row>
    <row r="1356" spans="1:3" ht="16.05" customHeight="1">
      <c r="A1356" s="15">
        <v>9</v>
      </c>
      <c r="B1356" s="15">
        <v>140051058</v>
      </c>
      <c r="C1356" s="66">
        <v>140051154</v>
      </c>
    </row>
    <row r="1357" spans="1:3" ht="16.05" customHeight="1">
      <c r="A1357" s="15">
        <v>9</v>
      </c>
      <c r="B1357" s="15">
        <v>140051149</v>
      </c>
      <c r="C1357" s="66">
        <v>140051247</v>
      </c>
    </row>
    <row r="1358" spans="1:3" ht="16.05" customHeight="1">
      <c r="A1358" s="15">
        <v>9</v>
      </c>
      <c r="B1358" s="15">
        <v>14347622</v>
      </c>
      <c r="C1358" s="66">
        <v>14347797</v>
      </c>
    </row>
    <row r="1359" spans="1:3" ht="16.05" customHeight="1">
      <c r="A1359" s="15">
        <v>9</v>
      </c>
      <c r="B1359" s="15">
        <v>14347796</v>
      </c>
      <c r="C1359" s="66">
        <v>14347928</v>
      </c>
    </row>
    <row r="1360" spans="1:3" ht="16.05" customHeight="1">
      <c r="A1360" s="15">
        <v>9</v>
      </c>
      <c r="B1360" s="15">
        <v>14348680</v>
      </c>
      <c r="C1360" s="66">
        <v>14348778</v>
      </c>
    </row>
    <row r="1361" spans="1:3" ht="16.05" customHeight="1">
      <c r="A1361" s="15">
        <v>9</v>
      </c>
      <c r="B1361" s="15">
        <v>14348821</v>
      </c>
      <c r="C1361" s="66">
        <v>14349019</v>
      </c>
    </row>
    <row r="1362" spans="1:3" ht="16.05" customHeight="1">
      <c r="A1362" s="15">
        <v>9</v>
      </c>
      <c r="B1362" s="15">
        <v>23820820</v>
      </c>
      <c r="C1362" s="66">
        <v>23821040</v>
      </c>
    </row>
    <row r="1363" spans="1:3" ht="16.05" customHeight="1">
      <c r="A1363" s="15">
        <v>9</v>
      </c>
      <c r="B1363" s="15">
        <v>23821045</v>
      </c>
      <c r="C1363" s="66">
        <v>23821151</v>
      </c>
    </row>
    <row r="1364" spans="1:3" ht="16.05" customHeight="1">
      <c r="A1364" s="15">
        <v>9</v>
      </c>
      <c r="B1364" s="15">
        <v>23822494</v>
      </c>
      <c r="C1364" s="66">
        <v>23822714</v>
      </c>
    </row>
    <row r="1365" spans="1:3" ht="16.05" customHeight="1">
      <c r="A1365" s="15">
        <v>9</v>
      </c>
      <c r="B1365" s="15">
        <v>37027883</v>
      </c>
      <c r="C1365" s="66">
        <v>37027984</v>
      </c>
    </row>
    <row r="1366" spans="1:3" ht="16.05" customHeight="1">
      <c r="A1366" s="15">
        <v>9</v>
      </c>
      <c r="B1366" s="15">
        <v>37036350</v>
      </c>
      <c r="C1366" s="66">
        <v>37036377</v>
      </c>
    </row>
    <row r="1367" spans="1:3" ht="16.05" customHeight="1">
      <c r="A1367" s="15">
        <v>9</v>
      </c>
      <c r="B1367" s="15">
        <v>37036418</v>
      </c>
      <c r="C1367" s="66">
        <v>37036661</v>
      </c>
    </row>
    <row r="1368" spans="1:3" ht="16.05" customHeight="1">
      <c r="A1368" s="15">
        <v>9</v>
      </c>
      <c r="B1368" s="15">
        <v>37036647</v>
      </c>
      <c r="C1368" s="66">
        <v>37036795</v>
      </c>
    </row>
    <row r="1369" spans="1:3" ht="16.05" customHeight="1">
      <c r="A1369" s="15">
        <v>9</v>
      </c>
      <c r="B1369" s="15">
        <v>37037616</v>
      </c>
      <c r="C1369" s="66">
        <v>37037693</v>
      </c>
    </row>
    <row r="1370" spans="1:3" ht="16.05" customHeight="1">
      <c r="A1370" s="15">
        <v>9</v>
      </c>
      <c r="B1370" s="15">
        <v>37037878</v>
      </c>
      <c r="C1370" s="66">
        <v>37037971</v>
      </c>
    </row>
    <row r="1371" spans="1:3" ht="16.05" customHeight="1">
      <c r="A1371" s="15">
        <v>9</v>
      </c>
      <c r="B1371" s="15">
        <v>37037992</v>
      </c>
      <c r="C1371" s="66">
        <v>37038080</v>
      </c>
    </row>
    <row r="1372" spans="1:3" ht="16.05" customHeight="1">
      <c r="A1372" s="15">
        <v>9</v>
      </c>
      <c r="B1372" s="15">
        <v>37038095</v>
      </c>
      <c r="C1372" s="66">
        <v>37038167</v>
      </c>
    </row>
    <row r="1373" spans="1:3" ht="16.05" customHeight="1">
      <c r="A1373" s="15">
        <v>9</v>
      </c>
      <c r="B1373" s="15">
        <v>6645519</v>
      </c>
      <c r="C1373" s="66">
        <v>6645753</v>
      </c>
    </row>
    <row r="1374" spans="1:3" ht="16.05" customHeight="1">
      <c r="A1374" s="15">
        <v>9</v>
      </c>
      <c r="B1374" s="15">
        <v>74764558</v>
      </c>
      <c r="C1374" s="66">
        <v>74764668</v>
      </c>
    </row>
    <row r="1375" spans="1:3" ht="16.05" customHeight="1">
      <c r="A1375" s="15">
        <v>9</v>
      </c>
      <c r="B1375" s="15">
        <v>79637300</v>
      </c>
      <c r="C1375" s="66">
        <v>79637463</v>
      </c>
    </row>
    <row r="1376" spans="1:3" ht="16.05" customHeight="1">
      <c r="A1376" s="15">
        <v>9</v>
      </c>
      <c r="B1376" s="15">
        <v>841335</v>
      </c>
      <c r="C1376" s="66">
        <v>842023</v>
      </c>
    </row>
    <row r="1377" spans="1:3" ht="16.05" customHeight="1">
      <c r="A1377" s="15">
        <v>9</v>
      </c>
      <c r="B1377" s="15">
        <v>842625</v>
      </c>
      <c r="C1377" s="66">
        <v>842775</v>
      </c>
    </row>
    <row r="1378" spans="1:3" ht="16.05" customHeight="1">
      <c r="A1378" s="15">
        <v>9</v>
      </c>
      <c r="B1378" s="15">
        <v>842767</v>
      </c>
      <c r="C1378" s="66">
        <v>842957</v>
      </c>
    </row>
    <row r="1379" spans="1:3" ht="16.05" customHeight="1">
      <c r="A1379" s="15">
        <v>9</v>
      </c>
      <c r="B1379" s="15">
        <v>89560710</v>
      </c>
      <c r="C1379" s="66">
        <v>89560914</v>
      </c>
    </row>
    <row r="1380" spans="1:3" ht="16.05" customHeight="1">
      <c r="A1380" s="15">
        <v>9</v>
      </c>
      <c r="B1380" s="15">
        <v>89560915</v>
      </c>
      <c r="C1380" s="66">
        <v>89561053</v>
      </c>
    </row>
    <row r="1381" spans="1:3" ht="16.05" customHeight="1">
      <c r="A1381" s="15">
        <v>9</v>
      </c>
      <c r="B1381" s="15">
        <v>91849627</v>
      </c>
      <c r="C1381" s="66">
        <v>91849850</v>
      </c>
    </row>
    <row r="1382" spans="1:3" ht="16.05" customHeight="1">
      <c r="A1382" s="15">
        <v>9</v>
      </c>
      <c r="B1382" s="15">
        <v>96714120</v>
      </c>
      <c r="C1382" s="66">
        <v>96714301</v>
      </c>
    </row>
    <row r="1383" spans="1:3" ht="16.05" customHeight="1">
      <c r="A1383" s="15">
        <v>9</v>
      </c>
      <c r="B1383" s="15">
        <v>96714308</v>
      </c>
      <c r="C1383" s="66">
        <v>96714462</v>
      </c>
    </row>
    <row r="1384" spans="1:3" ht="16.05" customHeight="1">
      <c r="A1384" s="15">
        <v>10</v>
      </c>
      <c r="B1384" s="15">
        <v>100993782</v>
      </c>
      <c r="C1384" s="66">
        <v>100993977</v>
      </c>
    </row>
    <row r="1385" spans="1:3" ht="16.05" customHeight="1">
      <c r="A1385" s="15">
        <v>10</v>
      </c>
      <c r="B1385" s="15">
        <v>101280084</v>
      </c>
      <c r="C1385" s="66">
        <v>101280236</v>
      </c>
    </row>
    <row r="1386" spans="1:3" ht="16.05" customHeight="1">
      <c r="A1386" s="15">
        <v>10</v>
      </c>
      <c r="B1386" s="15">
        <v>101280251</v>
      </c>
      <c r="C1386" s="66">
        <v>101280407</v>
      </c>
    </row>
    <row r="1387" spans="1:3" ht="16.05" customHeight="1">
      <c r="A1387" s="15">
        <v>10</v>
      </c>
      <c r="B1387" s="15">
        <v>101283325</v>
      </c>
      <c r="C1387" s="66">
        <v>101283492</v>
      </c>
    </row>
    <row r="1388" spans="1:3" ht="16.05" customHeight="1">
      <c r="A1388" s="15">
        <v>10</v>
      </c>
      <c r="B1388" s="15">
        <v>101287578</v>
      </c>
      <c r="C1388" s="66">
        <v>101287679</v>
      </c>
    </row>
    <row r="1389" spans="1:3" ht="16.05" customHeight="1">
      <c r="A1389" s="15">
        <v>10</v>
      </c>
      <c r="B1389" s="15">
        <v>101287707</v>
      </c>
      <c r="C1389" s="66">
        <v>101287790</v>
      </c>
    </row>
    <row r="1390" spans="1:3" ht="16.05" customHeight="1">
      <c r="A1390" s="15">
        <v>10</v>
      </c>
      <c r="B1390" s="15">
        <v>101287805</v>
      </c>
      <c r="C1390" s="66">
        <v>101288002</v>
      </c>
    </row>
    <row r="1391" spans="1:3" ht="16.05" customHeight="1">
      <c r="A1391" s="15">
        <v>10</v>
      </c>
      <c r="B1391" s="15">
        <v>101292432</v>
      </c>
      <c r="C1391" s="66">
        <v>101292559</v>
      </c>
    </row>
    <row r="1392" spans="1:3" ht="16.05" customHeight="1">
      <c r="A1392" s="15">
        <v>10</v>
      </c>
      <c r="B1392" s="15">
        <v>101292972</v>
      </c>
      <c r="C1392" s="66">
        <v>101293022</v>
      </c>
    </row>
    <row r="1393" spans="1:3" ht="16.05" customHeight="1">
      <c r="A1393" s="15">
        <v>10</v>
      </c>
      <c r="B1393" s="15">
        <v>101293027</v>
      </c>
      <c r="C1393" s="66">
        <v>101293243</v>
      </c>
    </row>
    <row r="1394" spans="1:3" ht="16.05" customHeight="1">
      <c r="A1394" s="15">
        <v>10</v>
      </c>
      <c r="B1394" s="15">
        <v>101293623</v>
      </c>
      <c r="C1394" s="66">
        <v>101293817</v>
      </c>
    </row>
    <row r="1395" spans="1:3" ht="16.05" customHeight="1">
      <c r="A1395" s="15">
        <v>10</v>
      </c>
      <c r="B1395" s="15">
        <v>101293828</v>
      </c>
      <c r="C1395" s="66">
        <v>101293964</v>
      </c>
    </row>
    <row r="1396" spans="1:3" ht="16.05" customHeight="1">
      <c r="A1396" s="15">
        <v>10</v>
      </c>
      <c r="B1396" s="15">
        <v>101294478</v>
      </c>
      <c r="C1396" s="66">
        <v>101294563</v>
      </c>
    </row>
    <row r="1397" spans="1:3" ht="16.05" customHeight="1">
      <c r="A1397" s="15">
        <v>10</v>
      </c>
      <c r="B1397" s="15">
        <v>101294590</v>
      </c>
      <c r="C1397" s="66">
        <v>101294817</v>
      </c>
    </row>
    <row r="1398" spans="1:3" ht="16.05" customHeight="1">
      <c r="A1398" s="15">
        <v>10</v>
      </c>
      <c r="B1398" s="15">
        <v>101294997</v>
      </c>
      <c r="C1398" s="66">
        <v>101295148</v>
      </c>
    </row>
    <row r="1399" spans="1:3" ht="16.05" customHeight="1">
      <c r="A1399" s="15">
        <v>10</v>
      </c>
      <c r="B1399" s="15">
        <v>101295567</v>
      </c>
      <c r="C1399" s="66">
        <v>101295751</v>
      </c>
    </row>
    <row r="1400" spans="1:3" ht="16.05" customHeight="1">
      <c r="A1400" s="15">
        <v>10</v>
      </c>
      <c r="B1400" s="15">
        <v>101295771</v>
      </c>
      <c r="C1400" s="66">
        <v>101295802</v>
      </c>
    </row>
    <row r="1401" spans="1:3" ht="16.05" customHeight="1">
      <c r="A1401" s="15">
        <v>10</v>
      </c>
      <c r="B1401" s="15">
        <v>102419048</v>
      </c>
      <c r="C1401" s="66">
        <v>102419101</v>
      </c>
    </row>
    <row r="1402" spans="1:3" ht="16.05" customHeight="1">
      <c r="A1402" s="15">
        <v>10</v>
      </c>
      <c r="B1402" s="15">
        <v>102419143</v>
      </c>
      <c r="C1402" s="66">
        <v>102419229</v>
      </c>
    </row>
    <row r="1403" spans="1:3" ht="16.05" customHeight="1">
      <c r="A1403" s="15">
        <v>10</v>
      </c>
      <c r="B1403" s="15">
        <v>102419240</v>
      </c>
      <c r="C1403" s="66">
        <v>102419373</v>
      </c>
    </row>
    <row r="1404" spans="1:3" ht="16.05" customHeight="1">
      <c r="A1404" s="15">
        <v>10</v>
      </c>
      <c r="B1404" s="15">
        <v>102473563</v>
      </c>
      <c r="C1404" s="66">
        <v>102473671</v>
      </c>
    </row>
    <row r="1405" spans="1:3" ht="16.05" customHeight="1">
      <c r="A1405" s="15">
        <v>10</v>
      </c>
      <c r="B1405" s="15">
        <v>102484079</v>
      </c>
      <c r="C1405" s="66">
        <v>102484380</v>
      </c>
    </row>
    <row r="1406" spans="1:3" ht="16.05" customHeight="1">
      <c r="A1406" s="15">
        <v>10</v>
      </c>
      <c r="B1406" s="15">
        <v>102495190</v>
      </c>
      <c r="C1406" s="66">
        <v>102495326</v>
      </c>
    </row>
    <row r="1407" spans="1:3" ht="16.05" customHeight="1">
      <c r="A1407" s="15">
        <v>10</v>
      </c>
      <c r="B1407" s="15">
        <v>102495329</v>
      </c>
      <c r="C1407" s="66">
        <v>102495524</v>
      </c>
    </row>
    <row r="1408" spans="1:3" ht="16.05" customHeight="1">
      <c r="A1408" s="15">
        <v>10</v>
      </c>
      <c r="B1408" s="15">
        <v>102497536</v>
      </c>
      <c r="C1408" s="66">
        <v>102497680</v>
      </c>
    </row>
    <row r="1409" spans="1:3" ht="16.05" customHeight="1">
      <c r="A1409" s="15">
        <v>10</v>
      </c>
      <c r="B1409" s="15">
        <v>102504262</v>
      </c>
      <c r="C1409" s="66">
        <v>102504447</v>
      </c>
    </row>
    <row r="1410" spans="1:3" ht="16.05" customHeight="1">
      <c r="A1410" s="15">
        <v>10</v>
      </c>
      <c r="B1410" s="15">
        <v>102508461</v>
      </c>
      <c r="C1410" s="66">
        <v>102508539</v>
      </c>
    </row>
    <row r="1411" spans="1:3" ht="16.05" customHeight="1">
      <c r="A1411" s="15">
        <v>10</v>
      </c>
      <c r="B1411" s="15">
        <v>102508628</v>
      </c>
      <c r="C1411" s="66">
        <v>102508803</v>
      </c>
    </row>
    <row r="1412" spans="1:3" ht="16.05" customHeight="1">
      <c r="A1412" s="15">
        <v>10</v>
      </c>
      <c r="B1412" s="15">
        <v>102586065</v>
      </c>
      <c r="C1412" s="66">
        <v>102586260</v>
      </c>
    </row>
    <row r="1413" spans="1:3" ht="16.05" customHeight="1">
      <c r="A1413" s="15">
        <v>10</v>
      </c>
      <c r="B1413" s="15">
        <v>102893808</v>
      </c>
      <c r="C1413" s="66">
        <v>102894033</v>
      </c>
    </row>
    <row r="1414" spans="1:3" ht="16.05" customHeight="1">
      <c r="A1414" s="15">
        <v>10</v>
      </c>
      <c r="B1414" s="15">
        <v>102894041</v>
      </c>
      <c r="C1414" s="66">
        <v>102894306</v>
      </c>
    </row>
    <row r="1415" spans="1:3" ht="16.05" customHeight="1">
      <c r="A1415" s="15">
        <v>10</v>
      </c>
      <c r="B1415" s="15">
        <v>102894542</v>
      </c>
      <c r="C1415" s="66">
        <v>102894808</v>
      </c>
    </row>
    <row r="1416" spans="1:3" ht="16.05" customHeight="1">
      <c r="A1416" s="15">
        <v>10</v>
      </c>
      <c r="B1416" s="15">
        <v>102894942</v>
      </c>
      <c r="C1416" s="66">
        <v>102895064</v>
      </c>
    </row>
    <row r="1417" spans="1:3" ht="16.05" customHeight="1">
      <c r="A1417" s="15">
        <v>10</v>
      </c>
      <c r="B1417" s="15">
        <v>102895101</v>
      </c>
      <c r="C1417" s="66">
        <v>102895196</v>
      </c>
    </row>
    <row r="1418" spans="1:3" ht="16.05" customHeight="1">
      <c r="A1418" s="15">
        <v>10</v>
      </c>
      <c r="B1418" s="15">
        <v>102900043</v>
      </c>
      <c r="C1418" s="66">
        <v>102900194</v>
      </c>
    </row>
    <row r="1419" spans="1:3" ht="16.05" customHeight="1">
      <c r="A1419" s="15">
        <v>10</v>
      </c>
      <c r="B1419" s="15">
        <v>102900187</v>
      </c>
      <c r="C1419" s="66">
        <v>102900293</v>
      </c>
    </row>
    <row r="1420" spans="1:3" ht="16.05" customHeight="1">
      <c r="A1420" s="15">
        <v>10</v>
      </c>
      <c r="B1420" s="15">
        <v>102977464</v>
      </c>
      <c r="C1420" s="66">
        <v>102977654</v>
      </c>
    </row>
    <row r="1421" spans="1:3" ht="16.05" customHeight="1">
      <c r="A1421" s="15">
        <v>10</v>
      </c>
      <c r="B1421" s="15">
        <v>102984494</v>
      </c>
      <c r="C1421" s="66">
        <v>102984619</v>
      </c>
    </row>
    <row r="1422" spans="1:3" ht="16.05" customHeight="1">
      <c r="A1422" s="15">
        <v>10</v>
      </c>
      <c r="B1422" s="15">
        <v>102984616</v>
      </c>
      <c r="C1422" s="66">
        <v>102984731</v>
      </c>
    </row>
    <row r="1423" spans="1:3" ht="16.05" customHeight="1">
      <c r="A1423" s="15">
        <v>10</v>
      </c>
      <c r="B1423" s="15">
        <v>102984762</v>
      </c>
      <c r="C1423" s="66">
        <v>102984815</v>
      </c>
    </row>
    <row r="1424" spans="1:3" ht="16.05" customHeight="1">
      <c r="A1424" s="15">
        <v>10</v>
      </c>
      <c r="B1424" s="15">
        <v>102986798</v>
      </c>
      <c r="C1424" s="66">
        <v>102986959</v>
      </c>
    </row>
    <row r="1425" spans="1:3" ht="16.05" customHeight="1">
      <c r="A1425" s="15">
        <v>10</v>
      </c>
      <c r="B1425" s="15">
        <v>102986951</v>
      </c>
      <c r="C1425" s="66">
        <v>102987144</v>
      </c>
    </row>
    <row r="1426" spans="1:3" ht="16.05" customHeight="1">
      <c r="A1426" s="15">
        <v>10</v>
      </c>
      <c r="B1426" s="15">
        <v>102988089</v>
      </c>
      <c r="C1426" s="66">
        <v>102988247</v>
      </c>
    </row>
    <row r="1427" spans="1:3" ht="16.05" customHeight="1">
      <c r="A1427" s="15">
        <v>10</v>
      </c>
      <c r="B1427" s="15">
        <v>102988246</v>
      </c>
      <c r="C1427" s="66">
        <v>102988423</v>
      </c>
    </row>
    <row r="1428" spans="1:3" ht="16.05" customHeight="1">
      <c r="A1428" s="15">
        <v>10</v>
      </c>
      <c r="B1428" s="15">
        <v>103043920</v>
      </c>
      <c r="C1428" s="66">
        <v>103044181</v>
      </c>
    </row>
    <row r="1429" spans="1:3" ht="16.05" customHeight="1">
      <c r="A1429" s="15">
        <v>10</v>
      </c>
      <c r="B1429" s="15">
        <v>103986263</v>
      </c>
      <c r="C1429" s="66">
        <v>103986274</v>
      </c>
    </row>
    <row r="1430" spans="1:3" ht="16.05" customHeight="1">
      <c r="A1430" s="15">
        <v>10</v>
      </c>
      <c r="B1430" s="15">
        <v>105036553</v>
      </c>
      <c r="C1430" s="66">
        <v>105036783</v>
      </c>
    </row>
    <row r="1431" spans="1:3" ht="16.05" customHeight="1">
      <c r="A1431" s="15">
        <v>10</v>
      </c>
      <c r="B1431" s="15">
        <v>106399453</v>
      </c>
      <c r="C1431" s="66">
        <v>106399519</v>
      </c>
    </row>
    <row r="1432" spans="1:3" ht="16.05" customHeight="1">
      <c r="A1432" s="15">
        <v>10</v>
      </c>
      <c r="B1432" s="15">
        <v>106399563</v>
      </c>
      <c r="C1432" s="66">
        <v>106399688</v>
      </c>
    </row>
    <row r="1433" spans="1:3" ht="16.05" customHeight="1">
      <c r="A1433" s="15">
        <v>10</v>
      </c>
      <c r="B1433" s="15">
        <v>106400391</v>
      </c>
      <c r="C1433" s="66">
        <v>106400708</v>
      </c>
    </row>
    <row r="1434" spans="1:3" ht="16.05" customHeight="1">
      <c r="A1434" s="15">
        <v>10</v>
      </c>
      <c r="B1434" s="15">
        <v>108924193</v>
      </c>
      <c r="C1434" s="66">
        <v>108924358</v>
      </c>
    </row>
    <row r="1435" spans="1:3" ht="16.05" customHeight="1">
      <c r="A1435" s="15">
        <v>10</v>
      </c>
      <c r="B1435" s="15">
        <v>108924361</v>
      </c>
      <c r="C1435" s="66">
        <v>108924538</v>
      </c>
    </row>
    <row r="1436" spans="1:3" ht="16.05" customHeight="1">
      <c r="A1436" s="15">
        <v>10</v>
      </c>
      <c r="B1436" s="15">
        <v>109674686</v>
      </c>
      <c r="C1436" s="66">
        <v>109674805</v>
      </c>
    </row>
    <row r="1437" spans="1:3" ht="16.05" customHeight="1">
      <c r="A1437" s="15">
        <v>10</v>
      </c>
      <c r="B1437" s="15">
        <v>109674802</v>
      </c>
      <c r="C1437" s="66">
        <v>109674992</v>
      </c>
    </row>
    <row r="1438" spans="1:3" ht="16.05" customHeight="1">
      <c r="A1438" s="15">
        <v>10</v>
      </c>
      <c r="B1438" s="15">
        <v>112403275</v>
      </c>
      <c r="C1438" s="66">
        <v>112403374</v>
      </c>
    </row>
    <row r="1439" spans="1:3" ht="16.05" customHeight="1">
      <c r="A1439" s="15">
        <v>10</v>
      </c>
      <c r="B1439" s="15">
        <v>118030822</v>
      </c>
      <c r="C1439" s="66">
        <v>118030965</v>
      </c>
    </row>
    <row r="1440" spans="1:3" ht="16.05" customHeight="1">
      <c r="A1440" s="15">
        <v>10</v>
      </c>
      <c r="B1440" s="15">
        <v>118030965</v>
      </c>
      <c r="C1440" s="66">
        <v>118031125</v>
      </c>
    </row>
    <row r="1441" spans="1:3" ht="16.05" customHeight="1">
      <c r="A1441" s="15">
        <v>10</v>
      </c>
      <c r="B1441" s="15">
        <v>118031477</v>
      </c>
      <c r="C1441" s="66">
        <v>118031553</v>
      </c>
    </row>
    <row r="1442" spans="1:3" ht="16.05" customHeight="1">
      <c r="A1442" s="15">
        <v>10</v>
      </c>
      <c r="B1442" s="15">
        <v>118032350</v>
      </c>
      <c r="C1442" s="66">
        <v>118032503</v>
      </c>
    </row>
    <row r="1443" spans="1:3" ht="16.05" customHeight="1">
      <c r="A1443" s="15">
        <v>10</v>
      </c>
      <c r="B1443" s="15">
        <v>118032754</v>
      </c>
      <c r="C1443" s="66">
        <v>118033143</v>
      </c>
    </row>
    <row r="1444" spans="1:3" ht="16.05" customHeight="1">
      <c r="A1444" s="15">
        <v>10</v>
      </c>
      <c r="B1444" s="15">
        <v>118892256</v>
      </c>
      <c r="C1444" s="66">
        <v>118892464</v>
      </c>
    </row>
    <row r="1445" spans="1:3" ht="16.05" customHeight="1">
      <c r="A1445" s="15">
        <v>10</v>
      </c>
      <c r="B1445" s="15">
        <v>118892465</v>
      </c>
      <c r="C1445" s="66">
        <v>118892644</v>
      </c>
    </row>
    <row r="1446" spans="1:3" ht="16.05" customHeight="1">
      <c r="A1446" s="15">
        <v>10</v>
      </c>
      <c r="B1446" s="15">
        <v>118892966</v>
      </c>
      <c r="C1446" s="66">
        <v>118893053</v>
      </c>
    </row>
    <row r="1447" spans="1:3" ht="16.05" customHeight="1">
      <c r="A1447" s="15">
        <v>10</v>
      </c>
      <c r="B1447" s="15">
        <v>118893089</v>
      </c>
      <c r="C1447" s="66">
        <v>118893284</v>
      </c>
    </row>
    <row r="1448" spans="1:3" ht="16.05" customHeight="1">
      <c r="A1448" s="15">
        <v>10</v>
      </c>
      <c r="B1448" s="15">
        <v>118897728</v>
      </c>
      <c r="C1448" s="66">
        <v>118897878</v>
      </c>
    </row>
    <row r="1449" spans="1:3" ht="16.05" customHeight="1">
      <c r="A1449" s="15">
        <v>10</v>
      </c>
      <c r="B1449" s="15">
        <v>118897888</v>
      </c>
      <c r="C1449" s="66">
        <v>118897998</v>
      </c>
    </row>
    <row r="1450" spans="1:3" ht="16.05" customHeight="1">
      <c r="A1450" s="15">
        <v>10</v>
      </c>
      <c r="B1450" s="15">
        <v>119294886</v>
      </c>
      <c r="C1450" s="66">
        <v>119295082</v>
      </c>
    </row>
    <row r="1451" spans="1:3" ht="16.05" customHeight="1">
      <c r="A1451" s="15">
        <v>10</v>
      </c>
      <c r="B1451" s="15">
        <v>119301596</v>
      </c>
      <c r="C1451" s="66">
        <v>119301834</v>
      </c>
    </row>
    <row r="1452" spans="1:3" ht="16.05" customHeight="1">
      <c r="A1452" s="15">
        <v>10</v>
      </c>
      <c r="B1452" s="15">
        <v>119301928</v>
      </c>
      <c r="C1452" s="66">
        <v>119302068</v>
      </c>
    </row>
    <row r="1453" spans="1:3" ht="16.05" customHeight="1">
      <c r="A1453" s="15">
        <v>10</v>
      </c>
      <c r="B1453" s="15">
        <v>119302068</v>
      </c>
      <c r="C1453" s="66">
        <v>119302228</v>
      </c>
    </row>
    <row r="1454" spans="1:3" ht="16.05" customHeight="1">
      <c r="A1454" s="15">
        <v>10</v>
      </c>
      <c r="B1454" s="15">
        <v>119303058</v>
      </c>
      <c r="C1454" s="66">
        <v>119303131</v>
      </c>
    </row>
    <row r="1455" spans="1:3" ht="16.05" customHeight="1">
      <c r="A1455" s="15">
        <v>10</v>
      </c>
      <c r="B1455" s="15">
        <v>119303149</v>
      </c>
      <c r="C1455" s="66">
        <v>119303379</v>
      </c>
    </row>
    <row r="1456" spans="1:3" ht="16.05" customHeight="1">
      <c r="A1456" s="15">
        <v>10</v>
      </c>
      <c r="B1456" s="15">
        <v>119304374</v>
      </c>
      <c r="C1456" s="66">
        <v>119304569</v>
      </c>
    </row>
    <row r="1457" spans="1:3" ht="16.05" customHeight="1">
      <c r="A1457" s="15">
        <v>10</v>
      </c>
      <c r="B1457" s="15">
        <v>119304578</v>
      </c>
      <c r="C1457" s="66">
        <v>119304742</v>
      </c>
    </row>
    <row r="1458" spans="1:3" ht="16.05" customHeight="1">
      <c r="A1458" s="15">
        <v>10</v>
      </c>
      <c r="B1458" s="15">
        <v>124907452</v>
      </c>
      <c r="C1458" s="66">
        <v>124907714</v>
      </c>
    </row>
    <row r="1459" spans="1:3" ht="16.05" customHeight="1">
      <c r="A1459" s="15">
        <v>10</v>
      </c>
      <c r="B1459" s="15">
        <v>124910886</v>
      </c>
      <c r="C1459" s="66">
        <v>124911139</v>
      </c>
    </row>
    <row r="1460" spans="1:3" ht="16.05" customHeight="1">
      <c r="A1460" s="15">
        <v>10</v>
      </c>
      <c r="B1460" s="15">
        <v>130085034</v>
      </c>
      <c r="C1460" s="66">
        <v>130085317</v>
      </c>
    </row>
    <row r="1461" spans="1:3" ht="16.05" customHeight="1">
      <c r="A1461" s="15">
        <v>10</v>
      </c>
      <c r="B1461" s="15">
        <v>130339838</v>
      </c>
      <c r="C1461" s="66">
        <v>130339900</v>
      </c>
    </row>
    <row r="1462" spans="1:3" ht="16.05" customHeight="1">
      <c r="A1462" s="15">
        <v>10</v>
      </c>
      <c r="B1462" s="15">
        <v>131767858</v>
      </c>
      <c r="C1462" s="66">
        <v>131767908</v>
      </c>
    </row>
    <row r="1463" spans="1:3" ht="16.05" customHeight="1">
      <c r="A1463" s="15">
        <v>10</v>
      </c>
      <c r="B1463" s="15">
        <v>131767921</v>
      </c>
      <c r="C1463" s="66">
        <v>131768241</v>
      </c>
    </row>
    <row r="1464" spans="1:3" ht="16.05" customHeight="1">
      <c r="A1464" s="15">
        <v>10</v>
      </c>
      <c r="B1464" s="15">
        <v>131768791</v>
      </c>
      <c r="C1464" s="66">
        <v>131768859</v>
      </c>
    </row>
    <row r="1465" spans="1:3" ht="16.05" customHeight="1">
      <c r="A1465" s="15">
        <v>10</v>
      </c>
      <c r="B1465" s="15">
        <v>131768890</v>
      </c>
      <c r="C1465" s="66">
        <v>131769021</v>
      </c>
    </row>
    <row r="1466" spans="1:3" ht="16.05" customHeight="1">
      <c r="A1466" s="15">
        <v>10</v>
      </c>
      <c r="B1466" s="15">
        <v>133999950</v>
      </c>
      <c r="C1466" s="66">
        <v>134000274</v>
      </c>
    </row>
    <row r="1467" spans="1:3" ht="16.05" customHeight="1">
      <c r="A1467" s="15">
        <v>10</v>
      </c>
      <c r="B1467" s="15">
        <v>134598760</v>
      </c>
      <c r="C1467" s="66">
        <v>134598867</v>
      </c>
    </row>
    <row r="1468" spans="1:3" ht="16.05" customHeight="1">
      <c r="A1468" s="15">
        <v>10</v>
      </c>
      <c r="B1468" s="15">
        <v>134598872</v>
      </c>
      <c r="C1468" s="66">
        <v>134599101</v>
      </c>
    </row>
    <row r="1469" spans="1:3" ht="16.05" customHeight="1">
      <c r="A1469" s="15">
        <v>10</v>
      </c>
      <c r="B1469" s="15">
        <v>134599667</v>
      </c>
      <c r="C1469" s="66">
        <v>134599866</v>
      </c>
    </row>
    <row r="1470" spans="1:3" ht="16.05" customHeight="1">
      <c r="A1470" s="15">
        <v>10</v>
      </c>
      <c r="B1470" s="15">
        <v>134599905</v>
      </c>
      <c r="C1470" s="66">
        <v>134600004</v>
      </c>
    </row>
    <row r="1471" spans="1:3" ht="16.05" customHeight="1">
      <c r="A1471" s="15">
        <v>10</v>
      </c>
      <c r="B1471" s="15">
        <v>134599923</v>
      </c>
      <c r="C1471" s="66">
        <v>134600111</v>
      </c>
    </row>
    <row r="1472" spans="1:3" ht="16.05" customHeight="1">
      <c r="A1472" s="15">
        <v>10</v>
      </c>
      <c r="B1472" s="15">
        <v>134600116</v>
      </c>
      <c r="C1472" s="66">
        <v>134600264</v>
      </c>
    </row>
    <row r="1473" spans="1:3" ht="16.05" customHeight="1">
      <c r="A1473" s="15">
        <v>10</v>
      </c>
      <c r="B1473" s="15">
        <v>134901160</v>
      </c>
      <c r="C1473" s="66">
        <v>134901285</v>
      </c>
    </row>
    <row r="1474" spans="1:3" ht="16.05" customHeight="1">
      <c r="A1474" s="15">
        <v>10</v>
      </c>
      <c r="B1474" s="15">
        <v>135044073</v>
      </c>
      <c r="C1474" s="66">
        <v>135044219</v>
      </c>
    </row>
    <row r="1475" spans="1:3" ht="16.05" customHeight="1">
      <c r="A1475" s="15">
        <v>10</v>
      </c>
      <c r="B1475" s="15">
        <v>15761688</v>
      </c>
      <c r="C1475" s="66">
        <v>15761789</v>
      </c>
    </row>
    <row r="1476" spans="1:3" ht="16.05" customHeight="1">
      <c r="A1476" s="15">
        <v>10</v>
      </c>
      <c r="B1476" s="15">
        <v>15761802</v>
      </c>
      <c r="C1476" s="66">
        <v>15762022</v>
      </c>
    </row>
    <row r="1477" spans="1:3" ht="16.05" customHeight="1">
      <c r="A1477" s="15">
        <v>10</v>
      </c>
      <c r="B1477" s="15">
        <v>16562452</v>
      </c>
      <c r="C1477" s="66">
        <v>16562542</v>
      </c>
    </row>
    <row r="1478" spans="1:3" ht="16.05" customHeight="1">
      <c r="A1478" s="15">
        <v>10</v>
      </c>
      <c r="B1478" s="15">
        <v>17269770</v>
      </c>
      <c r="C1478" s="66">
        <v>17269923</v>
      </c>
    </row>
    <row r="1479" spans="1:3" ht="16.05" customHeight="1">
      <c r="A1479" s="15">
        <v>10</v>
      </c>
      <c r="B1479" s="15">
        <v>1778695</v>
      </c>
      <c r="C1479" s="66">
        <v>1778866</v>
      </c>
    </row>
    <row r="1480" spans="1:3" ht="16.05" customHeight="1">
      <c r="A1480" s="15">
        <v>10</v>
      </c>
      <c r="B1480" s="15">
        <v>1778887</v>
      </c>
      <c r="C1480" s="66">
        <v>1779016</v>
      </c>
    </row>
    <row r="1481" spans="1:3" ht="16.05" customHeight="1">
      <c r="A1481" s="15">
        <v>10</v>
      </c>
      <c r="B1481" s="15">
        <v>18429638</v>
      </c>
      <c r="C1481" s="66">
        <v>18429909</v>
      </c>
    </row>
    <row r="1482" spans="1:3" ht="16.05" customHeight="1">
      <c r="A1482" s="15">
        <v>10</v>
      </c>
      <c r="B1482" s="15">
        <v>22623951</v>
      </c>
      <c r="C1482" s="66">
        <v>22623989</v>
      </c>
    </row>
    <row r="1483" spans="1:3" ht="16.05" customHeight="1">
      <c r="A1483" s="15">
        <v>10</v>
      </c>
      <c r="B1483" s="15">
        <v>22624033</v>
      </c>
      <c r="C1483" s="66">
        <v>22624266</v>
      </c>
    </row>
    <row r="1484" spans="1:3" ht="16.05" customHeight="1">
      <c r="A1484" s="15">
        <v>10</v>
      </c>
      <c r="B1484" s="15">
        <v>22624200</v>
      </c>
      <c r="C1484" s="66">
        <v>22624342</v>
      </c>
    </row>
    <row r="1485" spans="1:3" ht="16.05" customHeight="1">
      <c r="A1485" s="15">
        <v>10</v>
      </c>
      <c r="B1485" s="15">
        <v>22624345</v>
      </c>
      <c r="C1485" s="66">
        <v>22624549</v>
      </c>
    </row>
    <row r="1486" spans="1:3" ht="16.05" customHeight="1">
      <c r="A1486" s="15">
        <v>10</v>
      </c>
      <c r="B1486" s="15">
        <v>22624495</v>
      </c>
      <c r="C1486" s="66">
        <v>22624669</v>
      </c>
    </row>
    <row r="1487" spans="1:3" ht="16.05" customHeight="1">
      <c r="A1487" s="15">
        <v>10</v>
      </c>
      <c r="B1487" s="15">
        <v>22624667</v>
      </c>
      <c r="C1487" s="66">
        <v>22624833</v>
      </c>
    </row>
    <row r="1488" spans="1:3" ht="16.05" customHeight="1">
      <c r="A1488" s="15">
        <v>10</v>
      </c>
      <c r="B1488" s="15">
        <v>22634273</v>
      </c>
      <c r="C1488" s="66">
        <v>22634371</v>
      </c>
    </row>
    <row r="1489" spans="1:3" ht="16.05" customHeight="1">
      <c r="A1489" s="15">
        <v>10</v>
      </c>
      <c r="B1489" s="15">
        <v>22634373</v>
      </c>
      <c r="C1489" s="66">
        <v>22634537</v>
      </c>
    </row>
    <row r="1490" spans="1:3" ht="16.05" customHeight="1">
      <c r="A1490" s="15">
        <v>10</v>
      </c>
      <c r="B1490" s="15">
        <v>22634532</v>
      </c>
      <c r="C1490" s="66">
        <v>22634611</v>
      </c>
    </row>
    <row r="1491" spans="1:3" ht="16.05" customHeight="1">
      <c r="A1491" s="15">
        <v>10</v>
      </c>
      <c r="B1491" s="15">
        <v>22765576</v>
      </c>
      <c r="C1491" s="66">
        <v>22765814</v>
      </c>
    </row>
    <row r="1492" spans="1:3" ht="16.05" customHeight="1">
      <c r="A1492" s="15">
        <v>10</v>
      </c>
      <c r="B1492" s="15">
        <v>23001917</v>
      </c>
      <c r="C1492" s="66">
        <v>23001976</v>
      </c>
    </row>
    <row r="1493" spans="1:3" ht="16.05" customHeight="1">
      <c r="A1493" s="15">
        <v>10</v>
      </c>
      <c r="B1493" s="15">
        <v>23216683</v>
      </c>
      <c r="C1493" s="66">
        <v>23216701</v>
      </c>
    </row>
    <row r="1494" spans="1:3" ht="16.05" customHeight="1">
      <c r="A1494" s="15">
        <v>10</v>
      </c>
      <c r="B1494" s="15">
        <v>23216722</v>
      </c>
      <c r="C1494" s="66">
        <v>23217006</v>
      </c>
    </row>
    <row r="1495" spans="1:3" ht="16.05" customHeight="1">
      <c r="A1495" s="15">
        <v>10</v>
      </c>
      <c r="B1495" s="15">
        <v>23463010</v>
      </c>
      <c r="C1495" s="66">
        <v>23463136</v>
      </c>
    </row>
    <row r="1496" spans="1:3" ht="16.05" customHeight="1">
      <c r="A1496" s="15">
        <v>10</v>
      </c>
      <c r="B1496" s="15">
        <v>23463161</v>
      </c>
      <c r="C1496" s="66">
        <v>23463265</v>
      </c>
    </row>
    <row r="1497" spans="1:3" ht="16.05" customHeight="1">
      <c r="A1497" s="15">
        <v>10</v>
      </c>
      <c r="B1497" s="15">
        <v>23463224</v>
      </c>
      <c r="C1497" s="66">
        <v>23463409</v>
      </c>
    </row>
    <row r="1498" spans="1:3" ht="16.05" customHeight="1">
      <c r="A1498" s="15">
        <v>10</v>
      </c>
      <c r="B1498" s="15">
        <v>23463417</v>
      </c>
      <c r="C1498" s="66">
        <v>23463549</v>
      </c>
    </row>
    <row r="1499" spans="1:3" ht="16.05" customHeight="1">
      <c r="A1499" s="15">
        <v>10</v>
      </c>
      <c r="B1499" s="15">
        <v>23484490</v>
      </c>
      <c r="C1499" s="66">
        <v>23484724</v>
      </c>
    </row>
    <row r="1500" spans="1:3" ht="16.05" customHeight="1">
      <c r="A1500" s="15">
        <v>10</v>
      </c>
      <c r="B1500" s="15">
        <v>23984769</v>
      </c>
      <c r="C1500" s="66">
        <v>23984886</v>
      </c>
    </row>
    <row r="1501" spans="1:3" ht="16.05" customHeight="1">
      <c r="A1501" s="15">
        <v>10</v>
      </c>
      <c r="B1501" s="15">
        <v>25464556</v>
      </c>
      <c r="C1501" s="66">
        <v>25464729</v>
      </c>
    </row>
    <row r="1502" spans="1:3" ht="16.05" customHeight="1">
      <c r="A1502" s="15">
        <v>10</v>
      </c>
      <c r="B1502" s="15">
        <v>25464737</v>
      </c>
      <c r="C1502" s="66">
        <v>25464876</v>
      </c>
    </row>
    <row r="1503" spans="1:3" ht="16.05" customHeight="1">
      <c r="A1503" s="15">
        <v>10</v>
      </c>
      <c r="B1503" s="15">
        <v>25465258</v>
      </c>
      <c r="C1503" s="66">
        <v>25465486</v>
      </c>
    </row>
    <row r="1504" spans="1:3" ht="16.05" customHeight="1">
      <c r="A1504" s="15">
        <v>10</v>
      </c>
      <c r="B1504" s="15">
        <v>26504964</v>
      </c>
      <c r="C1504" s="66">
        <v>26505086</v>
      </c>
    </row>
    <row r="1505" spans="1:3" ht="16.05" customHeight="1">
      <c r="A1505" s="15">
        <v>10</v>
      </c>
      <c r="B1505" s="15">
        <v>26505122</v>
      </c>
      <c r="C1505" s="66">
        <v>26505291</v>
      </c>
    </row>
    <row r="1506" spans="1:3" ht="16.05" customHeight="1">
      <c r="A1506" s="15">
        <v>10</v>
      </c>
      <c r="B1506" s="15">
        <v>26505435</v>
      </c>
      <c r="C1506" s="66">
        <v>26505673</v>
      </c>
    </row>
    <row r="1507" spans="1:3" ht="16.05" customHeight="1">
      <c r="A1507" s="15">
        <v>10</v>
      </c>
      <c r="B1507" s="15">
        <v>28034183</v>
      </c>
      <c r="C1507" s="66">
        <v>28034264</v>
      </c>
    </row>
    <row r="1508" spans="1:3" ht="16.05" customHeight="1">
      <c r="A1508" s="15">
        <v>10</v>
      </c>
      <c r="B1508" s="15">
        <v>28957404</v>
      </c>
      <c r="C1508" s="66">
        <v>28957559</v>
      </c>
    </row>
    <row r="1509" spans="1:3" ht="16.05" customHeight="1">
      <c r="A1509" s="15">
        <v>10</v>
      </c>
      <c r="B1509" s="15">
        <v>43428380</v>
      </c>
      <c r="C1509" s="66">
        <v>43428643</v>
      </c>
    </row>
    <row r="1510" spans="1:3" ht="16.05" customHeight="1">
      <c r="A1510" s="15">
        <v>10</v>
      </c>
      <c r="B1510" s="15">
        <v>43818292</v>
      </c>
      <c r="C1510" s="66">
        <v>43818543</v>
      </c>
    </row>
    <row r="1511" spans="1:3" ht="16.05" customHeight="1">
      <c r="A1511" s="15">
        <v>10</v>
      </c>
      <c r="B1511" s="15">
        <v>50817635</v>
      </c>
      <c r="C1511" s="66">
        <v>50817728</v>
      </c>
    </row>
    <row r="1512" spans="1:3" ht="16.05" customHeight="1">
      <c r="A1512" s="15">
        <v>10</v>
      </c>
      <c r="B1512" s="15">
        <v>50817770</v>
      </c>
      <c r="C1512" s="66">
        <v>50817978</v>
      </c>
    </row>
    <row r="1513" spans="1:3" ht="16.05" customHeight="1">
      <c r="A1513" s="15">
        <v>10</v>
      </c>
      <c r="B1513" s="15">
        <v>57387401</v>
      </c>
      <c r="C1513" s="66">
        <v>57387517</v>
      </c>
    </row>
    <row r="1514" spans="1:3" ht="16.05" customHeight="1">
      <c r="A1514" s="15">
        <v>10</v>
      </c>
      <c r="B1514" s="15">
        <v>57387598</v>
      </c>
      <c r="C1514" s="66">
        <v>57387788</v>
      </c>
    </row>
    <row r="1515" spans="1:3" ht="16.05" customHeight="1">
      <c r="A1515" s="15">
        <v>10</v>
      </c>
      <c r="B1515" s="15">
        <v>57387895</v>
      </c>
      <c r="C1515" s="66">
        <v>57388018</v>
      </c>
    </row>
    <row r="1516" spans="1:3" ht="16.05" customHeight="1">
      <c r="A1516" s="15">
        <v>10</v>
      </c>
      <c r="B1516" s="15">
        <v>57388064</v>
      </c>
      <c r="C1516" s="66">
        <v>57388144</v>
      </c>
    </row>
    <row r="1517" spans="1:3" ht="16.05" customHeight="1">
      <c r="A1517" s="15">
        <v>10</v>
      </c>
      <c r="B1517" s="15">
        <v>57389612</v>
      </c>
      <c r="C1517" s="66">
        <v>57389800</v>
      </c>
    </row>
    <row r="1518" spans="1:3" ht="16.05" customHeight="1">
      <c r="A1518" s="15">
        <v>10</v>
      </c>
      <c r="B1518" s="15">
        <v>57389850</v>
      </c>
      <c r="C1518" s="66">
        <v>57389937</v>
      </c>
    </row>
    <row r="1519" spans="1:3" ht="16.05" customHeight="1">
      <c r="A1519" s="15">
        <v>10</v>
      </c>
      <c r="B1519" s="15">
        <v>57390156</v>
      </c>
      <c r="C1519" s="66">
        <v>57390458</v>
      </c>
    </row>
    <row r="1520" spans="1:3" ht="16.05" customHeight="1">
      <c r="A1520" s="15">
        <v>10</v>
      </c>
      <c r="B1520" s="15">
        <v>60936619</v>
      </c>
      <c r="C1520" s="66">
        <v>60936879</v>
      </c>
    </row>
    <row r="1521" spans="1:3" ht="16.05" customHeight="1">
      <c r="A1521" s="15">
        <v>10</v>
      </c>
      <c r="B1521" s="15">
        <v>63422506</v>
      </c>
      <c r="C1521" s="66">
        <v>63422561</v>
      </c>
    </row>
    <row r="1522" spans="1:3" ht="16.05" customHeight="1">
      <c r="A1522" s="15">
        <v>10</v>
      </c>
      <c r="B1522" s="15">
        <v>71332575</v>
      </c>
      <c r="C1522" s="66">
        <v>71332868</v>
      </c>
    </row>
    <row r="1523" spans="1:3" ht="16.05" customHeight="1">
      <c r="A1523" s="15">
        <v>10</v>
      </c>
      <c r="B1523" s="15">
        <v>72200439</v>
      </c>
      <c r="C1523" s="66">
        <v>72200717</v>
      </c>
    </row>
    <row r="1524" spans="1:3" ht="16.05" customHeight="1">
      <c r="A1524" s="15">
        <v>10</v>
      </c>
      <c r="B1524" s="15">
        <v>72200737</v>
      </c>
      <c r="C1524" s="66">
        <v>72200786</v>
      </c>
    </row>
    <row r="1525" spans="1:3" ht="16.05" customHeight="1">
      <c r="A1525" s="15">
        <v>10</v>
      </c>
      <c r="B1525" s="15">
        <v>72200854</v>
      </c>
      <c r="C1525" s="66">
        <v>72200942</v>
      </c>
    </row>
    <row r="1526" spans="1:3" ht="16.05" customHeight="1">
      <c r="A1526" s="15">
        <v>10</v>
      </c>
      <c r="B1526" s="15">
        <v>72200967</v>
      </c>
      <c r="C1526" s="66">
        <v>72201081</v>
      </c>
    </row>
    <row r="1527" spans="1:3" ht="16.05" customHeight="1">
      <c r="A1527" s="15">
        <v>10</v>
      </c>
      <c r="B1527" s="15">
        <v>72201091</v>
      </c>
      <c r="C1527" s="66">
        <v>72201183</v>
      </c>
    </row>
    <row r="1528" spans="1:3" ht="16.05" customHeight="1">
      <c r="A1528" s="15">
        <v>10</v>
      </c>
      <c r="B1528" s="15">
        <v>7453551</v>
      </c>
      <c r="C1528" s="66">
        <v>7453630</v>
      </c>
    </row>
    <row r="1529" spans="1:3" ht="16.05" customHeight="1">
      <c r="A1529" s="15">
        <v>10</v>
      </c>
      <c r="B1529" s="15">
        <v>7454394</v>
      </c>
      <c r="C1529" s="66">
        <v>7454497</v>
      </c>
    </row>
    <row r="1530" spans="1:3" ht="16.05" customHeight="1">
      <c r="A1530" s="15">
        <v>10</v>
      </c>
      <c r="B1530" s="15">
        <v>7454527</v>
      </c>
      <c r="C1530" s="66">
        <v>7454736</v>
      </c>
    </row>
    <row r="1531" spans="1:3" ht="16.05" customHeight="1">
      <c r="A1531" s="15">
        <v>10</v>
      </c>
      <c r="B1531" s="15">
        <v>75670575</v>
      </c>
      <c r="C1531" s="66">
        <v>75670607</v>
      </c>
    </row>
    <row r="1532" spans="1:3" ht="16.05" customHeight="1">
      <c r="A1532" s="15">
        <v>10</v>
      </c>
      <c r="B1532" s="15">
        <v>7708695</v>
      </c>
      <c r="C1532" s="66">
        <v>7708963</v>
      </c>
    </row>
    <row r="1533" spans="1:3" ht="16.05" customHeight="1">
      <c r="A1533" s="15">
        <v>10</v>
      </c>
      <c r="B1533" s="15">
        <v>8079200</v>
      </c>
      <c r="C1533" s="66">
        <v>8079357</v>
      </c>
    </row>
    <row r="1534" spans="1:3" ht="16.05" customHeight="1">
      <c r="A1534" s="15">
        <v>10</v>
      </c>
      <c r="B1534" s="15">
        <v>8079365</v>
      </c>
      <c r="C1534" s="66">
        <v>8079481</v>
      </c>
    </row>
    <row r="1535" spans="1:3" ht="16.05" customHeight="1">
      <c r="A1535" s="15">
        <v>10</v>
      </c>
      <c r="B1535" s="15">
        <v>8092000</v>
      </c>
      <c r="C1535" s="66">
        <v>8092200</v>
      </c>
    </row>
    <row r="1536" spans="1:3" ht="16.05" customHeight="1">
      <c r="A1536" s="15">
        <v>10</v>
      </c>
      <c r="B1536" s="15">
        <v>8095325</v>
      </c>
      <c r="C1536" s="66">
        <v>8095837</v>
      </c>
    </row>
    <row r="1537" spans="1:3" ht="16.05" customHeight="1">
      <c r="A1537" s="15">
        <v>10</v>
      </c>
      <c r="B1537" s="15">
        <v>8096215</v>
      </c>
      <c r="C1537" s="66">
        <v>8096485</v>
      </c>
    </row>
    <row r="1538" spans="1:3" ht="16.05" customHeight="1">
      <c r="A1538" s="15">
        <v>10</v>
      </c>
      <c r="B1538" s="15">
        <v>90966879</v>
      </c>
      <c r="C1538" s="66">
        <v>90966948</v>
      </c>
    </row>
    <row r="1539" spans="1:3" ht="16.05" customHeight="1">
      <c r="A1539" s="15">
        <v>10</v>
      </c>
      <c r="B1539" s="15">
        <v>94180311</v>
      </c>
      <c r="C1539" s="66">
        <v>94180557</v>
      </c>
    </row>
    <row r="1540" spans="1:3" ht="16.05" customHeight="1">
      <c r="A1540" s="15">
        <v>10</v>
      </c>
      <c r="B1540" s="15">
        <v>94827946</v>
      </c>
      <c r="C1540" s="66">
        <v>94828070</v>
      </c>
    </row>
    <row r="1541" spans="1:3" ht="16.05" customHeight="1">
      <c r="A1541" s="15">
        <v>10</v>
      </c>
      <c r="B1541" s="15">
        <v>94828098</v>
      </c>
      <c r="C1541" s="66">
        <v>94828271</v>
      </c>
    </row>
    <row r="1542" spans="1:3" ht="16.05" customHeight="1">
      <c r="A1542" s="15">
        <v>11</v>
      </c>
      <c r="B1542" s="15">
        <v>101454501</v>
      </c>
      <c r="C1542" s="66">
        <v>101454582</v>
      </c>
    </row>
    <row r="1543" spans="1:3" ht="16.05" customHeight="1">
      <c r="A1543" s="15">
        <v>11</v>
      </c>
      <c r="B1543" s="15">
        <v>101454621</v>
      </c>
      <c r="C1543" s="66">
        <v>101454836</v>
      </c>
    </row>
    <row r="1544" spans="1:3" ht="16.05" customHeight="1">
      <c r="A1544" s="15">
        <v>11</v>
      </c>
      <c r="B1544" s="15">
        <v>104034194</v>
      </c>
      <c r="C1544" s="66">
        <v>104034363</v>
      </c>
    </row>
    <row r="1545" spans="1:3" ht="16.05" customHeight="1">
      <c r="A1545" s="15">
        <v>11</v>
      </c>
      <c r="B1545" s="15">
        <v>104035199</v>
      </c>
      <c r="C1545" s="66">
        <v>104035210</v>
      </c>
    </row>
    <row r="1546" spans="1:3" ht="16.05" customHeight="1">
      <c r="A1546" s="15">
        <v>11</v>
      </c>
      <c r="B1546" s="15">
        <v>105481122</v>
      </c>
      <c r="C1546" s="66">
        <v>105481238</v>
      </c>
    </row>
    <row r="1547" spans="1:3" ht="16.05" customHeight="1">
      <c r="A1547" s="15">
        <v>11</v>
      </c>
      <c r="B1547" s="15">
        <v>105481241</v>
      </c>
      <c r="C1547" s="66">
        <v>105481427</v>
      </c>
    </row>
    <row r="1548" spans="1:3" ht="16.05" customHeight="1">
      <c r="A1548" s="15">
        <v>11</v>
      </c>
      <c r="B1548" s="15">
        <v>105481455</v>
      </c>
      <c r="C1548" s="66">
        <v>105481563</v>
      </c>
    </row>
    <row r="1549" spans="1:3" ht="16.05" customHeight="1">
      <c r="A1549" s="15">
        <v>11</v>
      </c>
      <c r="B1549" s="15">
        <v>110167803</v>
      </c>
      <c r="C1549" s="66">
        <v>110167814</v>
      </c>
    </row>
    <row r="1550" spans="1:3" ht="16.05" customHeight="1">
      <c r="A1550" s="15">
        <v>11</v>
      </c>
      <c r="B1550" s="15">
        <v>111411024</v>
      </c>
      <c r="C1550" s="66">
        <v>111411115</v>
      </c>
    </row>
    <row r="1551" spans="1:3" ht="16.05" customHeight="1">
      <c r="A1551" s="15">
        <v>11</v>
      </c>
      <c r="B1551" s="15">
        <v>113346274</v>
      </c>
      <c r="C1551" s="66">
        <v>113346434</v>
      </c>
    </row>
    <row r="1552" spans="1:3" ht="16.05" customHeight="1">
      <c r="A1552" s="15">
        <v>11</v>
      </c>
      <c r="B1552" s="15">
        <v>115630456</v>
      </c>
      <c r="C1552" s="66">
        <v>115630563</v>
      </c>
    </row>
    <row r="1553" spans="1:3" ht="16.05" customHeight="1">
      <c r="A1553" s="15">
        <v>11</v>
      </c>
      <c r="B1553" s="15">
        <v>120434904</v>
      </c>
      <c r="C1553" s="66">
        <v>120435062</v>
      </c>
    </row>
    <row r="1554" spans="1:3" ht="16.05" customHeight="1">
      <c r="A1554" s="15">
        <v>11</v>
      </c>
      <c r="B1554" s="15">
        <v>120435064</v>
      </c>
      <c r="C1554" s="66">
        <v>120435230</v>
      </c>
    </row>
    <row r="1555" spans="1:3" ht="16.05" customHeight="1">
      <c r="A1555" s="15">
        <v>11</v>
      </c>
      <c r="B1555" s="15">
        <v>123172859</v>
      </c>
      <c r="C1555" s="66">
        <v>123173034</v>
      </c>
    </row>
    <row r="1556" spans="1:3" ht="16.05" customHeight="1">
      <c r="A1556" s="15">
        <v>11</v>
      </c>
      <c r="B1556" s="15">
        <v>124709629</v>
      </c>
      <c r="C1556" s="66">
        <v>124709954</v>
      </c>
    </row>
    <row r="1557" spans="1:3" ht="16.05" customHeight="1">
      <c r="A1557" s="15">
        <v>11</v>
      </c>
      <c r="B1557" s="15">
        <v>124735014</v>
      </c>
      <c r="C1557" s="66">
        <v>124735274</v>
      </c>
    </row>
    <row r="1558" spans="1:3" ht="16.05" customHeight="1">
      <c r="A1558" s="15">
        <v>11</v>
      </c>
      <c r="B1558" s="15">
        <v>124736112</v>
      </c>
      <c r="C1558" s="66">
        <v>124736226</v>
      </c>
    </row>
    <row r="1559" spans="1:3" ht="16.05" customHeight="1">
      <c r="A1559" s="15">
        <v>11</v>
      </c>
      <c r="B1559" s="15">
        <v>128556606</v>
      </c>
      <c r="C1559" s="66">
        <v>128556747</v>
      </c>
    </row>
    <row r="1560" spans="1:3" ht="16.05" customHeight="1">
      <c r="A1560" s="15">
        <v>11</v>
      </c>
      <c r="B1560" s="15">
        <v>128562857</v>
      </c>
      <c r="C1560" s="66">
        <v>128562929</v>
      </c>
    </row>
    <row r="1561" spans="1:3" ht="16.05" customHeight="1">
      <c r="A1561" s="15">
        <v>11</v>
      </c>
      <c r="B1561" s="15">
        <v>128564713</v>
      </c>
      <c r="C1561" s="66">
        <v>128564936</v>
      </c>
    </row>
    <row r="1562" spans="1:3" ht="16.05" customHeight="1">
      <c r="A1562" s="15">
        <v>11</v>
      </c>
      <c r="B1562" s="15">
        <v>128564955</v>
      </c>
      <c r="C1562" s="66">
        <v>128565045</v>
      </c>
    </row>
    <row r="1563" spans="1:3" ht="16.05" customHeight="1">
      <c r="A1563" s="15">
        <v>11</v>
      </c>
      <c r="B1563" s="15">
        <v>131780271</v>
      </c>
      <c r="C1563" s="66">
        <v>131780284</v>
      </c>
    </row>
    <row r="1564" spans="1:3" ht="16.05" customHeight="1">
      <c r="A1564" s="15">
        <v>11</v>
      </c>
      <c r="B1564" s="15">
        <v>131780324</v>
      </c>
      <c r="C1564" s="66">
        <v>131780526</v>
      </c>
    </row>
    <row r="1565" spans="1:3" ht="16.05" customHeight="1">
      <c r="A1565" s="15">
        <v>11</v>
      </c>
      <c r="B1565" s="15">
        <v>131781210</v>
      </c>
      <c r="C1565" s="66">
        <v>131781299</v>
      </c>
    </row>
    <row r="1566" spans="1:3" ht="16.05" customHeight="1">
      <c r="A1566" s="15">
        <v>11</v>
      </c>
      <c r="B1566" s="15">
        <v>133837098</v>
      </c>
      <c r="C1566" s="66">
        <v>133837185</v>
      </c>
    </row>
    <row r="1567" spans="1:3" ht="16.05" customHeight="1">
      <c r="A1567" s="15">
        <v>11</v>
      </c>
      <c r="B1567" s="15">
        <v>133837239</v>
      </c>
      <c r="C1567" s="66">
        <v>133837435</v>
      </c>
    </row>
    <row r="1568" spans="1:3" ht="16.05" customHeight="1">
      <c r="A1568" s="15">
        <v>11</v>
      </c>
      <c r="B1568" s="15">
        <v>133938671</v>
      </c>
      <c r="C1568" s="66">
        <v>133938682</v>
      </c>
    </row>
    <row r="1569" spans="1:3" ht="16.05" customHeight="1">
      <c r="A1569" s="15">
        <v>11</v>
      </c>
      <c r="B1569" s="15">
        <v>133938752</v>
      </c>
      <c r="C1569" s="66">
        <v>133939238</v>
      </c>
    </row>
    <row r="1570" spans="1:3" ht="16.05" customHeight="1">
      <c r="A1570" s="15">
        <v>11</v>
      </c>
      <c r="B1570" s="15">
        <v>134146505</v>
      </c>
      <c r="C1570" s="66">
        <v>134146600</v>
      </c>
    </row>
    <row r="1571" spans="1:3" ht="16.05" customHeight="1">
      <c r="A1571" s="15">
        <v>11</v>
      </c>
      <c r="B1571" s="15">
        <v>134146736</v>
      </c>
      <c r="C1571" s="66">
        <v>134146843</v>
      </c>
    </row>
    <row r="1572" spans="1:3" ht="16.05" customHeight="1">
      <c r="A1572" s="15">
        <v>11</v>
      </c>
      <c r="B1572" s="15">
        <v>14664932</v>
      </c>
      <c r="C1572" s="66">
        <v>14664955</v>
      </c>
    </row>
    <row r="1573" spans="1:3" ht="16.05" customHeight="1">
      <c r="A1573" s="15">
        <v>11</v>
      </c>
      <c r="B1573" s="15">
        <v>14995105</v>
      </c>
      <c r="C1573" s="66">
        <v>14995298</v>
      </c>
    </row>
    <row r="1574" spans="1:3" ht="16.05" customHeight="1">
      <c r="A1574" s="15">
        <v>11</v>
      </c>
      <c r="B1574" s="15">
        <v>16023697</v>
      </c>
      <c r="C1574" s="66">
        <v>16023723</v>
      </c>
    </row>
    <row r="1575" spans="1:3" ht="16.05" customHeight="1">
      <c r="A1575" s="15">
        <v>11</v>
      </c>
      <c r="B1575" s="15">
        <v>17565718</v>
      </c>
      <c r="C1575" s="66">
        <v>17565853</v>
      </c>
    </row>
    <row r="1576" spans="1:3" ht="16.05" customHeight="1">
      <c r="A1576" s="15">
        <v>11</v>
      </c>
      <c r="B1576" s="15">
        <v>19263803</v>
      </c>
      <c r="C1576" s="66">
        <v>19264038</v>
      </c>
    </row>
    <row r="1577" spans="1:3" ht="16.05" customHeight="1">
      <c r="A1577" s="15">
        <v>11</v>
      </c>
      <c r="B1577" s="15">
        <v>19367071</v>
      </c>
      <c r="C1577" s="66">
        <v>19367201</v>
      </c>
    </row>
    <row r="1578" spans="1:3" ht="16.05" customHeight="1">
      <c r="A1578" s="15">
        <v>11</v>
      </c>
      <c r="B1578" s="15">
        <v>20182156</v>
      </c>
      <c r="C1578" s="66">
        <v>20182265</v>
      </c>
    </row>
    <row r="1579" spans="1:3" ht="16.05" customHeight="1">
      <c r="A1579" s="15">
        <v>11</v>
      </c>
      <c r="B1579" s="15">
        <v>20182274</v>
      </c>
      <c r="C1579" s="66">
        <v>20182330</v>
      </c>
    </row>
    <row r="1580" spans="1:3" ht="16.05" customHeight="1">
      <c r="A1580" s="15">
        <v>11</v>
      </c>
      <c r="B1580" s="15">
        <v>20182842</v>
      </c>
      <c r="C1580" s="66">
        <v>20182951</v>
      </c>
    </row>
    <row r="1581" spans="1:3" ht="16.05" customHeight="1">
      <c r="A1581" s="15">
        <v>11</v>
      </c>
      <c r="B1581" s="15">
        <v>20185103</v>
      </c>
      <c r="C1581" s="66">
        <v>20185247</v>
      </c>
    </row>
    <row r="1582" spans="1:3" ht="16.05" customHeight="1">
      <c r="A1582" s="15">
        <v>11</v>
      </c>
      <c r="B1582" s="15">
        <v>20185262</v>
      </c>
      <c r="C1582" s="66">
        <v>20185422</v>
      </c>
    </row>
    <row r="1583" spans="1:3" ht="16.05" customHeight="1">
      <c r="A1583" s="15">
        <v>11</v>
      </c>
      <c r="B1583" s="15">
        <v>2187689</v>
      </c>
      <c r="C1583" s="66">
        <v>2187791</v>
      </c>
    </row>
    <row r="1584" spans="1:3" ht="16.05" customHeight="1">
      <c r="A1584" s="15">
        <v>11</v>
      </c>
      <c r="B1584" s="15">
        <v>22359183</v>
      </c>
      <c r="C1584" s="66">
        <v>22359236</v>
      </c>
    </row>
    <row r="1585" spans="1:3" ht="16.05" customHeight="1">
      <c r="A1585" s="15">
        <v>11</v>
      </c>
      <c r="B1585" s="15">
        <v>2291477</v>
      </c>
      <c r="C1585" s="66">
        <v>2291658</v>
      </c>
    </row>
    <row r="1586" spans="1:3" ht="16.05" customHeight="1">
      <c r="A1586" s="15">
        <v>11</v>
      </c>
      <c r="B1586" s="15">
        <v>2291669</v>
      </c>
      <c r="C1586" s="66">
        <v>2291841</v>
      </c>
    </row>
    <row r="1587" spans="1:3" ht="16.05" customHeight="1">
      <c r="A1587" s="15">
        <v>11</v>
      </c>
      <c r="B1587" s="15">
        <v>2291830</v>
      </c>
      <c r="C1587" s="66">
        <v>2291982</v>
      </c>
    </row>
    <row r="1588" spans="1:3" ht="16.05" customHeight="1">
      <c r="A1588" s="15">
        <v>11</v>
      </c>
      <c r="B1588" s="15">
        <v>2291995</v>
      </c>
      <c r="C1588" s="66">
        <v>2292167</v>
      </c>
    </row>
    <row r="1589" spans="1:3" ht="16.05" customHeight="1">
      <c r="A1589" s="15">
        <v>11</v>
      </c>
      <c r="B1589" s="15">
        <v>2292345</v>
      </c>
      <c r="C1589" s="66">
        <v>2292531</v>
      </c>
    </row>
    <row r="1590" spans="1:3" ht="16.05" customHeight="1">
      <c r="A1590" s="15">
        <v>11</v>
      </c>
      <c r="B1590" s="15">
        <v>2292533</v>
      </c>
      <c r="C1590" s="66">
        <v>2292608</v>
      </c>
    </row>
    <row r="1591" spans="1:3" ht="16.05" customHeight="1">
      <c r="A1591" s="15">
        <v>11</v>
      </c>
      <c r="B1591" s="15">
        <v>24518220</v>
      </c>
      <c r="C1591" s="66">
        <v>24518587</v>
      </c>
    </row>
    <row r="1592" spans="1:3" ht="16.05" customHeight="1">
      <c r="A1592" s="15">
        <v>11</v>
      </c>
      <c r="B1592" s="15">
        <v>27743447</v>
      </c>
      <c r="C1592" s="66">
        <v>27743561</v>
      </c>
    </row>
    <row r="1593" spans="1:3" ht="16.05" customHeight="1">
      <c r="A1593" s="15">
        <v>11</v>
      </c>
      <c r="B1593" s="15">
        <v>27744321</v>
      </c>
      <c r="C1593" s="66">
        <v>27744569</v>
      </c>
    </row>
    <row r="1594" spans="1:3" ht="16.05" customHeight="1">
      <c r="A1594" s="15">
        <v>11</v>
      </c>
      <c r="B1594" s="15">
        <v>27744606</v>
      </c>
      <c r="C1594" s="66">
        <v>27744850</v>
      </c>
    </row>
    <row r="1595" spans="1:3" ht="16.05" customHeight="1">
      <c r="A1595" s="15">
        <v>11</v>
      </c>
      <c r="B1595" s="15">
        <v>30605930</v>
      </c>
      <c r="C1595" s="66">
        <v>30606321</v>
      </c>
    </row>
    <row r="1596" spans="1:3" ht="16.05" customHeight="1">
      <c r="A1596" s="15">
        <v>11</v>
      </c>
      <c r="B1596" s="15">
        <v>30606907</v>
      </c>
      <c r="C1596" s="66">
        <v>30607044</v>
      </c>
    </row>
    <row r="1597" spans="1:3" ht="16.05" customHeight="1">
      <c r="A1597" s="15">
        <v>11</v>
      </c>
      <c r="B1597" s="15">
        <v>30607063</v>
      </c>
      <c r="C1597" s="66">
        <v>30607222</v>
      </c>
    </row>
    <row r="1598" spans="1:3" ht="16.05" customHeight="1">
      <c r="A1598" s="15">
        <v>11</v>
      </c>
      <c r="B1598" s="15">
        <v>30607276</v>
      </c>
      <c r="C1598" s="66">
        <v>30607533</v>
      </c>
    </row>
    <row r="1599" spans="1:3" ht="16.05" customHeight="1">
      <c r="A1599" s="15">
        <v>11</v>
      </c>
      <c r="B1599" s="15">
        <v>31819313</v>
      </c>
      <c r="C1599" s="66">
        <v>31819504</v>
      </c>
    </row>
    <row r="1600" spans="1:3" ht="16.05" customHeight="1">
      <c r="A1600" s="15">
        <v>11</v>
      </c>
      <c r="B1600" s="15">
        <v>31821214</v>
      </c>
      <c r="C1600" s="66">
        <v>31821421</v>
      </c>
    </row>
    <row r="1601" spans="1:3" ht="16.05" customHeight="1">
      <c r="A1601" s="15">
        <v>11</v>
      </c>
      <c r="B1601" s="15">
        <v>31825828</v>
      </c>
      <c r="C1601" s="66">
        <v>31826054</v>
      </c>
    </row>
    <row r="1602" spans="1:3" ht="16.05" customHeight="1">
      <c r="A1602" s="15">
        <v>11</v>
      </c>
      <c r="B1602" s="15">
        <v>31826267</v>
      </c>
      <c r="C1602" s="66">
        <v>31826497</v>
      </c>
    </row>
    <row r="1603" spans="1:3" ht="16.05" customHeight="1">
      <c r="A1603" s="15">
        <v>11</v>
      </c>
      <c r="B1603" s="15">
        <v>31826553</v>
      </c>
      <c r="C1603" s="66">
        <v>31826745</v>
      </c>
    </row>
    <row r="1604" spans="1:3" ht="16.05" customHeight="1">
      <c r="A1604" s="15">
        <v>11</v>
      </c>
      <c r="B1604" s="15">
        <v>31827449</v>
      </c>
      <c r="C1604" s="66">
        <v>31828115</v>
      </c>
    </row>
    <row r="1605" spans="1:3" ht="16.05" customHeight="1">
      <c r="A1605" s="15">
        <v>11</v>
      </c>
      <c r="B1605" s="15">
        <v>31832856</v>
      </c>
      <c r="C1605" s="66">
        <v>31832889</v>
      </c>
    </row>
    <row r="1606" spans="1:3" ht="16.05" customHeight="1">
      <c r="A1606" s="15">
        <v>11</v>
      </c>
      <c r="B1606" s="15">
        <v>31832913</v>
      </c>
      <c r="C1606" s="66">
        <v>31833048</v>
      </c>
    </row>
    <row r="1607" spans="1:3" ht="16.05" customHeight="1">
      <c r="A1607" s="15">
        <v>11</v>
      </c>
      <c r="B1607" s="15">
        <v>31835369</v>
      </c>
      <c r="C1607" s="66">
        <v>31835660</v>
      </c>
    </row>
    <row r="1608" spans="1:3" ht="16.05" customHeight="1">
      <c r="A1608" s="15">
        <v>11</v>
      </c>
      <c r="B1608" s="15">
        <v>31836193</v>
      </c>
      <c r="C1608" s="66">
        <v>31836352</v>
      </c>
    </row>
    <row r="1609" spans="1:3" ht="16.05" customHeight="1">
      <c r="A1609" s="15">
        <v>11</v>
      </c>
      <c r="B1609" s="15">
        <v>31836380</v>
      </c>
      <c r="C1609" s="66">
        <v>31836462</v>
      </c>
    </row>
    <row r="1610" spans="1:3" ht="16.05" customHeight="1">
      <c r="A1610" s="15">
        <v>11</v>
      </c>
      <c r="B1610" s="15">
        <v>31836960</v>
      </c>
      <c r="C1610" s="66">
        <v>31837294</v>
      </c>
    </row>
    <row r="1611" spans="1:3" ht="16.05" customHeight="1">
      <c r="A1611" s="15">
        <v>11</v>
      </c>
      <c r="B1611" s="15">
        <v>31837305</v>
      </c>
      <c r="C1611" s="66">
        <v>31837548</v>
      </c>
    </row>
    <row r="1612" spans="1:3" ht="16.05" customHeight="1">
      <c r="A1612" s="15">
        <v>11</v>
      </c>
      <c r="B1612" s="15">
        <v>31838520</v>
      </c>
      <c r="C1612" s="66">
        <v>31838571</v>
      </c>
    </row>
    <row r="1613" spans="1:3" ht="16.05" customHeight="1">
      <c r="A1613" s="15">
        <v>11</v>
      </c>
      <c r="B1613" s="15">
        <v>31838581</v>
      </c>
      <c r="C1613" s="66">
        <v>31838702</v>
      </c>
    </row>
    <row r="1614" spans="1:3" ht="16.05" customHeight="1">
      <c r="A1614" s="15">
        <v>11</v>
      </c>
      <c r="B1614" s="15">
        <v>31838711</v>
      </c>
      <c r="C1614" s="66">
        <v>31838832</v>
      </c>
    </row>
    <row r="1615" spans="1:3" ht="16.05" customHeight="1">
      <c r="A1615" s="15">
        <v>11</v>
      </c>
      <c r="B1615" s="15">
        <v>31839359</v>
      </c>
      <c r="C1615" s="66">
        <v>31839469</v>
      </c>
    </row>
    <row r="1616" spans="1:3" ht="16.05" customHeight="1">
      <c r="A1616" s="15">
        <v>11</v>
      </c>
      <c r="B1616" s="15">
        <v>31839516</v>
      </c>
      <c r="C1616" s="66">
        <v>31839675</v>
      </c>
    </row>
    <row r="1617" spans="1:3" ht="16.05" customHeight="1">
      <c r="A1617" s="15">
        <v>11</v>
      </c>
      <c r="B1617" s="15">
        <v>31840525</v>
      </c>
      <c r="C1617" s="66">
        <v>31840634</v>
      </c>
    </row>
    <row r="1618" spans="1:3" ht="16.05" customHeight="1">
      <c r="A1618" s="15">
        <v>11</v>
      </c>
      <c r="B1618" s="15">
        <v>31840655</v>
      </c>
      <c r="C1618" s="66">
        <v>31840868</v>
      </c>
    </row>
    <row r="1619" spans="1:3" ht="16.05" customHeight="1">
      <c r="A1619" s="15">
        <v>11</v>
      </c>
      <c r="B1619" s="15">
        <v>31841422</v>
      </c>
      <c r="C1619" s="66">
        <v>31841697</v>
      </c>
    </row>
    <row r="1620" spans="1:3" ht="16.05" customHeight="1">
      <c r="A1620" s="15">
        <v>11</v>
      </c>
      <c r="B1620" s="15">
        <v>31848483</v>
      </c>
      <c r="C1620" s="66">
        <v>31848687</v>
      </c>
    </row>
    <row r="1621" spans="1:3" ht="16.05" customHeight="1">
      <c r="A1621" s="15">
        <v>11</v>
      </c>
      <c r="B1621" s="15">
        <v>31848699</v>
      </c>
      <c r="C1621" s="66">
        <v>31848819</v>
      </c>
    </row>
    <row r="1622" spans="1:3" ht="16.05" customHeight="1">
      <c r="A1622" s="15">
        <v>11</v>
      </c>
      <c r="B1622" s="15">
        <v>32454835</v>
      </c>
      <c r="C1622" s="66">
        <v>32454993</v>
      </c>
    </row>
    <row r="1623" spans="1:3" ht="16.05" customHeight="1">
      <c r="A1623" s="15">
        <v>11</v>
      </c>
      <c r="B1623" s="15">
        <v>32455009</v>
      </c>
      <c r="C1623" s="66">
        <v>32455149</v>
      </c>
    </row>
    <row r="1624" spans="1:3" ht="16.05" customHeight="1">
      <c r="A1624" s="15">
        <v>11</v>
      </c>
      <c r="B1624" s="15">
        <v>32456739</v>
      </c>
      <c r="C1624" s="66">
        <v>32456960</v>
      </c>
    </row>
    <row r="1625" spans="1:3" ht="16.05" customHeight="1">
      <c r="A1625" s="15">
        <v>11</v>
      </c>
      <c r="B1625" s="15">
        <v>32457718</v>
      </c>
      <c r="C1625" s="66">
        <v>32457884</v>
      </c>
    </row>
    <row r="1626" spans="1:3" ht="16.05" customHeight="1">
      <c r="A1626" s="15">
        <v>11</v>
      </c>
      <c r="B1626" s="15">
        <v>43596380</v>
      </c>
      <c r="C1626" s="66">
        <v>43596600</v>
      </c>
    </row>
    <row r="1627" spans="1:3" ht="16.05" customHeight="1">
      <c r="A1627" s="15">
        <v>11</v>
      </c>
      <c r="B1627" s="15">
        <v>43597156</v>
      </c>
      <c r="C1627" s="66">
        <v>43597376</v>
      </c>
    </row>
    <row r="1628" spans="1:3" ht="16.05" customHeight="1">
      <c r="A1628" s="15">
        <v>11</v>
      </c>
      <c r="B1628" s="15">
        <v>43602689</v>
      </c>
      <c r="C1628" s="66">
        <v>43602863</v>
      </c>
    </row>
    <row r="1629" spans="1:3" ht="16.05" customHeight="1">
      <c r="A1629" s="15">
        <v>11</v>
      </c>
      <c r="B1629" s="15">
        <v>43602874</v>
      </c>
      <c r="C1629" s="66">
        <v>43603047</v>
      </c>
    </row>
    <row r="1630" spans="1:3" ht="16.05" customHeight="1">
      <c r="A1630" s="15">
        <v>11</v>
      </c>
      <c r="B1630" s="15">
        <v>44325653</v>
      </c>
      <c r="C1630" s="66">
        <v>44325966</v>
      </c>
    </row>
    <row r="1631" spans="1:3" ht="16.05" customHeight="1">
      <c r="A1631" s="15">
        <v>11</v>
      </c>
      <c r="B1631" s="15">
        <v>44326255</v>
      </c>
      <c r="C1631" s="66">
        <v>44326326</v>
      </c>
    </row>
    <row r="1632" spans="1:3" ht="16.05" customHeight="1">
      <c r="A1632" s="15">
        <v>11</v>
      </c>
      <c r="B1632" s="15">
        <v>44326346</v>
      </c>
      <c r="C1632" s="66">
        <v>44326426</v>
      </c>
    </row>
    <row r="1633" spans="1:3" ht="16.05" customHeight="1">
      <c r="A1633" s="15">
        <v>11</v>
      </c>
      <c r="B1633" s="15">
        <v>44326419</v>
      </c>
      <c r="C1633" s="66">
        <v>44326522</v>
      </c>
    </row>
    <row r="1634" spans="1:3" ht="16.05" customHeight="1">
      <c r="A1634" s="15">
        <v>11</v>
      </c>
      <c r="B1634" s="15">
        <v>44330734</v>
      </c>
      <c r="C1634" s="66">
        <v>44331010</v>
      </c>
    </row>
    <row r="1635" spans="1:3" ht="16.05" customHeight="1">
      <c r="A1635" s="15">
        <v>11</v>
      </c>
      <c r="B1635" s="15">
        <v>44331003</v>
      </c>
      <c r="C1635" s="66">
        <v>44331283</v>
      </c>
    </row>
    <row r="1636" spans="1:3" ht="16.05" customHeight="1">
      <c r="A1636" s="15">
        <v>11</v>
      </c>
      <c r="B1636" s="15">
        <v>44331205</v>
      </c>
      <c r="C1636" s="66">
        <v>44331337</v>
      </c>
    </row>
    <row r="1637" spans="1:3" ht="16.05" customHeight="1">
      <c r="A1637" s="15">
        <v>11</v>
      </c>
      <c r="B1637" s="15">
        <v>44331454</v>
      </c>
      <c r="C1637" s="66">
        <v>44331600</v>
      </c>
    </row>
    <row r="1638" spans="1:3" ht="16.05" customHeight="1">
      <c r="A1638" s="15">
        <v>11</v>
      </c>
      <c r="B1638" s="15">
        <v>44331618</v>
      </c>
      <c r="C1638" s="66">
        <v>44331766</v>
      </c>
    </row>
    <row r="1639" spans="1:3" ht="16.05" customHeight="1">
      <c r="A1639" s="15">
        <v>11</v>
      </c>
      <c r="B1639" s="15">
        <v>44332310</v>
      </c>
      <c r="C1639" s="66">
        <v>44332897</v>
      </c>
    </row>
    <row r="1640" spans="1:3" ht="16.05" customHeight="1">
      <c r="A1640" s="15">
        <v>11</v>
      </c>
      <c r="B1640" s="15">
        <v>45377317</v>
      </c>
      <c r="C1640" s="66">
        <v>45377337</v>
      </c>
    </row>
    <row r="1641" spans="1:3" ht="16.05" customHeight="1">
      <c r="A1641" s="15">
        <v>11</v>
      </c>
      <c r="B1641" s="15">
        <v>58672757</v>
      </c>
      <c r="C1641" s="66">
        <v>58673056</v>
      </c>
    </row>
    <row r="1642" spans="1:3" ht="16.05" customHeight="1">
      <c r="A1642" s="15">
        <v>11</v>
      </c>
      <c r="B1642" s="15">
        <v>58673282</v>
      </c>
      <c r="C1642" s="66">
        <v>58673483</v>
      </c>
    </row>
    <row r="1643" spans="1:3" ht="16.05" customHeight="1">
      <c r="A1643" s="15">
        <v>11</v>
      </c>
      <c r="B1643" s="15">
        <v>58673522</v>
      </c>
      <c r="C1643" s="66">
        <v>58673621</v>
      </c>
    </row>
    <row r="1644" spans="1:3" ht="16.05" customHeight="1">
      <c r="A1644" s="15">
        <v>11</v>
      </c>
      <c r="B1644" s="15">
        <v>637001</v>
      </c>
      <c r="C1644" s="66">
        <v>637134</v>
      </c>
    </row>
    <row r="1645" spans="1:3" ht="16.05" customHeight="1">
      <c r="A1645" s="15">
        <v>11</v>
      </c>
      <c r="B1645" s="15">
        <v>637157</v>
      </c>
      <c r="C1645" s="66">
        <v>637307</v>
      </c>
    </row>
    <row r="1646" spans="1:3" ht="16.05" customHeight="1">
      <c r="A1646" s="15">
        <v>11</v>
      </c>
      <c r="B1646" s="15">
        <v>64480518</v>
      </c>
      <c r="C1646" s="66">
        <v>64480651</v>
      </c>
    </row>
    <row r="1647" spans="1:3" ht="16.05" customHeight="1">
      <c r="A1647" s="15">
        <v>11</v>
      </c>
      <c r="B1647" s="15">
        <v>64480648</v>
      </c>
      <c r="C1647" s="66">
        <v>64480718</v>
      </c>
    </row>
    <row r="1648" spans="1:3" ht="16.05" customHeight="1">
      <c r="A1648" s="15">
        <v>11</v>
      </c>
      <c r="B1648" s="15">
        <v>64480713</v>
      </c>
      <c r="C1648" s="66">
        <v>64480853</v>
      </c>
    </row>
    <row r="1649" spans="1:3" ht="16.05" customHeight="1">
      <c r="A1649" s="15">
        <v>11</v>
      </c>
      <c r="B1649" s="15">
        <v>65601065</v>
      </c>
      <c r="C1649" s="66">
        <v>65601147</v>
      </c>
    </row>
    <row r="1650" spans="1:3" ht="16.05" customHeight="1">
      <c r="A1650" s="15">
        <v>11</v>
      </c>
      <c r="B1650" s="15">
        <v>66326595</v>
      </c>
      <c r="C1650" s="66">
        <v>66326689</v>
      </c>
    </row>
    <row r="1651" spans="1:3" ht="16.05" customHeight="1">
      <c r="A1651" s="15">
        <v>11</v>
      </c>
      <c r="B1651" s="15">
        <v>66326684</v>
      </c>
      <c r="C1651" s="66">
        <v>66326919</v>
      </c>
    </row>
    <row r="1652" spans="1:3" ht="16.05" customHeight="1">
      <c r="A1652" s="15">
        <v>11</v>
      </c>
      <c r="B1652" s="15">
        <v>71955434</v>
      </c>
      <c r="C1652" s="66">
        <v>71955605</v>
      </c>
    </row>
    <row r="1653" spans="1:3" ht="16.05" customHeight="1">
      <c r="A1653" s="15">
        <v>11</v>
      </c>
      <c r="B1653" s="15">
        <v>71955613</v>
      </c>
      <c r="C1653" s="66">
        <v>71955753</v>
      </c>
    </row>
    <row r="1654" spans="1:3" ht="16.05" customHeight="1">
      <c r="A1654" s="15">
        <v>11</v>
      </c>
      <c r="B1654" s="15">
        <v>7272973</v>
      </c>
      <c r="C1654" s="66">
        <v>7273233</v>
      </c>
    </row>
    <row r="1655" spans="1:3" ht="16.05" customHeight="1">
      <c r="A1655" s="15">
        <v>11</v>
      </c>
      <c r="B1655" s="15">
        <v>7273240</v>
      </c>
      <c r="C1655" s="66">
        <v>7273553</v>
      </c>
    </row>
    <row r="1656" spans="1:3" ht="16.05" customHeight="1">
      <c r="A1656" s="15">
        <v>11</v>
      </c>
      <c r="B1656" s="15">
        <v>7273528</v>
      </c>
      <c r="C1656" s="66">
        <v>7273587</v>
      </c>
    </row>
    <row r="1657" spans="1:3" ht="16.05" customHeight="1">
      <c r="A1657" s="15">
        <v>11</v>
      </c>
      <c r="B1657" s="15">
        <v>7273614</v>
      </c>
      <c r="C1657" s="66">
        <v>7273687</v>
      </c>
    </row>
    <row r="1658" spans="1:3" ht="16.05" customHeight="1">
      <c r="A1658" s="15">
        <v>11</v>
      </c>
      <c r="B1658" s="15">
        <v>8190504</v>
      </c>
      <c r="C1658" s="66">
        <v>8190758</v>
      </c>
    </row>
    <row r="1659" spans="1:3" ht="16.05" customHeight="1">
      <c r="A1659" s="15">
        <v>11</v>
      </c>
      <c r="B1659" s="15">
        <v>8290471</v>
      </c>
      <c r="C1659" s="66">
        <v>8290584</v>
      </c>
    </row>
    <row r="1660" spans="1:3" ht="16.05" customHeight="1">
      <c r="A1660" s="15">
        <v>11</v>
      </c>
      <c r="B1660" s="15">
        <v>94134558</v>
      </c>
      <c r="C1660" s="66">
        <v>94134700</v>
      </c>
    </row>
    <row r="1661" spans="1:3" ht="16.05" customHeight="1">
      <c r="A1661" s="15">
        <v>12</v>
      </c>
      <c r="B1661" s="15">
        <v>103352094</v>
      </c>
      <c r="C1661" s="66">
        <v>103352273</v>
      </c>
    </row>
    <row r="1662" spans="1:3" ht="16.05" customHeight="1">
      <c r="A1662" s="15">
        <v>12</v>
      </c>
      <c r="B1662" s="15">
        <v>103352279</v>
      </c>
      <c r="C1662" s="66">
        <v>103352474</v>
      </c>
    </row>
    <row r="1663" spans="1:3" ht="16.05" customHeight="1">
      <c r="A1663" s="15">
        <v>12</v>
      </c>
      <c r="B1663" s="15">
        <v>103352498</v>
      </c>
      <c r="C1663" s="66">
        <v>103352625</v>
      </c>
    </row>
    <row r="1664" spans="1:3" ht="16.05" customHeight="1">
      <c r="A1664" s="15">
        <v>12</v>
      </c>
      <c r="B1664" s="15">
        <v>104697121</v>
      </c>
      <c r="C1664" s="66">
        <v>104697699</v>
      </c>
    </row>
    <row r="1665" spans="1:3" ht="16.05" customHeight="1">
      <c r="A1665" s="15">
        <v>12</v>
      </c>
      <c r="B1665" s="15">
        <v>106974455</v>
      </c>
      <c r="C1665" s="66">
        <v>106974562</v>
      </c>
    </row>
    <row r="1666" spans="1:3" ht="16.05" customHeight="1">
      <c r="A1666" s="15">
        <v>12</v>
      </c>
      <c r="B1666" s="15">
        <v>106974614</v>
      </c>
      <c r="C1666" s="66">
        <v>106974784</v>
      </c>
    </row>
    <row r="1667" spans="1:3" ht="16.05" customHeight="1">
      <c r="A1667" s="15">
        <v>12</v>
      </c>
      <c r="B1667" s="15">
        <v>106977821</v>
      </c>
      <c r="C1667" s="66">
        <v>106977932</v>
      </c>
    </row>
    <row r="1668" spans="1:3" ht="16.05" customHeight="1">
      <c r="A1668" s="15">
        <v>12</v>
      </c>
      <c r="B1668" s="15">
        <v>106979810</v>
      </c>
      <c r="C1668" s="66">
        <v>106980047</v>
      </c>
    </row>
    <row r="1669" spans="1:3" ht="16.05" customHeight="1">
      <c r="A1669" s="15">
        <v>12</v>
      </c>
      <c r="B1669" s="15">
        <v>108297625</v>
      </c>
      <c r="C1669" s="66">
        <v>108297748</v>
      </c>
    </row>
    <row r="1670" spans="1:3" ht="16.05" customHeight="1">
      <c r="A1670" s="15">
        <v>12</v>
      </c>
      <c r="B1670" s="15">
        <v>111472215</v>
      </c>
      <c r="C1670" s="66">
        <v>111472363</v>
      </c>
    </row>
    <row r="1671" spans="1:3" ht="16.05" customHeight="1">
      <c r="A1671" s="15">
        <v>12</v>
      </c>
      <c r="B1671" s="15">
        <v>113901040</v>
      </c>
      <c r="C1671" s="66">
        <v>113901136</v>
      </c>
    </row>
    <row r="1672" spans="1:3" ht="16.05" customHeight="1">
      <c r="A1672" s="15">
        <v>12</v>
      </c>
      <c r="B1672" s="15">
        <v>113901139</v>
      </c>
      <c r="C1672" s="66">
        <v>113901268</v>
      </c>
    </row>
    <row r="1673" spans="1:3" ht="16.05" customHeight="1">
      <c r="A1673" s="15">
        <v>12</v>
      </c>
      <c r="B1673" s="15">
        <v>113901274</v>
      </c>
      <c r="C1673" s="66">
        <v>113901383</v>
      </c>
    </row>
    <row r="1674" spans="1:3" ht="16.05" customHeight="1">
      <c r="A1674" s="15">
        <v>12</v>
      </c>
      <c r="B1674" s="15">
        <v>113901361</v>
      </c>
      <c r="C1674" s="66">
        <v>113901548</v>
      </c>
    </row>
    <row r="1675" spans="1:3" ht="16.05" customHeight="1">
      <c r="A1675" s="15">
        <v>12</v>
      </c>
      <c r="B1675" s="15">
        <v>113901572</v>
      </c>
      <c r="C1675" s="66">
        <v>113901671</v>
      </c>
    </row>
    <row r="1676" spans="1:3" ht="16.05" customHeight="1">
      <c r="A1676" s="15">
        <v>12</v>
      </c>
      <c r="B1676" s="15">
        <v>113913723</v>
      </c>
      <c r="C1676" s="66">
        <v>113913822</v>
      </c>
    </row>
    <row r="1677" spans="1:3" ht="16.05" customHeight="1">
      <c r="A1677" s="15">
        <v>12</v>
      </c>
      <c r="B1677" s="15">
        <v>113913831</v>
      </c>
      <c r="C1677" s="66">
        <v>113913926</v>
      </c>
    </row>
    <row r="1678" spans="1:3" ht="16.05" customHeight="1">
      <c r="A1678" s="15">
        <v>12</v>
      </c>
      <c r="B1678" s="15">
        <v>113913951</v>
      </c>
      <c r="C1678" s="66">
        <v>113914042</v>
      </c>
    </row>
    <row r="1679" spans="1:3" ht="16.05" customHeight="1">
      <c r="A1679" s="15">
        <v>12</v>
      </c>
      <c r="B1679" s="15">
        <v>113914436</v>
      </c>
      <c r="C1679" s="66">
        <v>113914662</v>
      </c>
    </row>
    <row r="1680" spans="1:3" ht="16.05" customHeight="1">
      <c r="A1680" s="15">
        <v>12</v>
      </c>
      <c r="B1680" s="15">
        <v>114846990</v>
      </c>
      <c r="C1680" s="66">
        <v>114847094</v>
      </c>
    </row>
    <row r="1681" spans="1:3" ht="16.05" customHeight="1">
      <c r="A1681" s="15">
        <v>12</v>
      </c>
      <c r="B1681" s="15">
        <v>114847115</v>
      </c>
      <c r="C1681" s="66">
        <v>114847328</v>
      </c>
    </row>
    <row r="1682" spans="1:3" ht="16.05" customHeight="1">
      <c r="A1682" s="15">
        <v>12</v>
      </c>
      <c r="B1682" s="15">
        <v>114847268</v>
      </c>
      <c r="C1682" s="66">
        <v>114847514</v>
      </c>
    </row>
    <row r="1683" spans="1:3" ht="16.05" customHeight="1">
      <c r="A1683" s="15">
        <v>12</v>
      </c>
      <c r="B1683" s="15">
        <v>114847523</v>
      </c>
      <c r="C1683" s="66">
        <v>114847613</v>
      </c>
    </row>
    <row r="1684" spans="1:3" ht="16.05" customHeight="1">
      <c r="A1684" s="15">
        <v>12</v>
      </c>
      <c r="B1684" s="15">
        <v>114917649</v>
      </c>
      <c r="C1684" s="66">
        <v>114918101</v>
      </c>
    </row>
    <row r="1685" spans="1:3" ht="16.05" customHeight="1">
      <c r="A1685" s="15">
        <v>12</v>
      </c>
      <c r="B1685" s="15">
        <v>115120697</v>
      </c>
      <c r="C1685" s="66">
        <v>115120799</v>
      </c>
    </row>
    <row r="1686" spans="1:3" ht="16.05" customHeight="1">
      <c r="A1686" s="15">
        <v>12</v>
      </c>
      <c r="B1686" s="15">
        <v>115120812</v>
      </c>
      <c r="C1686" s="66">
        <v>115120941</v>
      </c>
    </row>
    <row r="1687" spans="1:3" ht="16.05" customHeight="1">
      <c r="A1687" s="15">
        <v>12</v>
      </c>
      <c r="B1687" s="15">
        <v>115120944</v>
      </c>
      <c r="C1687" s="66">
        <v>115121022</v>
      </c>
    </row>
    <row r="1688" spans="1:3" ht="16.05" customHeight="1">
      <c r="A1688" s="15">
        <v>12</v>
      </c>
      <c r="B1688" s="15">
        <v>115121210</v>
      </c>
      <c r="C1688" s="66">
        <v>115121289</v>
      </c>
    </row>
    <row r="1689" spans="1:3" ht="16.05" customHeight="1">
      <c r="A1689" s="15">
        <v>12</v>
      </c>
      <c r="B1689" s="15">
        <v>115121292</v>
      </c>
      <c r="C1689" s="66">
        <v>115121401</v>
      </c>
    </row>
    <row r="1690" spans="1:3" ht="16.05" customHeight="1">
      <c r="A1690" s="15">
        <v>12</v>
      </c>
      <c r="B1690" s="15">
        <v>115135854</v>
      </c>
      <c r="C1690" s="66">
        <v>115136107</v>
      </c>
    </row>
    <row r="1691" spans="1:3" ht="16.05" customHeight="1">
      <c r="A1691" s="15">
        <v>12</v>
      </c>
      <c r="B1691" s="15">
        <v>115136087</v>
      </c>
      <c r="C1691" s="66">
        <v>115136293</v>
      </c>
    </row>
    <row r="1692" spans="1:3" ht="16.05" customHeight="1">
      <c r="A1692" s="15">
        <v>12</v>
      </c>
      <c r="B1692" s="15">
        <v>115136293</v>
      </c>
      <c r="C1692" s="66">
        <v>115136355</v>
      </c>
    </row>
    <row r="1693" spans="1:3" ht="16.05" customHeight="1">
      <c r="A1693" s="15">
        <v>12</v>
      </c>
      <c r="B1693" s="15">
        <v>117319909</v>
      </c>
      <c r="C1693" s="66">
        <v>117320019</v>
      </c>
    </row>
    <row r="1694" spans="1:3" ht="16.05" customHeight="1">
      <c r="A1694" s="15">
        <v>12</v>
      </c>
      <c r="B1694" s="15">
        <v>117798780</v>
      </c>
      <c r="C1694" s="66">
        <v>117799148</v>
      </c>
    </row>
    <row r="1695" spans="1:3" ht="16.05" customHeight="1">
      <c r="A1695" s="15">
        <v>12</v>
      </c>
      <c r="B1695" s="15">
        <v>119419681</v>
      </c>
      <c r="C1695" s="66">
        <v>119419808</v>
      </c>
    </row>
    <row r="1696" spans="1:3" ht="16.05" customHeight="1">
      <c r="A1696" s="15">
        <v>12</v>
      </c>
      <c r="B1696" s="15">
        <v>125533871</v>
      </c>
      <c r="C1696" s="66">
        <v>125533977</v>
      </c>
    </row>
    <row r="1697" spans="1:3" ht="16.05" customHeight="1">
      <c r="A1697" s="15">
        <v>12</v>
      </c>
      <c r="B1697" s="15">
        <v>126018345</v>
      </c>
      <c r="C1697" s="66">
        <v>126018370</v>
      </c>
    </row>
    <row r="1698" spans="1:3" ht="16.05" customHeight="1">
      <c r="A1698" s="15">
        <v>12</v>
      </c>
      <c r="B1698" s="15">
        <v>127865603</v>
      </c>
      <c r="C1698" s="66">
        <v>127865629</v>
      </c>
    </row>
    <row r="1699" spans="1:3" ht="16.05" customHeight="1">
      <c r="A1699" s="15">
        <v>12</v>
      </c>
      <c r="B1699" s="15">
        <v>128751870</v>
      </c>
      <c r="C1699" s="66">
        <v>128752145</v>
      </c>
    </row>
    <row r="1700" spans="1:3" ht="16.05" customHeight="1">
      <c r="A1700" s="15">
        <v>12</v>
      </c>
      <c r="B1700" s="15">
        <v>128752945</v>
      </c>
      <c r="C1700" s="66">
        <v>128753201</v>
      </c>
    </row>
    <row r="1701" spans="1:3" ht="16.05" customHeight="1">
      <c r="A1701" s="15">
        <v>12</v>
      </c>
      <c r="B1701" s="15">
        <v>130388836</v>
      </c>
      <c r="C1701" s="66">
        <v>130389058</v>
      </c>
    </row>
    <row r="1702" spans="1:3" ht="16.05" customHeight="1">
      <c r="A1702" s="15">
        <v>12</v>
      </c>
      <c r="B1702" s="15">
        <v>130389067</v>
      </c>
      <c r="C1702" s="66">
        <v>130389166</v>
      </c>
    </row>
    <row r="1703" spans="1:3" ht="16.05" customHeight="1">
      <c r="A1703" s="15">
        <v>12</v>
      </c>
      <c r="B1703" s="15">
        <v>130527076</v>
      </c>
      <c r="C1703" s="66">
        <v>130527122</v>
      </c>
    </row>
    <row r="1704" spans="1:3" ht="16.05" customHeight="1">
      <c r="A1704" s="15">
        <v>12</v>
      </c>
      <c r="B1704" s="15">
        <v>130823619</v>
      </c>
      <c r="C1704" s="66">
        <v>130823681</v>
      </c>
    </row>
    <row r="1705" spans="1:3" ht="16.05" customHeight="1">
      <c r="A1705" s="15">
        <v>12</v>
      </c>
      <c r="B1705" s="15">
        <v>130823800</v>
      </c>
      <c r="C1705" s="66">
        <v>130823863</v>
      </c>
    </row>
    <row r="1706" spans="1:3" ht="16.05" customHeight="1">
      <c r="A1706" s="15">
        <v>12</v>
      </c>
      <c r="B1706" s="15">
        <v>131246583</v>
      </c>
      <c r="C1706" s="66">
        <v>131246637</v>
      </c>
    </row>
    <row r="1707" spans="1:3" ht="16.05" customHeight="1">
      <c r="A1707" s="15">
        <v>12</v>
      </c>
      <c r="B1707" s="15">
        <v>131401035</v>
      </c>
      <c r="C1707" s="66">
        <v>131401099</v>
      </c>
    </row>
    <row r="1708" spans="1:3" ht="16.05" customHeight="1">
      <c r="A1708" s="15">
        <v>12</v>
      </c>
      <c r="B1708" s="15">
        <v>133194929</v>
      </c>
      <c r="C1708" s="66">
        <v>133195202</v>
      </c>
    </row>
    <row r="1709" spans="1:3" ht="16.05" customHeight="1">
      <c r="A1709" s="15">
        <v>12</v>
      </c>
      <c r="B1709" s="15">
        <v>133481379</v>
      </c>
      <c r="C1709" s="66">
        <v>133481647</v>
      </c>
    </row>
    <row r="1710" spans="1:3" ht="16.05" customHeight="1">
      <c r="A1710" s="15">
        <v>12</v>
      </c>
      <c r="B1710" s="15">
        <v>133485525</v>
      </c>
      <c r="C1710" s="66">
        <v>133485839</v>
      </c>
    </row>
    <row r="1711" spans="1:3" ht="16.05" customHeight="1">
      <c r="A1711" s="15">
        <v>12</v>
      </c>
      <c r="B1711" s="15">
        <v>14926938</v>
      </c>
      <c r="C1711" s="66">
        <v>14926992</v>
      </c>
    </row>
    <row r="1712" spans="1:3" ht="16.05" customHeight="1">
      <c r="A1712" s="15">
        <v>12</v>
      </c>
      <c r="B1712" s="15">
        <v>1701790</v>
      </c>
      <c r="C1712" s="66">
        <v>1701806</v>
      </c>
    </row>
    <row r="1713" spans="1:3" ht="16.05" customHeight="1">
      <c r="A1713" s="15">
        <v>12</v>
      </c>
      <c r="B1713" s="15">
        <v>1770613</v>
      </c>
      <c r="C1713" s="66">
        <v>1770713</v>
      </c>
    </row>
    <row r="1714" spans="1:3" ht="16.05" customHeight="1">
      <c r="A1714" s="15">
        <v>12</v>
      </c>
      <c r="B1714" s="15">
        <v>22093836</v>
      </c>
      <c r="C1714" s="66">
        <v>22093847</v>
      </c>
    </row>
    <row r="1715" spans="1:3" ht="16.05" customHeight="1">
      <c r="A1715" s="15">
        <v>12</v>
      </c>
      <c r="B1715" s="15">
        <v>22093900</v>
      </c>
      <c r="C1715" s="66">
        <v>22094387</v>
      </c>
    </row>
    <row r="1716" spans="1:3" ht="16.05" customHeight="1">
      <c r="A1716" s="15">
        <v>12</v>
      </c>
      <c r="B1716" s="15">
        <v>22094791</v>
      </c>
      <c r="C1716" s="66">
        <v>22094969</v>
      </c>
    </row>
    <row r="1717" spans="1:3" ht="16.05" customHeight="1">
      <c r="A1717" s="15">
        <v>12</v>
      </c>
      <c r="B1717" s="15">
        <v>22095019</v>
      </c>
      <c r="C1717" s="66">
        <v>22095128</v>
      </c>
    </row>
    <row r="1718" spans="1:3" ht="16.05" customHeight="1">
      <c r="A1718" s="15">
        <v>12</v>
      </c>
      <c r="B1718" s="15">
        <v>29937183</v>
      </c>
      <c r="C1718" s="66">
        <v>29937512</v>
      </c>
    </row>
    <row r="1719" spans="1:3" ht="16.05" customHeight="1">
      <c r="A1719" s="15">
        <v>12</v>
      </c>
      <c r="B1719" s="15">
        <v>33592157</v>
      </c>
      <c r="C1719" s="66">
        <v>33592245</v>
      </c>
    </row>
    <row r="1720" spans="1:3" ht="16.05" customHeight="1">
      <c r="A1720" s="15">
        <v>12</v>
      </c>
      <c r="B1720" s="15">
        <v>33592248</v>
      </c>
      <c r="C1720" s="66">
        <v>33592326</v>
      </c>
    </row>
    <row r="1721" spans="1:3" ht="16.05" customHeight="1">
      <c r="A1721" s="15">
        <v>12</v>
      </c>
      <c r="B1721" s="15">
        <v>33592332</v>
      </c>
      <c r="C1721" s="66">
        <v>33592401</v>
      </c>
    </row>
    <row r="1722" spans="1:3" ht="16.05" customHeight="1">
      <c r="A1722" s="15">
        <v>12</v>
      </c>
      <c r="B1722" s="15">
        <v>33592469</v>
      </c>
      <c r="C1722" s="66">
        <v>33592750</v>
      </c>
    </row>
    <row r="1723" spans="1:3" ht="16.05" customHeight="1">
      <c r="A1723" s="15">
        <v>12</v>
      </c>
      <c r="B1723" s="15">
        <v>3602113</v>
      </c>
      <c r="C1723" s="66">
        <v>3602206</v>
      </c>
    </row>
    <row r="1724" spans="1:3" ht="16.05" customHeight="1">
      <c r="A1724" s="15">
        <v>12</v>
      </c>
      <c r="B1724" s="15">
        <v>41583060</v>
      </c>
      <c r="C1724" s="66">
        <v>41583121</v>
      </c>
    </row>
    <row r="1725" spans="1:3" ht="16.05" customHeight="1">
      <c r="A1725" s="15">
        <v>12</v>
      </c>
      <c r="B1725" s="15">
        <v>43945986</v>
      </c>
      <c r="C1725" s="66">
        <v>43946208</v>
      </c>
    </row>
    <row r="1726" spans="1:3" ht="16.05" customHeight="1">
      <c r="A1726" s="15">
        <v>12</v>
      </c>
      <c r="B1726" s="15">
        <v>45444720</v>
      </c>
      <c r="C1726" s="66">
        <v>45444989</v>
      </c>
    </row>
    <row r="1727" spans="1:3" ht="16.05" customHeight="1">
      <c r="A1727" s="15">
        <v>12</v>
      </c>
      <c r="B1727" s="15">
        <v>47224908</v>
      </c>
      <c r="C1727" s="66">
        <v>47225116</v>
      </c>
    </row>
    <row r="1728" spans="1:3" ht="16.05" customHeight="1">
      <c r="A1728" s="15">
        <v>12</v>
      </c>
      <c r="B1728" s="15">
        <v>47225177</v>
      </c>
      <c r="C1728" s="66">
        <v>47225366</v>
      </c>
    </row>
    <row r="1729" spans="1:3" ht="16.05" customHeight="1">
      <c r="A1729" s="15">
        <v>12</v>
      </c>
      <c r="B1729" s="15">
        <v>47225392</v>
      </c>
      <c r="C1729" s="66">
        <v>47225484</v>
      </c>
    </row>
    <row r="1730" spans="1:3" ht="16.05" customHeight="1">
      <c r="A1730" s="15">
        <v>12</v>
      </c>
      <c r="B1730" s="15">
        <v>48397413</v>
      </c>
      <c r="C1730" s="66">
        <v>48397454</v>
      </c>
    </row>
    <row r="1731" spans="1:3" ht="16.05" customHeight="1">
      <c r="A1731" s="15">
        <v>12</v>
      </c>
      <c r="B1731" s="15">
        <v>48397563</v>
      </c>
      <c r="C1731" s="66">
        <v>48397736</v>
      </c>
    </row>
    <row r="1732" spans="1:3" ht="16.05" customHeight="1">
      <c r="A1732" s="15">
        <v>12</v>
      </c>
      <c r="B1732" s="15">
        <v>48578098</v>
      </c>
      <c r="C1732" s="66">
        <v>48578250</v>
      </c>
    </row>
    <row r="1733" spans="1:3" ht="16.05" customHeight="1">
      <c r="A1733" s="15">
        <v>12</v>
      </c>
      <c r="B1733" s="15">
        <v>4919051</v>
      </c>
      <c r="C1733" s="66">
        <v>4919309</v>
      </c>
    </row>
    <row r="1734" spans="1:3" ht="16.05" customHeight="1">
      <c r="A1734" s="15">
        <v>12</v>
      </c>
      <c r="B1734" s="15">
        <v>49297671</v>
      </c>
      <c r="C1734" s="66">
        <v>49298105</v>
      </c>
    </row>
    <row r="1735" spans="1:3" ht="16.05" customHeight="1">
      <c r="A1735" s="15">
        <v>12</v>
      </c>
      <c r="B1735" s="15">
        <v>5018171</v>
      </c>
      <c r="C1735" s="66">
        <v>5018310</v>
      </c>
    </row>
    <row r="1736" spans="1:3" ht="16.05" customHeight="1">
      <c r="A1736" s="15">
        <v>12</v>
      </c>
      <c r="B1736" s="15">
        <v>5018333</v>
      </c>
      <c r="C1736" s="66">
        <v>5018513</v>
      </c>
    </row>
    <row r="1737" spans="1:3" ht="16.05" customHeight="1">
      <c r="A1737" s="15">
        <v>12</v>
      </c>
      <c r="B1737" s="15">
        <v>5018581</v>
      </c>
      <c r="C1737" s="66">
        <v>5018930</v>
      </c>
    </row>
    <row r="1738" spans="1:3" ht="16.05" customHeight="1">
      <c r="A1738" s="15">
        <v>12</v>
      </c>
      <c r="B1738" s="15">
        <v>5018963</v>
      </c>
      <c r="C1738" s="66">
        <v>5019248</v>
      </c>
    </row>
    <row r="1739" spans="1:3" ht="16.05" customHeight="1">
      <c r="A1739" s="15">
        <v>12</v>
      </c>
      <c r="B1739" s="15">
        <v>5019332</v>
      </c>
      <c r="C1739" s="66">
        <v>5019407</v>
      </c>
    </row>
    <row r="1740" spans="1:3" ht="16.05" customHeight="1">
      <c r="A1740" s="15">
        <v>12</v>
      </c>
      <c r="B1740" s="15">
        <v>5019428</v>
      </c>
      <c r="C1740" s="66">
        <v>5019638</v>
      </c>
    </row>
    <row r="1741" spans="1:3" ht="16.05" customHeight="1">
      <c r="A1741" s="15">
        <v>12</v>
      </c>
      <c r="B1741" s="15">
        <v>52214765</v>
      </c>
      <c r="C1741" s="66">
        <v>52214877</v>
      </c>
    </row>
    <row r="1742" spans="1:3" ht="16.05" customHeight="1">
      <c r="A1742" s="15">
        <v>12</v>
      </c>
      <c r="B1742" s="15">
        <v>52214874</v>
      </c>
      <c r="C1742" s="66">
        <v>52214960</v>
      </c>
    </row>
    <row r="1743" spans="1:3" ht="16.05" customHeight="1">
      <c r="A1743" s="15">
        <v>12</v>
      </c>
      <c r="B1743" s="15">
        <v>54321478</v>
      </c>
      <c r="C1743" s="66">
        <v>54321575</v>
      </c>
    </row>
    <row r="1744" spans="1:3" ht="16.05" customHeight="1">
      <c r="A1744" s="15">
        <v>12</v>
      </c>
      <c r="B1744" s="15">
        <v>54321591</v>
      </c>
      <c r="C1744" s="66">
        <v>54321667</v>
      </c>
    </row>
    <row r="1745" spans="1:3" ht="16.05" customHeight="1">
      <c r="A1745" s="15">
        <v>12</v>
      </c>
      <c r="B1745" s="15">
        <v>54321679</v>
      </c>
      <c r="C1745" s="66">
        <v>54321777</v>
      </c>
    </row>
    <row r="1746" spans="1:3" ht="16.05" customHeight="1">
      <c r="A1746" s="15">
        <v>12</v>
      </c>
      <c r="B1746" s="15">
        <v>54321847</v>
      </c>
      <c r="C1746" s="66">
        <v>54322034</v>
      </c>
    </row>
    <row r="1747" spans="1:3" ht="16.05" customHeight="1">
      <c r="A1747" s="15">
        <v>12</v>
      </c>
      <c r="B1747" s="15">
        <v>54322082</v>
      </c>
      <c r="C1747" s="66">
        <v>54322162</v>
      </c>
    </row>
    <row r="1748" spans="1:3" ht="16.05" customHeight="1">
      <c r="A1748" s="15">
        <v>12</v>
      </c>
      <c r="B1748" s="15">
        <v>54345051</v>
      </c>
      <c r="C1748" s="66">
        <v>54345302</v>
      </c>
    </row>
    <row r="1749" spans="1:3" ht="16.05" customHeight="1">
      <c r="A1749" s="15">
        <v>12</v>
      </c>
      <c r="B1749" s="15">
        <v>54393370</v>
      </c>
      <c r="C1749" s="66">
        <v>54393571</v>
      </c>
    </row>
    <row r="1750" spans="1:3" ht="16.05" customHeight="1">
      <c r="A1750" s="15">
        <v>12</v>
      </c>
      <c r="B1750" s="15">
        <v>54393961</v>
      </c>
      <c r="C1750" s="66">
        <v>54394196</v>
      </c>
    </row>
    <row r="1751" spans="1:3" ht="16.05" customHeight="1">
      <c r="A1751" s="15">
        <v>12</v>
      </c>
      <c r="B1751" s="15">
        <v>54394189</v>
      </c>
      <c r="C1751" s="66">
        <v>54394384</v>
      </c>
    </row>
    <row r="1752" spans="1:3" ht="16.05" customHeight="1">
      <c r="A1752" s="15">
        <v>12</v>
      </c>
      <c r="B1752" s="15">
        <v>54611524</v>
      </c>
      <c r="C1752" s="66">
        <v>54611763</v>
      </c>
    </row>
    <row r="1753" spans="1:3" ht="16.05" customHeight="1">
      <c r="A1753" s="15">
        <v>12</v>
      </c>
      <c r="B1753" s="15">
        <v>5541099</v>
      </c>
      <c r="C1753" s="66">
        <v>5541261</v>
      </c>
    </row>
    <row r="1754" spans="1:3" ht="16.05" customHeight="1">
      <c r="A1754" s="15">
        <v>12</v>
      </c>
      <c r="B1754" s="15">
        <v>5541265</v>
      </c>
      <c r="C1754" s="66">
        <v>5541445</v>
      </c>
    </row>
    <row r="1755" spans="1:3" ht="16.05" customHeight="1">
      <c r="A1755" s="15">
        <v>12</v>
      </c>
      <c r="B1755" s="15">
        <v>58025836</v>
      </c>
      <c r="C1755" s="66">
        <v>58025908</v>
      </c>
    </row>
    <row r="1756" spans="1:3" ht="16.05" customHeight="1">
      <c r="A1756" s="15">
        <v>12</v>
      </c>
      <c r="B1756" s="15">
        <v>6054357</v>
      </c>
      <c r="C1756" s="66">
        <v>6054550</v>
      </c>
    </row>
    <row r="1757" spans="1:3" ht="16.05" customHeight="1">
      <c r="A1757" s="15">
        <v>12</v>
      </c>
      <c r="B1757" s="15">
        <v>62585831</v>
      </c>
      <c r="C1757" s="66">
        <v>62585933</v>
      </c>
    </row>
    <row r="1758" spans="1:3" ht="16.05" customHeight="1">
      <c r="A1758" s="15">
        <v>12</v>
      </c>
      <c r="B1758" s="15">
        <v>63545113</v>
      </c>
      <c r="C1758" s="66">
        <v>63545303</v>
      </c>
    </row>
    <row r="1759" spans="1:3" ht="16.05" customHeight="1">
      <c r="A1759" s="15">
        <v>12</v>
      </c>
      <c r="B1759" s="15">
        <v>64062049</v>
      </c>
      <c r="C1759" s="66">
        <v>64062151</v>
      </c>
    </row>
    <row r="1760" spans="1:3" ht="16.05" customHeight="1">
      <c r="A1760" s="15">
        <v>12</v>
      </c>
      <c r="B1760" s="15">
        <v>64062478</v>
      </c>
      <c r="C1760" s="66">
        <v>64062571</v>
      </c>
    </row>
    <row r="1761" spans="1:3" ht="16.05" customHeight="1">
      <c r="A1761" s="15">
        <v>12</v>
      </c>
      <c r="B1761" s="15">
        <v>64062561</v>
      </c>
      <c r="C1761" s="66">
        <v>64062625</v>
      </c>
    </row>
    <row r="1762" spans="1:3" ht="16.05" customHeight="1">
      <c r="A1762" s="15">
        <v>12</v>
      </c>
      <c r="B1762" s="15">
        <v>66122784</v>
      </c>
      <c r="C1762" s="66">
        <v>66122904</v>
      </c>
    </row>
    <row r="1763" spans="1:3" ht="16.05" customHeight="1">
      <c r="A1763" s="15">
        <v>12</v>
      </c>
      <c r="B1763" s="15">
        <v>66122908</v>
      </c>
      <c r="C1763" s="66">
        <v>66123048</v>
      </c>
    </row>
    <row r="1764" spans="1:3" ht="16.05" customHeight="1">
      <c r="A1764" s="15">
        <v>12</v>
      </c>
      <c r="B1764" s="15">
        <v>66122956</v>
      </c>
      <c r="C1764" s="66">
        <v>66123133</v>
      </c>
    </row>
    <row r="1765" spans="1:3" ht="16.05" customHeight="1">
      <c r="A1765" s="15">
        <v>12</v>
      </c>
      <c r="B1765" s="15">
        <v>66123163</v>
      </c>
      <c r="C1765" s="66">
        <v>66123298</v>
      </c>
    </row>
    <row r="1766" spans="1:3" ht="16.05" customHeight="1">
      <c r="A1766" s="15">
        <v>12</v>
      </c>
      <c r="B1766" s="15">
        <v>66216718</v>
      </c>
      <c r="C1766" s="66">
        <v>66216914</v>
      </c>
    </row>
    <row r="1767" spans="1:3" ht="16.05" customHeight="1">
      <c r="A1767" s="15">
        <v>12</v>
      </c>
      <c r="B1767" s="15">
        <v>66216905</v>
      </c>
      <c r="C1767" s="66">
        <v>66216994</v>
      </c>
    </row>
    <row r="1768" spans="1:3" ht="16.05" customHeight="1">
      <c r="A1768" s="15">
        <v>12</v>
      </c>
      <c r="B1768" s="15">
        <v>72665234</v>
      </c>
      <c r="C1768" s="66">
        <v>72665257</v>
      </c>
    </row>
    <row r="1769" spans="1:3" ht="16.05" customHeight="1">
      <c r="A1769" s="15">
        <v>12</v>
      </c>
      <c r="B1769" s="15">
        <v>72665277</v>
      </c>
      <c r="C1769" s="66">
        <v>72665548</v>
      </c>
    </row>
    <row r="1770" spans="1:3" ht="16.05" customHeight="1">
      <c r="A1770" s="15">
        <v>12</v>
      </c>
      <c r="B1770" s="15">
        <v>72666309</v>
      </c>
      <c r="C1770" s="66">
        <v>72666444</v>
      </c>
    </row>
    <row r="1771" spans="1:3" ht="16.05" customHeight="1">
      <c r="A1771" s="15">
        <v>12</v>
      </c>
      <c r="B1771" s="15">
        <v>72666978</v>
      </c>
      <c r="C1771" s="66">
        <v>72667101</v>
      </c>
    </row>
    <row r="1772" spans="1:3" ht="16.05" customHeight="1">
      <c r="A1772" s="15">
        <v>12</v>
      </c>
      <c r="B1772" s="15">
        <v>79258381</v>
      </c>
      <c r="C1772" s="66">
        <v>79258546</v>
      </c>
    </row>
    <row r="1773" spans="1:3" ht="16.05" customHeight="1">
      <c r="A1773" s="15">
        <v>12</v>
      </c>
      <c r="B1773" s="15">
        <v>8171305</v>
      </c>
      <c r="C1773" s="66">
        <v>8171473</v>
      </c>
    </row>
    <row r="1774" spans="1:3" ht="16.05" customHeight="1">
      <c r="A1774" s="15">
        <v>12</v>
      </c>
      <c r="B1774" s="15">
        <v>8171494</v>
      </c>
      <c r="C1774" s="66">
        <v>8171635</v>
      </c>
    </row>
    <row r="1775" spans="1:3" ht="16.05" customHeight="1">
      <c r="A1775" s="15">
        <v>12</v>
      </c>
      <c r="B1775" s="15">
        <v>85305597</v>
      </c>
      <c r="C1775" s="66">
        <v>85306118</v>
      </c>
    </row>
    <row r="1776" spans="1:3" ht="16.05" customHeight="1">
      <c r="A1776" s="15">
        <v>12</v>
      </c>
      <c r="B1776" s="15">
        <v>85306318</v>
      </c>
      <c r="C1776" s="66">
        <v>85306408</v>
      </c>
    </row>
    <row r="1777" spans="1:3" ht="16.05" customHeight="1">
      <c r="A1777" s="15">
        <v>12</v>
      </c>
      <c r="B1777" s="15">
        <v>85306446</v>
      </c>
      <c r="C1777" s="66">
        <v>85306645</v>
      </c>
    </row>
    <row r="1778" spans="1:3" ht="16.05" customHeight="1">
      <c r="A1778" s="15">
        <v>12</v>
      </c>
      <c r="B1778" s="15">
        <v>85306569</v>
      </c>
      <c r="C1778" s="66">
        <v>85306899</v>
      </c>
    </row>
    <row r="1779" spans="1:3" ht="16.05" customHeight="1">
      <c r="A1779" s="15">
        <v>12</v>
      </c>
      <c r="B1779" s="15">
        <v>8548930</v>
      </c>
      <c r="C1779" s="66">
        <v>8549015</v>
      </c>
    </row>
    <row r="1780" spans="1:3" ht="16.05" customHeight="1">
      <c r="A1780" s="15">
        <v>12</v>
      </c>
      <c r="B1780" s="15">
        <v>85673195</v>
      </c>
      <c r="C1780" s="66">
        <v>85673431</v>
      </c>
    </row>
    <row r="1781" spans="1:3" ht="16.05" customHeight="1">
      <c r="A1781" s="15">
        <v>12</v>
      </c>
      <c r="B1781" s="15">
        <v>85673775</v>
      </c>
      <c r="C1781" s="66">
        <v>85674192</v>
      </c>
    </row>
    <row r="1782" spans="1:3" ht="16.05" customHeight="1">
      <c r="A1782" s="15">
        <v>12</v>
      </c>
      <c r="B1782" s="15">
        <v>85674124</v>
      </c>
      <c r="C1782" s="66">
        <v>85674375</v>
      </c>
    </row>
    <row r="1783" spans="1:3" ht="16.05" customHeight="1">
      <c r="A1783" s="15">
        <v>12</v>
      </c>
      <c r="B1783" s="15">
        <v>85674404</v>
      </c>
      <c r="C1783" s="66">
        <v>85674464</v>
      </c>
    </row>
    <row r="1784" spans="1:3" ht="16.05" customHeight="1">
      <c r="A1784" s="15">
        <v>12</v>
      </c>
      <c r="B1784" s="15">
        <v>99139397</v>
      </c>
      <c r="C1784" s="66">
        <v>99139532</v>
      </c>
    </row>
    <row r="1785" spans="1:3" ht="16.05" customHeight="1">
      <c r="A1785" s="15">
        <v>12</v>
      </c>
      <c r="B1785" s="15">
        <v>99139566</v>
      </c>
      <c r="C1785" s="66">
        <v>99139917</v>
      </c>
    </row>
    <row r="1786" spans="1:3" ht="16.05" customHeight="1">
      <c r="A1786" s="15">
        <v>12</v>
      </c>
      <c r="B1786" s="15">
        <v>99289313</v>
      </c>
      <c r="C1786" s="66">
        <v>99289460</v>
      </c>
    </row>
    <row r="1787" spans="1:3" ht="16.05" customHeight="1">
      <c r="A1787" s="15">
        <v>13</v>
      </c>
      <c r="B1787" s="15">
        <v>100624004</v>
      </c>
      <c r="C1787" s="66">
        <v>100624170</v>
      </c>
    </row>
    <row r="1788" spans="1:3" ht="16.05" customHeight="1">
      <c r="A1788" s="15">
        <v>13</v>
      </c>
      <c r="B1788" s="15">
        <v>100624167</v>
      </c>
      <c r="C1788" s="66">
        <v>100624299</v>
      </c>
    </row>
    <row r="1789" spans="1:3" ht="16.05" customHeight="1">
      <c r="A1789" s="15">
        <v>13</v>
      </c>
      <c r="B1789" s="15">
        <v>100627170</v>
      </c>
      <c r="C1789" s="66">
        <v>100627319</v>
      </c>
    </row>
    <row r="1790" spans="1:3" ht="16.05" customHeight="1">
      <c r="A1790" s="15">
        <v>13</v>
      </c>
      <c r="B1790" s="15">
        <v>100627329</v>
      </c>
      <c r="C1790" s="66">
        <v>100627466</v>
      </c>
    </row>
    <row r="1791" spans="1:3" ht="16.05" customHeight="1">
      <c r="A1791" s="15">
        <v>13</v>
      </c>
      <c r="B1791" s="15">
        <v>100636107</v>
      </c>
      <c r="C1791" s="66">
        <v>100636282</v>
      </c>
    </row>
    <row r="1792" spans="1:3" ht="16.05" customHeight="1">
      <c r="A1792" s="15">
        <v>13</v>
      </c>
      <c r="B1792" s="15">
        <v>100636287</v>
      </c>
      <c r="C1792" s="66">
        <v>100636433</v>
      </c>
    </row>
    <row r="1793" spans="1:3" ht="16.05" customHeight="1">
      <c r="A1793" s="15">
        <v>13</v>
      </c>
      <c r="B1793" s="15">
        <v>100641485</v>
      </c>
      <c r="C1793" s="66">
        <v>100641566</v>
      </c>
    </row>
    <row r="1794" spans="1:3" ht="16.05" customHeight="1">
      <c r="A1794" s="15">
        <v>13</v>
      </c>
      <c r="B1794" s="15">
        <v>100641594</v>
      </c>
      <c r="C1794" s="66">
        <v>100641817</v>
      </c>
    </row>
    <row r="1795" spans="1:3" ht="16.05" customHeight="1">
      <c r="A1795" s="15">
        <v>13</v>
      </c>
      <c r="B1795" s="15">
        <v>100641936</v>
      </c>
      <c r="C1795" s="66">
        <v>100642144</v>
      </c>
    </row>
    <row r="1796" spans="1:3" ht="16.05" customHeight="1">
      <c r="A1796" s="15">
        <v>13</v>
      </c>
      <c r="B1796" s="15">
        <v>100642163</v>
      </c>
      <c r="C1796" s="66">
        <v>100642193</v>
      </c>
    </row>
    <row r="1797" spans="1:3" ht="16.05" customHeight="1">
      <c r="A1797" s="15">
        <v>13</v>
      </c>
      <c r="B1797" s="15">
        <v>100642646</v>
      </c>
      <c r="C1797" s="66">
        <v>100642948</v>
      </c>
    </row>
    <row r="1798" spans="1:3" ht="16.05" customHeight="1">
      <c r="A1798" s="15">
        <v>13</v>
      </c>
      <c r="B1798" s="15">
        <v>100643178</v>
      </c>
      <c r="C1798" s="66">
        <v>100643276</v>
      </c>
    </row>
    <row r="1799" spans="1:3" ht="16.05" customHeight="1">
      <c r="A1799" s="15">
        <v>13</v>
      </c>
      <c r="B1799" s="15">
        <v>100643307</v>
      </c>
      <c r="C1799" s="66">
        <v>100643427</v>
      </c>
    </row>
    <row r="1800" spans="1:3" ht="16.05" customHeight="1">
      <c r="A1800" s="15">
        <v>13</v>
      </c>
      <c r="B1800" s="15">
        <v>103052202</v>
      </c>
      <c r="C1800" s="66">
        <v>103052291</v>
      </c>
    </row>
    <row r="1801" spans="1:3" ht="16.05" customHeight="1">
      <c r="A1801" s="15">
        <v>13</v>
      </c>
      <c r="B1801" s="15">
        <v>103054999</v>
      </c>
      <c r="C1801" s="66">
        <v>103055017</v>
      </c>
    </row>
    <row r="1802" spans="1:3" ht="16.05" customHeight="1">
      <c r="A1802" s="15">
        <v>13</v>
      </c>
      <c r="B1802" s="15">
        <v>108520940</v>
      </c>
      <c r="C1802" s="66">
        <v>108521068</v>
      </c>
    </row>
    <row r="1803" spans="1:3" ht="16.05" customHeight="1">
      <c r="A1803" s="15">
        <v>13</v>
      </c>
      <c r="B1803" s="15">
        <v>110958827</v>
      </c>
      <c r="C1803" s="66">
        <v>110958869</v>
      </c>
    </row>
    <row r="1804" spans="1:3" ht="16.05" customHeight="1">
      <c r="A1804" s="15">
        <v>13</v>
      </c>
      <c r="B1804" s="15">
        <v>110958887</v>
      </c>
      <c r="C1804" s="66">
        <v>110959151</v>
      </c>
    </row>
    <row r="1805" spans="1:3" ht="16.05" customHeight="1">
      <c r="A1805" s="15">
        <v>13</v>
      </c>
      <c r="B1805" s="15">
        <v>110960036</v>
      </c>
      <c r="C1805" s="66">
        <v>110960153</v>
      </c>
    </row>
    <row r="1806" spans="1:3" ht="16.05" customHeight="1">
      <c r="A1806" s="15">
        <v>13</v>
      </c>
      <c r="B1806" s="15">
        <v>110960172</v>
      </c>
      <c r="C1806" s="66">
        <v>110960351</v>
      </c>
    </row>
    <row r="1807" spans="1:3" ht="16.05" customHeight="1">
      <c r="A1807" s="15">
        <v>13</v>
      </c>
      <c r="B1807" s="15">
        <v>112710732</v>
      </c>
      <c r="C1807" s="66">
        <v>112710929</v>
      </c>
    </row>
    <row r="1808" spans="1:3" ht="16.05" customHeight="1">
      <c r="A1808" s="15">
        <v>13</v>
      </c>
      <c r="B1808" s="15">
        <v>112711417</v>
      </c>
      <c r="C1808" s="66">
        <v>112711620</v>
      </c>
    </row>
    <row r="1809" spans="1:3" ht="16.05" customHeight="1">
      <c r="A1809" s="15">
        <v>13</v>
      </c>
      <c r="B1809" s="15">
        <v>112711635</v>
      </c>
      <c r="C1809" s="66">
        <v>112711762</v>
      </c>
    </row>
    <row r="1810" spans="1:3" ht="16.05" customHeight="1">
      <c r="A1810" s="15">
        <v>13</v>
      </c>
      <c r="B1810" s="15">
        <v>112711767</v>
      </c>
      <c r="C1810" s="66">
        <v>112711860</v>
      </c>
    </row>
    <row r="1811" spans="1:3" ht="16.05" customHeight="1">
      <c r="A1811" s="15">
        <v>13</v>
      </c>
      <c r="B1811" s="15">
        <v>112711906</v>
      </c>
      <c r="C1811" s="66">
        <v>112712113</v>
      </c>
    </row>
    <row r="1812" spans="1:3" ht="16.05" customHeight="1">
      <c r="A1812" s="15">
        <v>13</v>
      </c>
      <c r="B1812" s="15">
        <v>112712302</v>
      </c>
      <c r="C1812" s="66">
        <v>112712574</v>
      </c>
    </row>
    <row r="1813" spans="1:3" ht="16.05" customHeight="1">
      <c r="A1813" s="15">
        <v>13</v>
      </c>
      <c r="B1813" s="15">
        <v>112712601</v>
      </c>
      <c r="C1813" s="66">
        <v>112712649</v>
      </c>
    </row>
    <row r="1814" spans="1:3" ht="16.05" customHeight="1">
      <c r="A1814" s="15">
        <v>13</v>
      </c>
      <c r="B1814" s="15">
        <v>112720131</v>
      </c>
      <c r="C1814" s="66">
        <v>112720188</v>
      </c>
    </row>
    <row r="1815" spans="1:3" ht="16.05" customHeight="1">
      <c r="A1815" s="15">
        <v>13</v>
      </c>
      <c r="B1815" s="15">
        <v>112720190</v>
      </c>
      <c r="C1815" s="66">
        <v>112720269</v>
      </c>
    </row>
    <row r="1816" spans="1:3" ht="16.05" customHeight="1">
      <c r="A1816" s="15">
        <v>13</v>
      </c>
      <c r="B1816" s="15">
        <v>112720282</v>
      </c>
      <c r="C1816" s="66">
        <v>112720417</v>
      </c>
    </row>
    <row r="1817" spans="1:3" ht="16.05" customHeight="1">
      <c r="A1817" s="15">
        <v>13</v>
      </c>
      <c r="B1817" s="15">
        <v>112720367</v>
      </c>
      <c r="C1817" s="66">
        <v>112720540</v>
      </c>
    </row>
    <row r="1818" spans="1:3" ht="16.05" customHeight="1">
      <c r="A1818" s="15">
        <v>13</v>
      </c>
      <c r="B1818" s="15">
        <v>112720560</v>
      </c>
      <c r="C1818" s="66">
        <v>112720648</v>
      </c>
    </row>
    <row r="1819" spans="1:3" ht="16.05" customHeight="1">
      <c r="A1819" s="15">
        <v>13</v>
      </c>
      <c r="B1819" s="15">
        <v>112721554</v>
      </c>
      <c r="C1819" s="66">
        <v>112721858</v>
      </c>
    </row>
    <row r="1820" spans="1:3" ht="16.05" customHeight="1">
      <c r="A1820" s="15">
        <v>13</v>
      </c>
      <c r="B1820" s="15">
        <v>112722203</v>
      </c>
      <c r="C1820" s="66">
        <v>112722508</v>
      </c>
    </row>
    <row r="1821" spans="1:3" ht="16.05" customHeight="1">
      <c r="A1821" s="15">
        <v>13</v>
      </c>
      <c r="B1821" s="15">
        <v>112723318</v>
      </c>
      <c r="C1821" s="66">
        <v>112723478</v>
      </c>
    </row>
    <row r="1822" spans="1:3" ht="16.05" customHeight="1">
      <c r="A1822" s="15">
        <v>13</v>
      </c>
      <c r="B1822" s="15">
        <v>112723472</v>
      </c>
      <c r="C1822" s="66">
        <v>112723649</v>
      </c>
    </row>
    <row r="1823" spans="1:3" ht="16.05" customHeight="1">
      <c r="A1823" s="15">
        <v>13</v>
      </c>
      <c r="B1823" s="15">
        <v>112758212</v>
      </c>
      <c r="C1823" s="66">
        <v>112758520</v>
      </c>
    </row>
    <row r="1824" spans="1:3" ht="16.05" customHeight="1">
      <c r="A1824" s="15">
        <v>13</v>
      </c>
      <c r="B1824" s="15">
        <v>112758571</v>
      </c>
      <c r="C1824" s="66">
        <v>112758791</v>
      </c>
    </row>
    <row r="1825" spans="1:3" ht="16.05" customHeight="1">
      <c r="A1825" s="15">
        <v>13</v>
      </c>
      <c r="B1825" s="15">
        <v>112759189</v>
      </c>
      <c r="C1825" s="66">
        <v>112759311</v>
      </c>
    </row>
    <row r="1826" spans="1:3" ht="16.05" customHeight="1">
      <c r="A1826" s="15">
        <v>13</v>
      </c>
      <c r="B1826" s="15">
        <v>112759310</v>
      </c>
      <c r="C1826" s="66">
        <v>112759529</v>
      </c>
    </row>
    <row r="1827" spans="1:3" ht="16.05" customHeight="1">
      <c r="A1827" s="15">
        <v>13</v>
      </c>
      <c r="B1827" s="15">
        <v>112759546</v>
      </c>
      <c r="C1827" s="66">
        <v>112759905</v>
      </c>
    </row>
    <row r="1828" spans="1:3" ht="16.05" customHeight="1">
      <c r="A1828" s="15">
        <v>13</v>
      </c>
      <c r="B1828" s="15">
        <v>112759901</v>
      </c>
      <c r="C1828" s="66">
        <v>112760241</v>
      </c>
    </row>
    <row r="1829" spans="1:3" ht="16.05" customHeight="1">
      <c r="A1829" s="15">
        <v>13</v>
      </c>
      <c r="B1829" s="15">
        <v>112760763</v>
      </c>
      <c r="C1829" s="66">
        <v>112760833</v>
      </c>
    </row>
    <row r="1830" spans="1:3" ht="16.05" customHeight="1">
      <c r="A1830" s="15">
        <v>13</v>
      </c>
      <c r="B1830" s="15">
        <v>112760861</v>
      </c>
      <c r="C1830" s="66">
        <v>112761071</v>
      </c>
    </row>
    <row r="1831" spans="1:3" ht="16.05" customHeight="1">
      <c r="A1831" s="15">
        <v>13</v>
      </c>
      <c r="B1831" s="15">
        <v>23733714</v>
      </c>
      <c r="C1831" s="66">
        <v>23733888</v>
      </c>
    </row>
    <row r="1832" spans="1:3" ht="16.05" customHeight="1">
      <c r="A1832" s="15">
        <v>13</v>
      </c>
      <c r="B1832" s="15">
        <v>23733898</v>
      </c>
      <c r="C1832" s="66">
        <v>23734035</v>
      </c>
    </row>
    <row r="1833" spans="1:3" ht="16.05" customHeight="1">
      <c r="A1833" s="15">
        <v>13</v>
      </c>
      <c r="B1833" s="15">
        <v>25620825</v>
      </c>
      <c r="C1833" s="66">
        <v>25620839</v>
      </c>
    </row>
    <row r="1834" spans="1:3" ht="16.05" customHeight="1">
      <c r="A1834" s="15">
        <v>13</v>
      </c>
      <c r="B1834" s="15">
        <v>28366493</v>
      </c>
      <c r="C1834" s="66">
        <v>28366671</v>
      </c>
    </row>
    <row r="1835" spans="1:3" ht="16.05" customHeight="1">
      <c r="A1835" s="15">
        <v>13</v>
      </c>
      <c r="B1835" s="15">
        <v>28366697</v>
      </c>
      <c r="C1835" s="66">
        <v>28366775</v>
      </c>
    </row>
    <row r="1836" spans="1:3" ht="16.05" customHeight="1">
      <c r="A1836" s="15">
        <v>13</v>
      </c>
      <c r="B1836" s="15">
        <v>28371109</v>
      </c>
      <c r="C1836" s="66">
        <v>28371163</v>
      </c>
    </row>
    <row r="1837" spans="1:3" ht="16.05" customHeight="1">
      <c r="A1837" s="15">
        <v>13</v>
      </c>
      <c r="B1837" s="15">
        <v>28491484</v>
      </c>
      <c r="C1837" s="66">
        <v>28491667</v>
      </c>
    </row>
    <row r="1838" spans="1:3" ht="16.05" customHeight="1">
      <c r="A1838" s="15">
        <v>13</v>
      </c>
      <c r="B1838" s="15">
        <v>28491669</v>
      </c>
      <c r="C1838" s="66">
        <v>28491718</v>
      </c>
    </row>
    <row r="1839" spans="1:3" ht="16.05" customHeight="1">
      <c r="A1839" s="15">
        <v>13</v>
      </c>
      <c r="B1839" s="15">
        <v>28492252</v>
      </c>
      <c r="C1839" s="66">
        <v>28492440</v>
      </c>
    </row>
    <row r="1840" spans="1:3" ht="16.05" customHeight="1">
      <c r="A1840" s="15">
        <v>13</v>
      </c>
      <c r="B1840" s="15">
        <v>28492490</v>
      </c>
      <c r="C1840" s="66">
        <v>28492545</v>
      </c>
    </row>
    <row r="1841" spans="1:3" ht="16.05" customHeight="1">
      <c r="A1841" s="15">
        <v>13</v>
      </c>
      <c r="B1841" s="15">
        <v>28501196</v>
      </c>
      <c r="C1841" s="66">
        <v>28501304</v>
      </c>
    </row>
    <row r="1842" spans="1:3" ht="16.05" customHeight="1">
      <c r="A1842" s="15">
        <v>13</v>
      </c>
      <c r="B1842" s="15">
        <v>28501334</v>
      </c>
      <c r="C1842" s="66">
        <v>28501473</v>
      </c>
    </row>
    <row r="1843" spans="1:3" ht="16.05" customHeight="1">
      <c r="A1843" s="15">
        <v>13</v>
      </c>
      <c r="B1843" s="15">
        <v>28549835</v>
      </c>
      <c r="C1843" s="66">
        <v>28550097</v>
      </c>
    </row>
    <row r="1844" spans="1:3" ht="16.05" customHeight="1">
      <c r="A1844" s="15">
        <v>13</v>
      </c>
      <c r="B1844" s="15">
        <v>28554751</v>
      </c>
      <c r="C1844" s="66">
        <v>28555004</v>
      </c>
    </row>
    <row r="1845" spans="1:3" ht="16.05" customHeight="1">
      <c r="A1845" s="15">
        <v>13</v>
      </c>
      <c r="B1845" s="15">
        <v>29106480</v>
      </c>
      <c r="C1845" s="66">
        <v>29106597</v>
      </c>
    </row>
    <row r="1846" spans="1:3" ht="16.05" customHeight="1">
      <c r="A1846" s="15">
        <v>13</v>
      </c>
      <c r="B1846" s="15">
        <v>29393779</v>
      </c>
      <c r="C1846" s="66">
        <v>29393856</v>
      </c>
    </row>
    <row r="1847" spans="1:3" ht="16.05" customHeight="1">
      <c r="A1847" s="15">
        <v>13</v>
      </c>
      <c r="B1847" s="15">
        <v>37247945</v>
      </c>
      <c r="C1847" s="66">
        <v>37248434</v>
      </c>
    </row>
    <row r="1848" spans="1:3" ht="16.05" customHeight="1">
      <c r="A1848" s="15">
        <v>13</v>
      </c>
      <c r="B1848" s="15">
        <v>38443466</v>
      </c>
      <c r="C1848" s="66">
        <v>38443536</v>
      </c>
    </row>
    <row r="1849" spans="1:3" ht="16.05" customHeight="1">
      <c r="A1849" s="15">
        <v>13</v>
      </c>
      <c r="B1849" s="15">
        <v>38444057</v>
      </c>
      <c r="C1849" s="66">
        <v>38444253</v>
      </c>
    </row>
    <row r="1850" spans="1:3" ht="16.05" customHeight="1">
      <c r="A1850" s="15">
        <v>13</v>
      </c>
      <c r="B1850" s="15">
        <v>43566628</v>
      </c>
      <c r="C1850" s="66">
        <v>43566648</v>
      </c>
    </row>
    <row r="1851" spans="1:3" ht="16.05" customHeight="1">
      <c r="A1851" s="15">
        <v>13</v>
      </c>
      <c r="B1851" s="15">
        <v>46190002</v>
      </c>
      <c r="C1851" s="66">
        <v>46190043</v>
      </c>
    </row>
    <row r="1852" spans="1:3" ht="16.05" customHeight="1">
      <c r="A1852" s="15">
        <v>13</v>
      </c>
      <c r="B1852" s="15">
        <v>53420222</v>
      </c>
      <c r="C1852" s="66">
        <v>53420397</v>
      </c>
    </row>
    <row r="1853" spans="1:3" ht="16.05" customHeight="1">
      <c r="A1853" s="15">
        <v>13</v>
      </c>
      <c r="B1853" s="15">
        <v>53420407</v>
      </c>
      <c r="C1853" s="66">
        <v>53420555</v>
      </c>
    </row>
    <row r="1854" spans="1:3" ht="16.05" customHeight="1">
      <c r="A1854" s="15">
        <v>13</v>
      </c>
      <c r="B1854" s="15">
        <v>53422624</v>
      </c>
      <c r="C1854" s="66">
        <v>53422765</v>
      </c>
    </row>
    <row r="1855" spans="1:3" ht="16.05" customHeight="1">
      <c r="A1855" s="15">
        <v>13</v>
      </c>
      <c r="B1855" s="15">
        <v>53422772</v>
      </c>
      <c r="C1855" s="66">
        <v>53422877</v>
      </c>
    </row>
    <row r="1856" spans="1:3" ht="16.05" customHeight="1">
      <c r="A1856" s="15">
        <v>13</v>
      </c>
      <c r="B1856" s="15">
        <v>77461197</v>
      </c>
      <c r="C1856" s="66">
        <v>77461208</v>
      </c>
    </row>
    <row r="1857" spans="1:3" ht="16.05" customHeight="1">
      <c r="A1857" s="15">
        <v>13</v>
      </c>
      <c r="B1857" s="15">
        <v>78492845</v>
      </c>
      <c r="C1857" s="66">
        <v>78492979</v>
      </c>
    </row>
    <row r="1858" spans="1:3" ht="16.05" customHeight="1">
      <c r="A1858" s="15">
        <v>13</v>
      </c>
      <c r="B1858" s="15">
        <v>79160874</v>
      </c>
      <c r="C1858" s="66">
        <v>79161034</v>
      </c>
    </row>
    <row r="1859" spans="1:3" ht="16.05" customHeight="1">
      <c r="A1859" s="15">
        <v>13</v>
      </c>
      <c r="B1859" s="15">
        <v>79161062</v>
      </c>
      <c r="C1859" s="66">
        <v>79161180</v>
      </c>
    </row>
    <row r="1860" spans="1:3" ht="16.05" customHeight="1">
      <c r="A1860" s="15">
        <v>13</v>
      </c>
      <c r="B1860" s="15">
        <v>79170131</v>
      </c>
      <c r="C1860" s="66">
        <v>79170391</v>
      </c>
    </row>
    <row r="1861" spans="1:3" ht="16.05" customHeight="1">
      <c r="A1861" s="15">
        <v>13</v>
      </c>
      <c r="B1861" s="15">
        <v>79176397</v>
      </c>
      <c r="C1861" s="66">
        <v>79176519</v>
      </c>
    </row>
    <row r="1862" spans="1:3" ht="16.05" customHeight="1">
      <c r="A1862" s="15">
        <v>13</v>
      </c>
      <c r="B1862" s="15">
        <v>79176520</v>
      </c>
      <c r="C1862" s="66">
        <v>79176700</v>
      </c>
    </row>
    <row r="1863" spans="1:3" ht="16.05" customHeight="1">
      <c r="A1863" s="15">
        <v>13</v>
      </c>
      <c r="B1863" s="15">
        <v>79177356</v>
      </c>
      <c r="C1863" s="66">
        <v>79177709</v>
      </c>
    </row>
    <row r="1864" spans="1:3" ht="16.05" customHeight="1">
      <c r="A1864" s="15">
        <v>13</v>
      </c>
      <c r="B1864" s="15">
        <v>79177734</v>
      </c>
      <c r="C1864" s="66">
        <v>79177956</v>
      </c>
    </row>
    <row r="1865" spans="1:3" ht="16.05" customHeight="1">
      <c r="A1865" s="15">
        <v>13</v>
      </c>
      <c r="B1865" s="15">
        <v>84453111</v>
      </c>
      <c r="C1865" s="66">
        <v>84453286</v>
      </c>
    </row>
    <row r="1866" spans="1:3" ht="16.05" customHeight="1">
      <c r="A1866" s="15">
        <v>13</v>
      </c>
      <c r="B1866" s="15">
        <v>84453315</v>
      </c>
      <c r="C1866" s="66">
        <v>84453414</v>
      </c>
    </row>
    <row r="1867" spans="1:3" ht="16.05" customHeight="1">
      <c r="A1867" s="15">
        <v>13</v>
      </c>
      <c r="B1867" s="15">
        <v>88325209</v>
      </c>
      <c r="C1867" s="66">
        <v>88325336</v>
      </c>
    </row>
    <row r="1868" spans="1:3" ht="16.05" customHeight="1">
      <c r="A1868" s="15">
        <v>13</v>
      </c>
      <c r="B1868" s="15">
        <v>92051490</v>
      </c>
      <c r="C1868" s="66">
        <v>92051721</v>
      </c>
    </row>
    <row r="1869" spans="1:3" ht="16.05" customHeight="1">
      <c r="A1869" s="15">
        <v>13</v>
      </c>
      <c r="B1869" s="15">
        <v>93881100</v>
      </c>
      <c r="C1869" s="66">
        <v>93881116</v>
      </c>
    </row>
    <row r="1870" spans="1:3" ht="16.05" customHeight="1">
      <c r="A1870" s="15">
        <v>13</v>
      </c>
      <c r="B1870" s="15">
        <v>95355342</v>
      </c>
      <c r="C1870" s="66">
        <v>95355527</v>
      </c>
    </row>
    <row r="1871" spans="1:3" ht="16.05" customHeight="1">
      <c r="A1871" s="15">
        <v>13</v>
      </c>
      <c r="B1871" s="15">
        <v>95355577</v>
      </c>
      <c r="C1871" s="66">
        <v>95355679</v>
      </c>
    </row>
    <row r="1872" spans="1:3" ht="16.05" customHeight="1">
      <c r="A1872" s="15">
        <v>13</v>
      </c>
      <c r="B1872" s="15">
        <v>95364396</v>
      </c>
      <c r="C1872" s="66">
        <v>95364520</v>
      </c>
    </row>
    <row r="1873" spans="1:3" ht="16.05" customHeight="1">
      <c r="A1873" s="15">
        <v>13</v>
      </c>
      <c r="B1873" s="15">
        <v>95620807</v>
      </c>
      <c r="C1873" s="66">
        <v>95621100</v>
      </c>
    </row>
    <row r="1874" spans="1:3" ht="16.05" customHeight="1">
      <c r="A1874" s="15">
        <v>13</v>
      </c>
      <c r="B1874" s="15">
        <v>95621095</v>
      </c>
      <c r="C1874" s="66">
        <v>95621139</v>
      </c>
    </row>
    <row r="1875" spans="1:3" ht="16.05" customHeight="1">
      <c r="A1875" s="15">
        <v>13</v>
      </c>
      <c r="B1875" s="15">
        <v>96743890</v>
      </c>
      <c r="C1875" s="66">
        <v>96744039</v>
      </c>
    </row>
    <row r="1876" spans="1:3" ht="16.05" customHeight="1">
      <c r="A1876" s="15">
        <v>14</v>
      </c>
      <c r="B1876" s="15">
        <v>101192847</v>
      </c>
      <c r="C1876" s="66">
        <v>101193148</v>
      </c>
    </row>
    <row r="1877" spans="1:3" ht="16.05" customHeight="1">
      <c r="A1877" s="15">
        <v>14</v>
      </c>
      <c r="B1877" s="15">
        <v>102026068</v>
      </c>
      <c r="C1877" s="66">
        <v>102026382</v>
      </c>
    </row>
    <row r="1878" spans="1:3" ht="16.05" customHeight="1">
      <c r="A1878" s="15">
        <v>14</v>
      </c>
      <c r="B1878" s="15">
        <v>102026389</v>
      </c>
      <c r="C1878" s="66">
        <v>102026728</v>
      </c>
    </row>
    <row r="1879" spans="1:3" ht="16.05" customHeight="1">
      <c r="A1879" s="15">
        <v>14</v>
      </c>
      <c r="B1879" s="15">
        <v>103655301</v>
      </c>
      <c r="C1879" s="66">
        <v>103655593</v>
      </c>
    </row>
    <row r="1880" spans="1:3" ht="16.05" customHeight="1">
      <c r="A1880" s="15">
        <v>14</v>
      </c>
      <c r="B1880" s="15">
        <v>103739858</v>
      </c>
      <c r="C1880" s="66">
        <v>103740142</v>
      </c>
    </row>
    <row r="1881" spans="1:3" ht="16.05" customHeight="1">
      <c r="A1881" s="15">
        <v>14</v>
      </c>
      <c r="B1881" s="15">
        <v>105993436</v>
      </c>
      <c r="C1881" s="66">
        <v>105993524</v>
      </c>
    </row>
    <row r="1882" spans="1:3" ht="16.05" customHeight="1">
      <c r="A1882" s="15">
        <v>14</v>
      </c>
      <c r="B1882" s="15">
        <v>21093254</v>
      </c>
      <c r="C1882" s="66">
        <v>21093265</v>
      </c>
    </row>
    <row r="1883" spans="1:3" ht="16.05" customHeight="1">
      <c r="A1883" s="15">
        <v>14</v>
      </c>
      <c r="B1883" s="15">
        <v>21121411</v>
      </c>
      <c r="C1883" s="66">
        <v>21121586</v>
      </c>
    </row>
    <row r="1884" spans="1:3" ht="16.05" customHeight="1">
      <c r="A1884" s="15">
        <v>14</v>
      </c>
      <c r="B1884" s="15">
        <v>21769011</v>
      </c>
      <c r="C1884" s="66">
        <v>21769385</v>
      </c>
    </row>
    <row r="1885" spans="1:3" ht="16.05" customHeight="1">
      <c r="A1885" s="15">
        <v>14</v>
      </c>
      <c r="B1885" s="15">
        <v>22004874</v>
      </c>
      <c r="C1885" s="66">
        <v>22005173</v>
      </c>
    </row>
    <row r="1886" spans="1:3" ht="16.05" customHeight="1">
      <c r="A1886" s="15">
        <v>14</v>
      </c>
      <c r="B1886" s="15">
        <v>24803728</v>
      </c>
      <c r="C1886" s="66">
        <v>24803886</v>
      </c>
    </row>
    <row r="1887" spans="1:3" ht="16.05" customHeight="1">
      <c r="A1887" s="15">
        <v>14</v>
      </c>
      <c r="B1887" s="15">
        <v>24803891</v>
      </c>
      <c r="C1887" s="66">
        <v>24804098</v>
      </c>
    </row>
    <row r="1888" spans="1:3" ht="16.05" customHeight="1">
      <c r="A1888" s="15">
        <v>14</v>
      </c>
      <c r="B1888" s="15">
        <v>25518452</v>
      </c>
      <c r="C1888" s="66">
        <v>25518676</v>
      </c>
    </row>
    <row r="1889" spans="1:3" ht="16.05" customHeight="1">
      <c r="A1889" s="15">
        <v>14</v>
      </c>
      <c r="B1889" s="15">
        <v>25518670</v>
      </c>
      <c r="C1889" s="66">
        <v>25518798</v>
      </c>
    </row>
    <row r="1890" spans="1:3" ht="16.05" customHeight="1">
      <c r="A1890" s="15">
        <v>14</v>
      </c>
      <c r="B1890" s="15">
        <v>26674253</v>
      </c>
      <c r="C1890" s="66">
        <v>26674534</v>
      </c>
    </row>
    <row r="1891" spans="1:3" ht="16.05" customHeight="1">
      <c r="A1891" s="15">
        <v>14</v>
      </c>
      <c r="B1891" s="15">
        <v>27065830</v>
      </c>
      <c r="C1891" s="66">
        <v>27065980</v>
      </c>
    </row>
    <row r="1892" spans="1:3" ht="16.05" customHeight="1">
      <c r="A1892" s="15">
        <v>14</v>
      </c>
      <c r="B1892" s="15">
        <v>27066048</v>
      </c>
      <c r="C1892" s="66">
        <v>27066147</v>
      </c>
    </row>
    <row r="1893" spans="1:3" ht="16.05" customHeight="1">
      <c r="A1893" s="15">
        <v>14</v>
      </c>
      <c r="B1893" s="15">
        <v>29228260</v>
      </c>
      <c r="C1893" s="66">
        <v>29228341</v>
      </c>
    </row>
    <row r="1894" spans="1:3" ht="16.05" customHeight="1">
      <c r="A1894" s="15">
        <v>14</v>
      </c>
      <c r="B1894" s="15">
        <v>29229118</v>
      </c>
      <c r="C1894" s="66">
        <v>29229555</v>
      </c>
    </row>
    <row r="1895" spans="1:3" ht="16.05" customHeight="1">
      <c r="A1895" s="15">
        <v>14</v>
      </c>
      <c r="B1895" s="15">
        <v>29235014</v>
      </c>
      <c r="C1895" s="66">
        <v>29235284</v>
      </c>
    </row>
    <row r="1896" spans="1:3" ht="16.05" customHeight="1">
      <c r="A1896" s="15">
        <v>14</v>
      </c>
      <c r="B1896" s="15">
        <v>29243448</v>
      </c>
      <c r="C1896" s="66">
        <v>29243640</v>
      </c>
    </row>
    <row r="1897" spans="1:3" ht="16.05" customHeight="1">
      <c r="A1897" s="15">
        <v>14</v>
      </c>
      <c r="B1897" s="15">
        <v>29243666</v>
      </c>
      <c r="C1897" s="66">
        <v>29243791</v>
      </c>
    </row>
    <row r="1898" spans="1:3" ht="16.05" customHeight="1">
      <c r="A1898" s="15">
        <v>14</v>
      </c>
      <c r="B1898" s="15">
        <v>31344589</v>
      </c>
      <c r="C1898" s="66">
        <v>31344710</v>
      </c>
    </row>
    <row r="1899" spans="1:3" ht="16.05" customHeight="1">
      <c r="A1899" s="15">
        <v>14</v>
      </c>
      <c r="B1899" s="15">
        <v>36003582</v>
      </c>
      <c r="C1899" s="66">
        <v>36003770</v>
      </c>
    </row>
    <row r="1900" spans="1:3" ht="16.05" customHeight="1">
      <c r="A1900" s="15">
        <v>14</v>
      </c>
      <c r="B1900" s="15">
        <v>36003791</v>
      </c>
      <c r="C1900" s="66">
        <v>36004000</v>
      </c>
    </row>
    <row r="1901" spans="1:3" ht="16.05" customHeight="1">
      <c r="A1901" s="15">
        <v>14</v>
      </c>
      <c r="B1901" s="15">
        <v>36003926</v>
      </c>
      <c r="C1901" s="66">
        <v>36004148</v>
      </c>
    </row>
    <row r="1902" spans="1:3" ht="16.05" customHeight="1">
      <c r="A1902" s="15">
        <v>14</v>
      </c>
      <c r="B1902" s="15">
        <v>36004191</v>
      </c>
      <c r="C1902" s="66">
        <v>36004237</v>
      </c>
    </row>
    <row r="1903" spans="1:3" ht="16.05" customHeight="1">
      <c r="A1903" s="15">
        <v>14</v>
      </c>
      <c r="B1903" s="15">
        <v>36004759</v>
      </c>
      <c r="C1903" s="66">
        <v>36004856</v>
      </c>
    </row>
    <row r="1904" spans="1:3" ht="16.05" customHeight="1">
      <c r="A1904" s="15">
        <v>14</v>
      </c>
      <c r="B1904" s="15">
        <v>36741483</v>
      </c>
      <c r="C1904" s="66">
        <v>36741660</v>
      </c>
    </row>
    <row r="1905" spans="1:3" ht="16.05" customHeight="1">
      <c r="A1905" s="15">
        <v>14</v>
      </c>
      <c r="B1905" s="15">
        <v>36741743</v>
      </c>
      <c r="C1905" s="66">
        <v>36741805</v>
      </c>
    </row>
    <row r="1906" spans="1:3" ht="16.05" customHeight="1">
      <c r="A1906" s="15">
        <v>14</v>
      </c>
      <c r="B1906" s="15">
        <v>36973265</v>
      </c>
      <c r="C1906" s="66">
        <v>36973530</v>
      </c>
    </row>
    <row r="1907" spans="1:3" ht="16.05" customHeight="1">
      <c r="A1907" s="15">
        <v>14</v>
      </c>
      <c r="B1907" s="15">
        <v>36973519</v>
      </c>
      <c r="C1907" s="66">
        <v>36973800</v>
      </c>
    </row>
    <row r="1908" spans="1:3" ht="16.05" customHeight="1">
      <c r="A1908" s="15">
        <v>14</v>
      </c>
      <c r="B1908" s="15">
        <v>36983373</v>
      </c>
      <c r="C1908" s="66">
        <v>36983526</v>
      </c>
    </row>
    <row r="1909" spans="1:3" ht="16.05" customHeight="1">
      <c r="A1909" s="15">
        <v>14</v>
      </c>
      <c r="B1909" s="15">
        <v>36983537</v>
      </c>
      <c r="C1909" s="66">
        <v>36983700</v>
      </c>
    </row>
    <row r="1910" spans="1:3" ht="16.05" customHeight="1">
      <c r="A1910" s="15">
        <v>14</v>
      </c>
      <c r="B1910" s="15">
        <v>36987129</v>
      </c>
      <c r="C1910" s="66">
        <v>36987225</v>
      </c>
    </row>
    <row r="1911" spans="1:3" ht="16.05" customHeight="1">
      <c r="A1911" s="15">
        <v>14</v>
      </c>
      <c r="B1911" s="15">
        <v>36987228</v>
      </c>
      <c r="C1911" s="66">
        <v>36987331</v>
      </c>
    </row>
    <row r="1912" spans="1:3" ht="16.05" customHeight="1">
      <c r="A1912" s="15">
        <v>14</v>
      </c>
      <c r="B1912" s="15">
        <v>36993670</v>
      </c>
      <c r="C1912" s="66">
        <v>36993885</v>
      </c>
    </row>
    <row r="1913" spans="1:3" ht="16.05" customHeight="1">
      <c r="A1913" s="15">
        <v>14</v>
      </c>
      <c r="B1913" s="15">
        <v>36993913</v>
      </c>
      <c r="C1913" s="66">
        <v>36993981</v>
      </c>
    </row>
    <row r="1914" spans="1:3" ht="16.05" customHeight="1">
      <c r="A1914" s="15">
        <v>14</v>
      </c>
      <c r="B1914" s="15">
        <v>36994096</v>
      </c>
      <c r="C1914" s="66">
        <v>36994228</v>
      </c>
    </row>
    <row r="1915" spans="1:3" ht="16.05" customHeight="1">
      <c r="A1915" s="15">
        <v>14</v>
      </c>
      <c r="B1915" s="15">
        <v>36994245</v>
      </c>
      <c r="C1915" s="66">
        <v>36994428</v>
      </c>
    </row>
    <row r="1916" spans="1:3" ht="16.05" customHeight="1">
      <c r="A1916" s="15">
        <v>14</v>
      </c>
      <c r="B1916" s="15">
        <v>37132512</v>
      </c>
      <c r="C1916" s="66">
        <v>37132671</v>
      </c>
    </row>
    <row r="1917" spans="1:3" ht="16.05" customHeight="1">
      <c r="A1917" s="15">
        <v>14</v>
      </c>
      <c r="B1917" s="15">
        <v>37132676</v>
      </c>
      <c r="C1917" s="66">
        <v>37132790</v>
      </c>
    </row>
    <row r="1918" spans="1:3" ht="16.05" customHeight="1">
      <c r="A1918" s="15">
        <v>14</v>
      </c>
      <c r="B1918" s="15">
        <v>38069484</v>
      </c>
      <c r="C1918" s="66">
        <v>38069567</v>
      </c>
    </row>
    <row r="1919" spans="1:3" ht="16.05" customHeight="1">
      <c r="A1919" s="15">
        <v>14</v>
      </c>
      <c r="B1919" s="15">
        <v>38069634</v>
      </c>
      <c r="C1919" s="66">
        <v>38069734</v>
      </c>
    </row>
    <row r="1920" spans="1:3" ht="16.05" customHeight="1">
      <c r="A1920" s="15">
        <v>14</v>
      </c>
      <c r="B1920" s="15">
        <v>42075656</v>
      </c>
      <c r="C1920" s="66">
        <v>42075766</v>
      </c>
    </row>
    <row r="1921" spans="1:3" ht="16.05" customHeight="1">
      <c r="A1921" s="15">
        <v>14</v>
      </c>
      <c r="B1921" s="15">
        <v>42075791</v>
      </c>
      <c r="C1921" s="66">
        <v>42075981</v>
      </c>
    </row>
    <row r="1922" spans="1:3" ht="16.05" customHeight="1">
      <c r="A1922" s="15">
        <v>14</v>
      </c>
      <c r="B1922" s="15">
        <v>42076891</v>
      </c>
      <c r="C1922" s="66">
        <v>42076959</v>
      </c>
    </row>
    <row r="1923" spans="1:3" ht="16.05" customHeight="1">
      <c r="A1923" s="15">
        <v>14</v>
      </c>
      <c r="B1923" s="15">
        <v>42079073</v>
      </c>
      <c r="C1923" s="66">
        <v>42079252</v>
      </c>
    </row>
    <row r="1924" spans="1:3" ht="16.05" customHeight="1">
      <c r="A1924" s="15">
        <v>14</v>
      </c>
      <c r="B1924" s="15">
        <v>42079282</v>
      </c>
      <c r="C1924" s="66">
        <v>42079420</v>
      </c>
    </row>
    <row r="1925" spans="1:3" ht="16.05" customHeight="1">
      <c r="A1925" s="15">
        <v>14</v>
      </c>
      <c r="B1925" s="15">
        <v>51560321</v>
      </c>
      <c r="C1925" s="66">
        <v>51560660</v>
      </c>
    </row>
    <row r="1926" spans="1:3" ht="16.05" customHeight="1">
      <c r="A1926" s="15">
        <v>14</v>
      </c>
      <c r="B1926" s="15">
        <v>51560576</v>
      </c>
      <c r="C1926" s="66">
        <v>51560806</v>
      </c>
    </row>
    <row r="1927" spans="1:3" ht="16.05" customHeight="1">
      <c r="A1927" s="15">
        <v>14</v>
      </c>
      <c r="B1927" s="15">
        <v>51560869</v>
      </c>
      <c r="C1927" s="66">
        <v>51560922</v>
      </c>
    </row>
    <row r="1928" spans="1:3" ht="16.05" customHeight="1">
      <c r="A1928" s="15">
        <v>14</v>
      </c>
      <c r="B1928" s="15">
        <v>51561131</v>
      </c>
      <c r="C1928" s="66">
        <v>51561266</v>
      </c>
    </row>
    <row r="1929" spans="1:3" ht="16.05" customHeight="1">
      <c r="A1929" s="15">
        <v>14</v>
      </c>
      <c r="B1929" s="15">
        <v>52535590</v>
      </c>
      <c r="C1929" s="66">
        <v>52535832</v>
      </c>
    </row>
    <row r="1930" spans="1:3" ht="16.05" customHeight="1">
      <c r="A1930" s="15">
        <v>14</v>
      </c>
      <c r="B1930" s="15">
        <v>52734151</v>
      </c>
      <c r="C1930" s="66">
        <v>52734315</v>
      </c>
    </row>
    <row r="1931" spans="1:3" ht="16.05" customHeight="1">
      <c r="A1931" s="15">
        <v>14</v>
      </c>
      <c r="B1931" s="15">
        <v>52734320</v>
      </c>
      <c r="C1931" s="66">
        <v>52734692</v>
      </c>
    </row>
    <row r="1932" spans="1:3" ht="16.05" customHeight="1">
      <c r="A1932" s="15">
        <v>14</v>
      </c>
      <c r="B1932" s="15">
        <v>52735259</v>
      </c>
      <c r="C1932" s="66">
        <v>52735401</v>
      </c>
    </row>
    <row r="1933" spans="1:3" ht="16.05" customHeight="1">
      <c r="A1933" s="15">
        <v>14</v>
      </c>
      <c r="B1933" s="15">
        <v>52735416</v>
      </c>
      <c r="C1933" s="66">
        <v>52735574</v>
      </c>
    </row>
    <row r="1934" spans="1:3" ht="16.05" customHeight="1">
      <c r="A1934" s="15">
        <v>14</v>
      </c>
      <c r="B1934" s="15">
        <v>57261091</v>
      </c>
      <c r="C1934" s="66">
        <v>57261262</v>
      </c>
    </row>
    <row r="1935" spans="1:3" ht="16.05" customHeight="1">
      <c r="A1935" s="15">
        <v>14</v>
      </c>
      <c r="B1935" s="15">
        <v>57261288</v>
      </c>
      <c r="C1935" s="66">
        <v>57261430</v>
      </c>
    </row>
    <row r="1936" spans="1:3" ht="16.05" customHeight="1">
      <c r="A1936" s="15">
        <v>14</v>
      </c>
      <c r="B1936" s="15">
        <v>57261438</v>
      </c>
      <c r="C1936" s="66">
        <v>57261511</v>
      </c>
    </row>
    <row r="1937" spans="1:3" ht="16.05" customHeight="1">
      <c r="A1937" s="15">
        <v>14</v>
      </c>
      <c r="B1937" s="15">
        <v>57261554</v>
      </c>
      <c r="C1937" s="66">
        <v>57261763</v>
      </c>
    </row>
    <row r="1938" spans="1:3" ht="16.05" customHeight="1">
      <c r="A1938" s="15">
        <v>14</v>
      </c>
      <c r="B1938" s="15">
        <v>57261752</v>
      </c>
      <c r="C1938" s="66">
        <v>57262244</v>
      </c>
    </row>
    <row r="1939" spans="1:3" ht="16.05" customHeight="1">
      <c r="A1939" s="15">
        <v>14</v>
      </c>
      <c r="B1939" s="15">
        <v>57264744</v>
      </c>
      <c r="C1939" s="66">
        <v>57264925</v>
      </c>
    </row>
    <row r="1940" spans="1:3" ht="16.05" customHeight="1">
      <c r="A1940" s="15">
        <v>14</v>
      </c>
      <c r="B1940" s="15">
        <v>57264918</v>
      </c>
      <c r="C1940" s="66">
        <v>57265091</v>
      </c>
    </row>
    <row r="1941" spans="1:3" ht="16.05" customHeight="1">
      <c r="A1941" s="15">
        <v>14</v>
      </c>
      <c r="B1941" s="15">
        <v>57265093</v>
      </c>
      <c r="C1941" s="66">
        <v>57265274</v>
      </c>
    </row>
    <row r="1942" spans="1:3" ht="16.05" customHeight="1">
      <c r="A1942" s="15">
        <v>14</v>
      </c>
      <c r="B1942" s="15">
        <v>57265286</v>
      </c>
      <c r="C1942" s="66">
        <v>57265422</v>
      </c>
    </row>
    <row r="1943" spans="1:3" ht="16.05" customHeight="1">
      <c r="A1943" s="15">
        <v>14</v>
      </c>
      <c r="B1943" s="15">
        <v>57265411</v>
      </c>
      <c r="C1943" s="66">
        <v>57265497</v>
      </c>
    </row>
    <row r="1944" spans="1:3" ht="16.05" customHeight="1">
      <c r="A1944" s="15">
        <v>14</v>
      </c>
      <c r="B1944" s="15">
        <v>57265494</v>
      </c>
      <c r="C1944" s="66">
        <v>57265669</v>
      </c>
    </row>
    <row r="1945" spans="1:3" ht="16.05" customHeight="1">
      <c r="A1945" s="15">
        <v>14</v>
      </c>
      <c r="B1945" s="15">
        <v>57270850</v>
      </c>
      <c r="C1945" s="66">
        <v>57270958</v>
      </c>
    </row>
    <row r="1946" spans="1:3" ht="16.05" customHeight="1">
      <c r="A1946" s="15">
        <v>14</v>
      </c>
      <c r="B1946" s="15">
        <v>57270968</v>
      </c>
      <c r="C1946" s="66">
        <v>57271173</v>
      </c>
    </row>
    <row r="1947" spans="1:3" ht="16.05" customHeight="1">
      <c r="A1947" s="15">
        <v>14</v>
      </c>
      <c r="B1947" s="15">
        <v>57274514</v>
      </c>
      <c r="C1947" s="66">
        <v>57274576</v>
      </c>
    </row>
    <row r="1948" spans="1:3" ht="16.05" customHeight="1">
      <c r="A1948" s="15">
        <v>14</v>
      </c>
      <c r="B1948" s="15">
        <v>57274603</v>
      </c>
      <c r="C1948" s="66">
        <v>57274666</v>
      </c>
    </row>
    <row r="1949" spans="1:3" ht="16.05" customHeight="1">
      <c r="A1949" s="15">
        <v>14</v>
      </c>
      <c r="B1949" s="15">
        <v>57274670</v>
      </c>
      <c r="C1949" s="66">
        <v>57274835</v>
      </c>
    </row>
    <row r="1950" spans="1:3" ht="16.05" customHeight="1">
      <c r="A1950" s="15">
        <v>14</v>
      </c>
      <c r="B1950" s="15">
        <v>57274876</v>
      </c>
      <c r="C1950" s="66">
        <v>57275067</v>
      </c>
    </row>
    <row r="1951" spans="1:3" ht="16.05" customHeight="1">
      <c r="A1951" s="15">
        <v>14</v>
      </c>
      <c r="B1951" s="15">
        <v>57275111</v>
      </c>
      <c r="C1951" s="66">
        <v>57275419</v>
      </c>
    </row>
    <row r="1952" spans="1:3" ht="16.05" customHeight="1">
      <c r="A1952" s="15">
        <v>14</v>
      </c>
      <c r="B1952" s="15">
        <v>57275443</v>
      </c>
      <c r="C1952" s="66">
        <v>57275561</v>
      </c>
    </row>
    <row r="1953" spans="1:3" ht="16.05" customHeight="1">
      <c r="A1953" s="15">
        <v>14</v>
      </c>
      <c r="B1953" s="15">
        <v>57277990</v>
      </c>
      <c r="C1953" s="66">
        <v>57278240</v>
      </c>
    </row>
    <row r="1954" spans="1:3" ht="16.05" customHeight="1">
      <c r="A1954" s="15">
        <v>14</v>
      </c>
      <c r="B1954" s="15">
        <v>57278183</v>
      </c>
      <c r="C1954" s="66">
        <v>57278357</v>
      </c>
    </row>
    <row r="1955" spans="1:3" ht="16.05" customHeight="1">
      <c r="A1955" s="15">
        <v>14</v>
      </c>
      <c r="B1955" s="15">
        <v>57278377</v>
      </c>
      <c r="C1955" s="66">
        <v>57278388</v>
      </c>
    </row>
    <row r="1956" spans="1:3" ht="16.05" customHeight="1">
      <c r="A1956" s="15">
        <v>14</v>
      </c>
      <c r="B1956" s="15">
        <v>57278558</v>
      </c>
      <c r="C1956" s="66">
        <v>57278657</v>
      </c>
    </row>
    <row r="1957" spans="1:3" ht="16.05" customHeight="1">
      <c r="A1957" s="15">
        <v>14</v>
      </c>
      <c r="B1957" s="15">
        <v>57278680</v>
      </c>
      <c r="C1957" s="66">
        <v>57278804</v>
      </c>
    </row>
    <row r="1958" spans="1:3" ht="16.05" customHeight="1">
      <c r="A1958" s="15">
        <v>14</v>
      </c>
      <c r="B1958" s="15">
        <v>57278833</v>
      </c>
      <c r="C1958" s="66">
        <v>57278891</v>
      </c>
    </row>
    <row r="1959" spans="1:3" ht="16.05" customHeight="1">
      <c r="A1959" s="15">
        <v>14</v>
      </c>
      <c r="B1959" s="15">
        <v>57279100</v>
      </c>
      <c r="C1959" s="66">
        <v>57279298</v>
      </c>
    </row>
    <row r="1960" spans="1:3" ht="16.05" customHeight="1">
      <c r="A1960" s="15">
        <v>14</v>
      </c>
      <c r="B1960" s="15">
        <v>57279314</v>
      </c>
      <c r="C1960" s="66">
        <v>57279434</v>
      </c>
    </row>
    <row r="1961" spans="1:3" ht="16.05" customHeight="1">
      <c r="A1961" s="15">
        <v>14</v>
      </c>
      <c r="B1961" s="15">
        <v>57283310</v>
      </c>
      <c r="C1961" s="66">
        <v>57283590</v>
      </c>
    </row>
    <row r="1962" spans="1:3" ht="16.05" customHeight="1">
      <c r="A1962" s="15">
        <v>14</v>
      </c>
      <c r="B1962" s="15">
        <v>57283937</v>
      </c>
      <c r="C1962" s="66">
        <v>57284651</v>
      </c>
    </row>
    <row r="1963" spans="1:3" ht="16.05" customHeight="1">
      <c r="A1963" s="15">
        <v>14</v>
      </c>
      <c r="B1963" s="15">
        <v>60097204</v>
      </c>
      <c r="C1963" s="66">
        <v>60097379</v>
      </c>
    </row>
    <row r="1964" spans="1:3" ht="16.05" customHeight="1">
      <c r="A1964" s="15">
        <v>14</v>
      </c>
      <c r="B1964" s="15">
        <v>60386233</v>
      </c>
      <c r="C1964" s="66">
        <v>60386423</v>
      </c>
    </row>
    <row r="1965" spans="1:3" ht="16.05" customHeight="1">
      <c r="A1965" s="15">
        <v>14</v>
      </c>
      <c r="B1965" s="15">
        <v>60952459</v>
      </c>
      <c r="C1965" s="66">
        <v>60952560</v>
      </c>
    </row>
    <row r="1966" spans="1:3" ht="16.05" customHeight="1">
      <c r="A1966" s="15">
        <v>14</v>
      </c>
      <c r="B1966" s="15">
        <v>60952588</v>
      </c>
      <c r="C1966" s="66">
        <v>60952768</v>
      </c>
    </row>
    <row r="1967" spans="1:3" ht="16.05" customHeight="1">
      <c r="A1967" s="15">
        <v>14</v>
      </c>
      <c r="B1967" s="15">
        <v>61119098</v>
      </c>
      <c r="C1967" s="66">
        <v>61119336</v>
      </c>
    </row>
    <row r="1968" spans="1:3" ht="16.05" customHeight="1">
      <c r="A1968" s="15">
        <v>14</v>
      </c>
      <c r="B1968" s="15">
        <v>62583790</v>
      </c>
      <c r="C1968" s="66">
        <v>62583928</v>
      </c>
    </row>
    <row r="1969" spans="1:3" ht="16.05" customHeight="1">
      <c r="A1969" s="15">
        <v>14</v>
      </c>
      <c r="B1969" s="15">
        <v>65637641</v>
      </c>
      <c r="C1969" s="66">
        <v>65637681</v>
      </c>
    </row>
    <row r="1970" spans="1:3" ht="16.05" customHeight="1">
      <c r="A1970" s="15">
        <v>14</v>
      </c>
      <c r="B1970" s="15">
        <v>65637709</v>
      </c>
      <c r="C1970" s="66">
        <v>65637916</v>
      </c>
    </row>
    <row r="1971" spans="1:3" ht="16.05" customHeight="1">
      <c r="A1971" s="15">
        <v>14</v>
      </c>
      <c r="B1971" s="15">
        <v>69726095</v>
      </c>
      <c r="C1971" s="66">
        <v>69726123</v>
      </c>
    </row>
    <row r="1972" spans="1:3" ht="16.05" customHeight="1">
      <c r="A1972" s="15">
        <v>14</v>
      </c>
      <c r="B1972" s="15">
        <v>69726148</v>
      </c>
      <c r="C1972" s="66">
        <v>69726426</v>
      </c>
    </row>
    <row r="1973" spans="1:3" ht="16.05" customHeight="1">
      <c r="A1973" s="15">
        <v>14</v>
      </c>
      <c r="B1973" s="15">
        <v>70654501</v>
      </c>
      <c r="C1973" s="66">
        <v>70654779</v>
      </c>
    </row>
    <row r="1974" spans="1:3" ht="16.05" customHeight="1">
      <c r="A1974" s="15">
        <v>14</v>
      </c>
      <c r="B1974" s="15">
        <v>70655209</v>
      </c>
      <c r="C1974" s="66">
        <v>70655329</v>
      </c>
    </row>
    <row r="1975" spans="1:3" ht="16.05" customHeight="1">
      <c r="A1975" s="15">
        <v>14</v>
      </c>
      <c r="B1975" s="15">
        <v>70655512</v>
      </c>
      <c r="C1975" s="66">
        <v>70655717</v>
      </c>
    </row>
    <row r="1976" spans="1:3" ht="16.05" customHeight="1">
      <c r="A1976" s="15">
        <v>14</v>
      </c>
      <c r="B1976" s="15">
        <v>73358754</v>
      </c>
      <c r="C1976" s="66">
        <v>73358837</v>
      </c>
    </row>
    <row r="1977" spans="1:3" ht="16.05" customHeight="1">
      <c r="A1977" s="15">
        <v>14</v>
      </c>
      <c r="B1977" s="15">
        <v>74707204</v>
      </c>
      <c r="C1977" s="66">
        <v>74707349</v>
      </c>
    </row>
    <row r="1978" spans="1:3" ht="16.05" customHeight="1">
      <c r="A1978" s="15">
        <v>14</v>
      </c>
      <c r="B1978" s="15">
        <v>74707355</v>
      </c>
      <c r="C1978" s="66">
        <v>74707534</v>
      </c>
    </row>
    <row r="1979" spans="1:3" ht="16.05" customHeight="1">
      <c r="A1979" s="15">
        <v>14</v>
      </c>
      <c r="B1979" s="15">
        <v>74892941</v>
      </c>
      <c r="C1979" s="66">
        <v>74893139</v>
      </c>
    </row>
    <row r="1980" spans="1:3" ht="16.05" customHeight="1">
      <c r="A1980" s="15">
        <v>14</v>
      </c>
      <c r="B1980" s="15">
        <v>74893164</v>
      </c>
      <c r="C1980" s="66">
        <v>74893189</v>
      </c>
    </row>
    <row r="1981" spans="1:3" ht="16.05" customHeight="1">
      <c r="A1981" s="15">
        <v>14</v>
      </c>
      <c r="B1981" s="15">
        <v>75894131</v>
      </c>
      <c r="C1981" s="66">
        <v>75894215</v>
      </c>
    </row>
    <row r="1982" spans="1:3" ht="16.05" customHeight="1">
      <c r="A1982" s="15">
        <v>14</v>
      </c>
      <c r="B1982" s="15">
        <v>76819096</v>
      </c>
      <c r="C1982" s="66">
        <v>76819113</v>
      </c>
    </row>
    <row r="1983" spans="1:3" ht="16.05" customHeight="1">
      <c r="A1983" s="15">
        <v>14</v>
      </c>
      <c r="B1983" s="15">
        <v>88459788</v>
      </c>
      <c r="C1983" s="66">
        <v>88459799</v>
      </c>
    </row>
    <row r="1984" spans="1:3" ht="16.05" customHeight="1">
      <c r="A1984" s="15">
        <v>14</v>
      </c>
      <c r="B1984" s="15">
        <v>90526566</v>
      </c>
      <c r="C1984" s="66">
        <v>90526894</v>
      </c>
    </row>
    <row r="1985" spans="1:3" ht="16.05" customHeight="1">
      <c r="A1985" s="15">
        <v>14</v>
      </c>
      <c r="B1985" s="15">
        <v>95234651</v>
      </c>
      <c r="C1985" s="66">
        <v>95234795</v>
      </c>
    </row>
    <row r="1986" spans="1:3" ht="16.05" customHeight="1">
      <c r="A1986" s="15">
        <v>14</v>
      </c>
      <c r="B1986" s="15">
        <v>95234802</v>
      </c>
      <c r="C1986" s="66">
        <v>95234976</v>
      </c>
    </row>
    <row r="1987" spans="1:3" ht="16.05" customHeight="1">
      <c r="A1987" s="15">
        <v>14</v>
      </c>
      <c r="B1987" s="15">
        <v>97059018</v>
      </c>
      <c r="C1987" s="66">
        <v>97059249</v>
      </c>
    </row>
    <row r="1988" spans="1:3" ht="16.05" customHeight="1">
      <c r="A1988" s="15">
        <v>14</v>
      </c>
      <c r="B1988" s="15">
        <v>97059294</v>
      </c>
      <c r="C1988" s="66">
        <v>97059358</v>
      </c>
    </row>
    <row r="1989" spans="1:3" ht="16.05" customHeight="1">
      <c r="A1989" s="15">
        <v>14</v>
      </c>
      <c r="B1989" s="15">
        <v>97685263</v>
      </c>
      <c r="C1989" s="66">
        <v>97685443</v>
      </c>
    </row>
    <row r="1990" spans="1:3" ht="16.05" customHeight="1">
      <c r="A1990" s="15">
        <v>14</v>
      </c>
      <c r="B1990" s="15">
        <v>97685508</v>
      </c>
      <c r="C1990" s="66">
        <v>97685557</v>
      </c>
    </row>
    <row r="1991" spans="1:3" ht="16.05" customHeight="1">
      <c r="A1991" s="15">
        <v>15</v>
      </c>
      <c r="B1991" s="15">
        <v>28351748</v>
      </c>
      <c r="C1991" s="66">
        <v>28352273</v>
      </c>
    </row>
    <row r="1992" spans="1:3" ht="16.05" customHeight="1">
      <c r="A1992" s="15">
        <v>15</v>
      </c>
      <c r="B1992" s="15">
        <v>29864075</v>
      </c>
      <c r="C1992" s="66">
        <v>29864175</v>
      </c>
    </row>
    <row r="1993" spans="1:3" ht="16.05" customHeight="1">
      <c r="A1993" s="15">
        <v>15</v>
      </c>
      <c r="B1993" s="15">
        <v>33010226</v>
      </c>
      <c r="C1993" s="66">
        <v>33010405</v>
      </c>
    </row>
    <row r="1994" spans="1:3" ht="16.05" customHeight="1">
      <c r="A1994" s="15">
        <v>15</v>
      </c>
      <c r="B1994" s="15">
        <v>33010409</v>
      </c>
      <c r="C1994" s="66">
        <v>33010559</v>
      </c>
    </row>
    <row r="1995" spans="1:3" ht="16.05" customHeight="1">
      <c r="A1995" s="15">
        <v>15</v>
      </c>
      <c r="B1995" s="15">
        <v>33011000</v>
      </c>
      <c r="C1995" s="66">
        <v>33011193</v>
      </c>
    </row>
    <row r="1996" spans="1:3" ht="16.05" customHeight="1">
      <c r="A1996" s="15">
        <v>15</v>
      </c>
      <c r="B1996" s="15">
        <v>33011218</v>
      </c>
      <c r="C1996" s="66">
        <v>33011340</v>
      </c>
    </row>
    <row r="1997" spans="1:3" ht="16.05" customHeight="1">
      <c r="A1997" s="15">
        <v>15</v>
      </c>
      <c r="B1997" s="15">
        <v>33603339</v>
      </c>
      <c r="C1997" s="66">
        <v>33603448</v>
      </c>
    </row>
    <row r="1998" spans="1:3" ht="16.05" customHeight="1">
      <c r="A1998" s="15">
        <v>15</v>
      </c>
      <c r="B1998" s="15">
        <v>41218440</v>
      </c>
      <c r="C1998" s="66">
        <v>41218508</v>
      </c>
    </row>
    <row r="1999" spans="1:3" ht="16.05" customHeight="1">
      <c r="A1999" s="15">
        <v>15</v>
      </c>
      <c r="B1999" s="15">
        <v>41952295</v>
      </c>
      <c r="C1999" s="66">
        <v>41952383</v>
      </c>
    </row>
    <row r="2000" spans="1:3" ht="16.05" customHeight="1">
      <c r="A2000" s="15">
        <v>15</v>
      </c>
      <c r="B2000" s="15">
        <v>47476854</v>
      </c>
      <c r="C2000" s="66">
        <v>47477149</v>
      </c>
    </row>
    <row r="2001" spans="1:3" ht="16.05" customHeight="1">
      <c r="A2001" s="15">
        <v>15</v>
      </c>
      <c r="B2001" s="15">
        <v>48483754</v>
      </c>
      <c r="C2001" s="66">
        <v>48483860</v>
      </c>
    </row>
    <row r="2002" spans="1:3" ht="16.05" customHeight="1">
      <c r="A2002" s="15">
        <v>15</v>
      </c>
      <c r="B2002" s="15">
        <v>48483902</v>
      </c>
      <c r="C2002" s="66">
        <v>48483999</v>
      </c>
    </row>
    <row r="2003" spans="1:3" ht="16.05" customHeight="1">
      <c r="A2003" s="15">
        <v>15</v>
      </c>
      <c r="B2003" s="15">
        <v>53077640</v>
      </c>
      <c r="C2003" s="66">
        <v>53077783</v>
      </c>
    </row>
    <row r="2004" spans="1:3" ht="16.05" customHeight="1">
      <c r="A2004" s="15">
        <v>15</v>
      </c>
      <c r="B2004" s="15">
        <v>53097602</v>
      </c>
      <c r="C2004" s="66">
        <v>53097884</v>
      </c>
    </row>
    <row r="2005" spans="1:3" ht="16.05" customHeight="1">
      <c r="A2005" s="15">
        <v>15</v>
      </c>
      <c r="B2005" s="15">
        <v>53097898</v>
      </c>
      <c r="C2005" s="66">
        <v>53098005</v>
      </c>
    </row>
    <row r="2006" spans="1:3" ht="16.05" customHeight="1">
      <c r="A2006" s="15">
        <v>15</v>
      </c>
      <c r="B2006" s="15">
        <v>57210102</v>
      </c>
      <c r="C2006" s="66">
        <v>57210148</v>
      </c>
    </row>
    <row r="2007" spans="1:3" ht="16.05" customHeight="1">
      <c r="A2007" s="15">
        <v>15</v>
      </c>
      <c r="B2007" s="15">
        <v>58357716</v>
      </c>
      <c r="C2007" s="66">
        <v>58357934</v>
      </c>
    </row>
    <row r="2008" spans="1:3" ht="16.05" customHeight="1">
      <c r="A2008" s="15">
        <v>15</v>
      </c>
      <c r="B2008" s="15">
        <v>58357968</v>
      </c>
      <c r="C2008" s="66">
        <v>58358066</v>
      </c>
    </row>
    <row r="2009" spans="1:3" ht="16.05" customHeight="1">
      <c r="A2009" s="15">
        <v>15</v>
      </c>
      <c r="B2009" s="15">
        <v>60287024</v>
      </c>
      <c r="C2009" s="66">
        <v>60287301</v>
      </c>
    </row>
    <row r="2010" spans="1:3" ht="16.05" customHeight="1">
      <c r="A2010" s="15">
        <v>15</v>
      </c>
      <c r="B2010" s="15">
        <v>60289321</v>
      </c>
      <c r="C2010" s="66">
        <v>60289538</v>
      </c>
    </row>
    <row r="2011" spans="1:3" ht="16.05" customHeight="1">
      <c r="A2011" s="15">
        <v>15</v>
      </c>
      <c r="B2011" s="15">
        <v>60296420</v>
      </c>
      <c r="C2011" s="66">
        <v>60296639</v>
      </c>
    </row>
    <row r="2012" spans="1:3" ht="16.05" customHeight="1">
      <c r="A2012" s="15">
        <v>15</v>
      </c>
      <c r="B2012" s="15">
        <v>60296634</v>
      </c>
      <c r="C2012" s="66">
        <v>60296827</v>
      </c>
    </row>
    <row r="2013" spans="1:3" ht="16.05" customHeight="1">
      <c r="A2013" s="15">
        <v>15</v>
      </c>
      <c r="B2013" s="15">
        <v>60296856</v>
      </c>
      <c r="C2013" s="66">
        <v>60296983</v>
      </c>
    </row>
    <row r="2014" spans="1:3" ht="16.05" customHeight="1">
      <c r="A2014" s="15">
        <v>15</v>
      </c>
      <c r="B2014" s="15">
        <v>68120908</v>
      </c>
      <c r="C2014" s="66">
        <v>68121051</v>
      </c>
    </row>
    <row r="2015" spans="1:3" ht="16.05" customHeight="1">
      <c r="A2015" s="15">
        <v>15</v>
      </c>
      <c r="B2015" s="15">
        <v>68121069</v>
      </c>
      <c r="C2015" s="66">
        <v>68121196</v>
      </c>
    </row>
    <row r="2016" spans="1:3" ht="16.05" customHeight="1">
      <c r="A2016" s="15">
        <v>15</v>
      </c>
      <c r="B2016" s="15">
        <v>68121392</v>
      </c>
      <c r="C2016" s="66">
        <v>68121669</v>
      </c>
    </row>
    <row r="2017" spans="1:3" ht="16.05" customHeight="1">
      <c r="A2017" s="15">
        <v>15</v>
      </c>
      <c r="B2017" s="15">
        <v>68121980</v>
      </c>
      <c r="C2017" s="66">
        <v>68122172</v>
      </c>
    </row>
    <row r="2018" spans="1:3" ht="16.05" customHeight="1">
      <c r="A2018" s="15">
        <v>15</v>
      </c>
      <c r="B2018" s="15">
        <v>68122173</v>
      </c>
      <c r="C2018" s="66">
        <v>68122293</v>
      </c>
    </row>
    <row r="2019" spans="1:3" ht="16.05" customHeight="1">
      <c r="A2019" s="15">
        <v>15</v>
      </c>
      <c r="B2019" s="15">
        <v>68128660</v>
      </c>
      <c r="C2019" s="66">
        <v>68128785</v>
      </c>
    </row>
    <row r="2020" spans="1:3" ht="16.05" customHeight="1">
      <c r="A2020" s="15">
        <v>15</v>
      </c>
      <c r="B2020" s="15">
        <v>74422766</v>
      </c>
      <c r="C2020" s="66">
        <v>74423049</v>
      </c>
    </row>
    <row r="2021" spans="1:3" ht="16.05" customHeight="1">
      <c r="A2021" s="15">
        <v>15</v>
      </c>
      <c r="B2021" s="15">
        <v>76628143</v>
      </c>
      <c r="C2021" s="66">
        <v>76628220</v>
      </c>
    </row>
    <row r="2022" spans="1:3" ht="16.05" customHeight="1">
      <c r="A2022" s="15">
        <v>15</v>
      </c>
      <c r="B2022" s="15">
        <v>76628960</v>
      </c>
      <c r="C2022" s="66">
        <v>76629201</v>
      </c>
    </row>
    <row r="2023" spans="1:3" ht="16.05" customHeight="1">
      <c r="A2023" s="15">
        <v>15</v>
      </c>
      <c r="B2023" s="15">
        <v>76629201</v>
      </c>
      <c r="C2023" s="66">
        <v>76629212</v>
      </c>
    </row>
    <row r="2024" spans="1:3" ht="16.05" customHeight="1">
      <c r="A2024" s="15">
        <v>15</v>
      </c>
      <c r="B2024" s="15">
        <v>76629946</v>
      </c>
      <c r="C2024" s="66">
        <v>76630036</v>
      </c>
    </row>
    <row r="2025" spans="1:3" ht="16.05" customHeight="1">
      <c r="A2025" s="15">
        <v>15</v>
      </c>
      <c r="B2025" s="15">
        <v>76630029</v>
      </c>
      <c r="C2025" s="66">
        <v>76630435</v>
      </c>
    </row>
    <row r="2026" spans="1:3" ht="16.05" customHeight="1">
      <c r="A2026" s="15">
        <v>15</v>
      </c>
      <c r="B2026" s="15">
        <v>78912653</v>
      </c>
      <c r="C2026" s="66">
        <v>78912824</v>
      </c>
    </row>
    <row r="2027" spans="1:3" ht="16.05" customHeight="1">
      <c r="A2027" s="15">
        <v>15</v>
      </c>
      <c r="B2027" s="15">
        <v>79574790</v>
      </c>
      <c r="C2027" s="66">
        <v>79574949</v>
      </c>
    </row>
    <row r="2028" spans="1:3" ht="16.05" customHeight="1">
      <c r="A2028" s="15">
        <v>15</v>
      </c>
      <c r="B2028" s="15">
        <v>83316750</v>
      </c>
      <c r="C2028" s="66">
        <v>83316917</v>
      </c>
    </row>
    <row r="2029" spans="1:3" ht="16.05" customHeight="1">
      <c r="A2029" s="15">
        <v>15</v>
      </c>
      <c r="B2029" s="15">
        <v>83316955</v>
      </c>
      <c r="C2029" s="66">
        <v>83317079</v>
      </c>
    </row>
    <row r="2030" spans="1:3" ht="16.05" customHeight="1">
      <c r="A2030" s="15">
        <v>15</v>
      </c>
      <c r="B2030" s="15">
        <v>83952926</v>
      </c>
      <c r="C2030" s="66">
        <v>83953235</v>
      </c>
    </row>
    <row r="2031" spans="1:3" ht="16.05" customHeight="1">
      <c r="A2031" s="15">
        <v>15</v>
      </c>
      <c r="B2031" s="15">
        <v>88801061</v>
      </c>
      <c r="C2031" s="66">
        <v>88801151</v>
      </c>
    </row>
    <row r="2032" spans="1:3" ht="16.05" customHeight="1">
      <c r="A2032" s="15">
        <v>15</v>
      </c>
      <c r="B2032" s="15">
        <v>89911143</v>
      </c>
      <c r="C2032" s="66">
        <v>89911304</v>
      </c>
    </row>
    <row r="2033" spans="1:3" ht="16.05" customHeight="1">
      <c r="A2033" s="15">
        <v>15</v>
      </c>
      <c r="B2033" s="15">
        <v>89911312</v>
      </c>
      <c r="C2033" s="66">
        <v>89911466</v>
      </c>
    </row>
    <row r="2034" spans="1:3" ht="16.05" customHeight="1">
      <c r="A2034" s="15">
        <v>15</v>
      </c>
      <c r="B2034" s="15">
        <v>89914309</v>
      </c>
      <c r="C2034" s="66">
        <v>89914426</v>
      </c>
    </row>
    <row r="2035" spans="1:3" ht="16.05" customHeight="1">
      <c r="A2035" s="15">
        <v>15</v>
      </c>
      <c r="B2035" s="15">
        <v>89914419</v>
      </c>
      <c r="C2035" s="66">
        <v>89914639</v>
      </c>
    </row>
    <row r="2036" spans="1:3" ht="16.05" customHeight="1">
      <c r="A2036" s="15">
        <v>15</v>
      </c>
      <c r="B2036" s="15">
        <v>89914831</v>
      </c>
      <c r="C2036" s="66">
        <v>89915144</v>
      </c>
    </row>
    <row r="2037" spans="1:3" ht="16.05" customHeight="1">
      <c r="A2037" s="15">
        <v>15</v>
      </c>
      <c r="B2037" s="15">
        <v>89921025</v>
      </c>
      <c r="C2037" s="66">
        <v>89921331</v>
      </c>
    </row>
    <row r="2038" spans="1:3" ht="16.05" customHeight="1">
      <c r="A2038" s="15">
        <v>15</v>
      </c>
      <c r="B2038" s="15">
        <v>89951745</v>
      </c>
      <c r="C2038" s="66">
        <v>89951938</v>
      </c>
    </row>
    <row r="2039" spans="1:3" ht="16.05" customHeight="1">
      <c r="A2039" s="15">
        <v>15</v>
      </c>
      <c r="B2039" s="15">
        <v>89951961</v>
      </c>
      <c r="C2039" s="66">
        <v>89952043</v>
      </c>
    </row>
    <row r="2040" spans="1:3" ht="16.05" customHeight="1">
      <c r="A2040" s="15">
        <v>15</v>
      </c>
      <c r="B2040" s="15">
        <v>89952047</v>
      </c>
      <c r="C2040" s="66">
        <v>89952305</v>
      </c>
    </row>
    <row r="2041" spans="1:3" ht="16.05" customHeight="1">
      <c r="A2041" s="15">
        <v>15</v>
      </c>
      <c r="B2041" s="15">
        <v>91499887</v>
      </c>
      <c r="C2041" s="66">
        <v>91500072</v>
      </c>
    </row>
    <row r="2042" spans="1:3" ht="16.05" customHeight="1">
      <c r="A2042" s="15">
        <v>15</v>
      </c>
      <c r="B2042" s="15">
        <v>96960672</v>
      </c>
      <c r="C2042" s="66">
        <v>96960731</v>
      </c>
    </row>
    <row r="2043" spans="1:3" ht="16.05" customHeight="1">
      <c r="A2043" s="15">
        <v>15</v>
      </c>
      <c r="B2043" s="15">
        <v>98836099</v>
      </c>
      <c r="C2043" s="66">
        <v>98836279</v>
      </c>
    </row>
    <row r="2044" spans="1:3" ht="16.05" customHeight="1">
      <c r="A2044" s="15">
        <v>15</v>
      </c>
      <c r="B2044" s="15">
        <v>99091242</v>
      </c>
      <c r="C2044" s="66">
        <v>99091285</v>
      </c>
    </row>
    <row r="2045" spans="1:3" ht="16.05" customHeight="1">
      <c r="A2045" s="15">
        <v>15</v>
      </c>
      <c r="B2045" s="15">
        <v>99602861</v>
      </c>
      <c r="C2045" s="66">
        <v>99602898</v>
      </c>
    </row>
    <row r="2046" spans="1:3" ht="16.05" customHeight="1">
      <c r="A2046" s="15">
        <v>16</v>
      </c>
      <c r="B2046" s="15">
        <v>10133428</v>
      </c>
      <c r="C2046" s="66">
        <v>10133558</v>
      </c>
    </row>
    <row r="2047" spans="1:3" ht="16.05" customHeight="1">
      <c r="A2047" s="15">
        <v>16</v>
      </c>
      <c r="B2047" s="15">
        <v>12996173</v>
      </c>
      <c r="C2047" s="66">
        <v>12996425</v>
      </c>
    </row>
    <row r="2048" spans="1:3" ht="16.05" customHeight="1">
      <c r="A2048" s="15">
        <v>16</v>
      </c>
      <c r="B2048" s="15">
        <v>2041022</v>
      </c>
      <c r="C2048" s="66">
        <v>2041139</v>
      </c>
    </row>
    <row r="2049" spans="1:3" ht="16.05" customHeight="1">
      <c r="A2049" s="15">
        <v>16</v>
      </c>
      <c r="B2049" s="15">
        <v>2041057</v>
      </c>
      <c r="C2049" s="66">
        <v>2041180</v>
      </c>
    </row>
    <row r="2050" spans="1:3" ht="16.05" customHeight="1">
      <c r="A2050" s="15">
        <v>16</v>
      </c>
      <c r="B2050" s="15">
        <v>2041202</v>
      </c>
      <c r="C2050" s="66">
        <v>2041367</v>
      </c>
    </row>
    <row r="2051" spans="1:3" ht="16.05" customHeight="1">
      <c r="A2051" s="15">
        <v>16</v>
      </c>
      <c r="B2051" s="15">
        <v>22824707</v>
      </c>
      <c r="C2051" s="66">
        <v>22824883</v>
      </c>
    </row>
    <row r="2052" spans="1:3" ht="16.05" customHeight="1">
      <c r="A2052" s="15">
        <v>16</v>
      </c>
      <c r="B2052" s="15">
        <v>22824890</v>
      </c>
      <c r="C2052" s="66">
        <v>22825052</v>
      </c>
    </row>
    <row r="2053" spans="1:3" ht="16.05" customHeight="1">
      <c r="A2053" s="15">
        <v>16</v>
      </c>
      <c r="B2053" s="15">
        <v>22825124</v>
      </c>
      <c r="C2053" s="66">
        <v>22825296</v>
      </c>
    </row>
    <row r="2054" spans="1:3" ht="16.05" customHeight="1">
      <c r="A2054" s="15">
        <v>16</v>
      </c>
      <c r="B2054" s="15">
        <v>22825309</v>
      </c>
      <c r="C2054" s="66">
        <v>22825446</v>
      </c>
    </row>
    <row r="2055" spans="1:3" ht="16.05" customHeight="1">
      <c r="A2055" s="15">
        <v>16</v>
      </c>
      <c r="B2055" s="15">
        <v>22825948</v>
      </c>
      <c r="C2055" s="66">
        <v>22826123</v>
      </c>
    </row>
    <row r="2056" spans="1:3" ht="16.05" customHeight="1">
      <c r="A2056" s="15">
        <v>16</v>
      </c>
      <c r="B2056" s="15">
        <v>22826137</v>
      </c>
      <c r="C2056" s="66">
        <v>22826274</v>
      </c>
    </row>
    <row r="2057" spans="1:3" ht="16.05" customHeight="1">
      <c r="A2057" s="15">
        <v>16</v>
      </c>
      <c r="B2057" s="15">
        <v>230191</v>
      </c>
      <c r="C2057" s="66">
        <v>230517</v>
      </c>
    </row>
    <row r="2058" spans="1:3" ht="16.05" customHeight="1">
      <c r="A2058" s="15">
        <v>16</v>
      </c>
      <c r="B2058" s="15">
        <v>23846779</v>
      </c>
      <c r="C2058" s="66">
        <v>23846790</v>
      </c>
    </row>
    <row r="2059" spans="1:3" ht="16.05" customHeight="1">
      <c r="A2059" s="15">
        <v>16</v>
      </c>
      <c r="B2059" s="15">
        <v>23846803</v>
      </c>
      <c r="C2059" s="66">
        <v>23847142</v>
      </c>
    </row>
    <row r="2060" spans="1:3" ht="16.05" customHeight="1">
      <c r="A2060" s="15">
        <v>16</v>
      </c>
      <c r="B2060" s="15">
        <v>23847282</v>
      </c>
      <c r="C2060" s="66">
        <v>23847592</v>
      </c>
    </row>
    <row r="2061" spans="1:3" ht="16.05" customHeight="1">
      <c r="A2061" s="15">
        <v>16</v>
      </c>
      <c r="B2061" s="15">
        <v>23847611</v>
      </c>
      <c r="C2061" s="66">
        <v>23847726</v>
      </c>
    </row>
    <row r="2062" spans="1:3" ht="16.05" customHeight="1">
      <c r="A2062" s="15">
        <v>16</v>
      </c>
      <c r="B2062" s="15">
        <v>24621969</v>
      </c>
      <c r="C2062" s="66">
        <v>24622057</v>
      </c>
    </row>
    <row r="2063" spans="1:3" ht="16.05" customHeight="1">
      <c r="A2063" s="15">
        <v>16</v>
      </c>
      <c r="B2063" s="15">
        <v>28074246</v>
      </c>
      <c r="C2063" s="66">
        <v>28074844</v>
      </c>
    </row>
    <row r="2064" spans="1:3" ht="16.05" customHeight="1">
      <c r="A2064" s="15">
        <v>16</v>
      </c>
      <c r="B2064" s="15">
        <v>29796567</v>
      </c>
      <c r="C2064" s="66">
        <v>29796717</v>
      </c>
    </row>
    <row r="2065" spans="1:3" ht="16.05" customHeight="1">
      <c r="A2065" s="15">
        <v>16</v>
      </c>
      <c r="B2065" s="15">
        <v>29796736</v>
      </c>
      <c r="C2065" s="66">
        <v>29796805</v>
      </c>
    </row>
    <row r="2066" spans="1:3" ht="16.05" customHeight="1">
      <c r="A2066" s="15">
        <v>16</v>
      </c>
      <c r="B2066" s="15">
        <v>3068377</v>
      </c>
      <c r="C2066" s="66">
        <v>3068481</v>
      </c>
    </row>
    <row r="2067" spans="1:3" ht="16.05" customHeight="1">
      <c r="A2067" s="15">
        <v>16</v>
      </c>
      <c r="B2067" s="15">
        <v>31548980</v>
      </c>
      <c r="C2067" s="66">
        <v>31549255</v>
      </c>
    </row>
    <row r="2068" spans="1:3" ht="16.05" customHeight="1">
      <c r="A2068" s="15">
        <v>16</v>
      </c>
      <c r="B2068" s="15">
        <v>3220889</v>
      </c>
      <c r="C2068" s="66">
        <v>3220958</v>
      </c>
    </row>
    <row r="2069" spans="1:3" ht="16.05" customHeight="1">
      <c r="A2069" s="15">
        <v>16</v>
      </c>
      <c r="B2069" s="15">
        <v>3239283</v>
      </c>
      <c r="C2069" s="66">
        <v>3239497</v>
      </c>
    </row>
    <row r="2070" spans="1:3" ht="16.05" customHeight="1">
      <c r="A2070" s="15">
        <v>16</v>
      </c>
      <c r="B2070" s="15">
        <v>3239524</v>
      </c>
      <c r="C2070" s="66">
        <v>3239793</v>
      </c>
    </row>
    <row r="2071" spans="1:3" ht="16.05" customHeight="1">
      <c r="A2071" s="15">
        <v>16</v>
      </c>
      <c r="B2071" s="15">
        <v>49314097</v>
      </c>
      <c r="C2071" s="66">
        <v>49314245</v>
      </c>
    </row>
    <row r="2072" spans="1:3" ht="16.05" customHeight="1">
      <c r="A2072" s="15">
        <v>16</v>
      </c>
      <c r="B2072" s="15">
        <v>49315133</v>
      </c>
      <c r="C2072" s="66">
        <v>49315403</v>
      </c>
    </row>
    <row r="2073" spans="1:3" ht="16.05" customHeight="1">
      <c r="A2073" s="15">
        <v>16</v>
      </c>
      <c r="B2073" s="15">
        <v>49315415</v>
      </c>
      <c r="C2073" s="66">
        <v>49315708</v>
      </c>
    </row>
    <row r="2074" spans="1:3" ht="16.05" customHeight="1">
      <c r="A2074" s="15">
        <v>16</v>
      </c>
      <c r="B2074" s="15">
        <v>51189911</v>
      </c>
      <c r="C2074" s="66">
        <v>51190079</v>
      </c>
    </row>
    <row r="2075" spans="1:3" ht="16.05" customHeight="1">
      <c r="A2075" s="15">
        <v>16</v>
      </c>
      <c r="B2075" s="15">
        <v>51190080</v>
      </c>
      <c r="C2075" s="66">
        <v>51190221</v>
      </c>
    </row>
    <row r="2076" spans="1:3" ht="16.05" customHeight="1">
      <c r="A2076" s="15">
        <v>16</v>
      </c>
      <c r="B2076" s="15">
        <v>53407376</v>
      </c>
      <c r="C2076" s="66">
        <v>53407450</v>
      </c>
    </row>
    <row r="2077" spans="1:3" ht="16.05" customHeight="1">
      <c r="A2077" s="15">
        <v>16</v>
      </c>
      <c r="B2077" s="15">
        <v>55090570</v>
      </c>
      <c r="C2077" s="66">
        <v>55090893</v>
      </c>
    </row>
    <row r="2078" spans="1:3" ht="16.05" customHeight="1">
      <c r="A2078" s="15">
        <v>16</v>
      </c>
      <c r="B2078" s="15">
        <v>55358672</v>
      </c>
      <c r="C2078" s="66">
        <v>55358805</v>
      </c>
    </row>
    <row r="2079" spans="1:3" ht="16.05" customHeight="1">
      <c r="A2079" s="15">
        <v>16</v>
      </c>
      <c r="B2079" s="15">
        <v>55405027</v>
      </c>
      <c r="C2079" s="66">
        <v>55405267</v>
      </c>
    </row>
    <row r="2080" spans="1:3" ht="16.05" customHeight="1">
      <c r="A2080" s="15">
        <v>16</v>
      </c>
      <c r="B2080" s="15">
        <v>58019048</v>
      </c>
      <c r="C2080" s="66">
        <v>58019247</v>
      </c>
    </row>
    <row r="2081" spans="1:3" ht="16.05" customHeight="1">
      <c r="A2081" s="15">
        <v>16</v>
      </c>
      <c r="B2081" s="15">
        <v>58497056</v>
      </c>
      <c r="C2081" s="66">
        <v>58497175</v>
      </c>
    </row>
    <row r="2082" spans="1:3" ht="16.05" customHeight="1">
      <c r="A2082" s="15">
        <v>16</v>
      </c>
      <c r="B2082" s="15">
        <v>58529419</v>
      </c>
      <c r="C2082" s="66">
        <v>58529430</v>
      </c>
    </row>
    <row r="2083" spans="1:3" ht="16.05" customHeight="1">
      <c r="A2083" s="15">
        <v>16</v>
      </c>
      <c r="B2083" s="15">
        <v>58535211</v>
      </c>
      <c r="C2083" s="66">
        <v>58535601</v>
      </c>
    </row>
    <row r="2084" spans="1:3" ht="16.05" customHeight="1">
      <c r="A2084" s="15">
        <v>16</v>
      </c>
      <c r="B2084" s="15">
        <v>58535651</v>
      </c>
      <c r="C2084" s="66">
        <v>58535690</v>
      </c>
    </row>
    <row r="2085" spans="1:3" ht="16.05" customHeight="1">
      <c r="A2085" s="15">
        <v>16</v>
      </c>
      <c r="B2085" s="15">
        <v>6068910</v>
      </c>
      <c r="C2085" s="66">
        <v>6069140</v>
      </c>
    </row>
    <row r="2086" spans="1:3" ht="16.05" customHeight="1">
      <c r="A2086" s="15">
        <v>16</v>
      </c>
      <c r="B2086" s="15">
        <v>6069768</v>
      </c>
      <c r="C2086" s="66">
        <v>6069894</v>
      </c>
    </row>
    <row r="2087" spans="1:3" ht="16.05" customHeight="1">
      <c r="A2087" s="15">
        <v>16</v>
      </c>
      <c r="B2087" s="15">
        <v>6623640</v>
      </c>
      <c r="C2087" s="66">
        <v>6623890</v>
      </c>
    </row>
    <row r="2088" spans="1:3" ht="16.05" customHeight="1">
      <c r="A2088" s="15">
        <v>16</v>
      </c>
      <c r="B2088" s="15">
        <v>66612784</v>
      </c>
      <c r="C2088" s="66">
        <v>66612979</v>
      </c>
    </row>
    <row r="2089" spans="1:3" ht="16.05" customHeight="1">
      <c r="A2089" s="15">
        <v>16</v>
      </c>
      <c r="B2089" s="15">
        <v>66613028</v>
      </c>
      <c r="C2089" s="66">
        <v>66613126</v>
      </c>
    </row>
    <row r="2090" spans="1:3" ht="16.05" customHeight="1">
      <c r="A2090" s="15">
        <v>16</v>
      </c>
      <c r="B2090" s="15">
        <v>77468723</v>
      </c>
      <c r="C2090" s="66">
        <v>77468888</v>
      </c>
    </row>
    <row r="2091" spans="1:3" ht="16.05" customHeight="1">
      <c r="A2091" s="15">
        <v>16</v>
      </c>
      <c r="B2091" s="15">
        <v>77468888</v>
      </c>
      <c r="C2091" s="66">
        <v>77469068</v>
      </c>
    </row>
    <row r="2092" spans="1:3" ht="16.05" customHeight="1">
      <c r="A2092" s="15">
        <v>16</v>
      </c>
      <c r="B2092" s="15">
        <v>79623585</v>
      </c>
      <c r="C2092" s="66">
        <v>79623886</v>
      </c>
    </row>
    <row r="2093" spans="1:3" ht="16.05" customHeight="1">
      <c r="A2093" s="15">
        <v>16</v>
      </c>
      <c r="B2093" s="15">
        <v>82660312</v>
      </c>
      <c r="C2093" s="66">
        <v>82660323</v>
      </c>
    </row>
    <row r="2094" spans="1:3" ht="16.05" customHeight="1">
      <c r="A2094" s="15">
        <v>16</v>
      </c>
      <c r="B2094" s="15">
        <v>82660323</v>
      </c>
      <c r="C2094" s="66">
        <v>82661047</v>
      </c>
    </row>
    <row r="2095" spans="1:3" ht="16.05" customHeight="1">
      <c r="A2095" s="15">
        <v>16</v>
      </c>
      <c r="B2095" s="15">
        <v>86541426</v>
      </c>
      <c r="C2095" s="66">
        <v>86541655</v>
      </c>
    </row>
    <row r="2096" spans="1:3" ht="16.05" customHeight="1">
      <c r="A2096" s="15">
        <v>16</v>
      </c>
      <c r="B2096" s="15">
        <v>86541602</v>
      </c>
      <c r="C2096" s="66">
        <v>86541716</v>
      </c>
    </row>
    <row r="2097" spans="1:3" ht="16.05" customHeight="1">
      <c r="A2097" s="15">
        <v>16</v>
      </c>
      <c r="B2097" s="15">
        <v>86541721</v>
      </c>
      <c r="C2097" s="66">
        <v>86541926</v>
      </c>
    </row>
    <row r="2098" spans="1:3" ht="16.05" customHeight="1">
      <c r="A2098" s="15">
        <v>16</v>
      </c>
      <c r="B2098" s="15">
        <v>86600261</v>
      </c>
      <c r="C2098" s="66">
        <v>86600364</v>
      </c>
    </row>
    <row r="2099" spans="1:3" ht="16.05" customHeight="1">
      <c r="A2099" s="15">
        <v>16</v>
      </c>
      <c r="B2099" s="15">
        <v>89985284</v>
      </c>
      <c r="C2099" s="66">
        <v>89985349</v>
      </c>
    </row>
    <row r="2100" spans="1:3" ht="16.05" customHeight="1">
      <c r="A2100" s="15">
        <v>17</v>
      </c>
      <c r="B2100" s="15">
        <v>10101063</v>
      </c>
      <c r="C2100" s="66">
        <v>10101366</v>
      </c>
    </row>
    <row r="2101" spans="1:3" ht="16.05" customHeight="1">
      <c r="A2101" s="15">
        <v>17</v>
      </c>
      <c r="B2101" s="15">
        <v>10101576</v>
      </c>
      <c r="C2101" s="66">
        <v>10101755</v>
      </c>
    </row>
    <row r="2102" spans="1:3" ht="16.05" customHeight="1">
      <c r="A2102" s="15">
        <v>17</v>
      </c>
      <c r="B2102" s="15">
        <v>1960868</v>
      </c>
      <c r="C2102" s="66">
        <v>1960981</v>
      </c>
    </row>
    <row r="2103" spans="1:3" ht="16.05" customHeight="1">
      <c r="A2103" s="15">
        <v>17</v>
      </c>
      <c r="B2103" s="15">
        <v>1960979</v>
      </c>
      <c r="C2103" s="66">
        <v>1961113</v>
      </c>
    </row>
    <row r="2104" spans="1:3" ht="16.05" customHeight="1">
      <c r="A2104" s="15">
        <v>17</v>
      </c>
      <c r="B2104" s="15">
        <v>21355768</v>
      </c>
      <c r="C2104" s="66">
        <v>21355961</v>
      </c>
    </row>
    <row r="2105" spans="1:3" ht="16.05" customHeight="1">
      <c r="A2105" s="15">
        <v>17</v>
      </c>
      <c r="B2105" s="15">
        <v>21355952</v>
      </c>
      <c r="C2105" s="66">
        <v>21356079</v>
      </c>
    </row>
    <row r="2106" spans="1:3" ht="16.05" customHeight="1">
      <c r="A2106" s="15">
        <v>17</v>
      </c>
      <c r="B2106" s="15">
        <v>27332471</v>
      </c>
      <c r="C2106" s="66">
        <v>27332816</v>
      </c>
    </row>
    <row r="2107" spans="1:3" ht="16.05" customHeight="1">
      <c r="A2107" s="15">
        <v>17</v>
      </c>
      <c r="B2107" s="15">
        <v>32907631</v>
      </c>
      <c r="C2107" s="66">
        <v>32907833</v>
      </c>
    </row>
    <row r="2108" spans="1:3" ht="16.05" customHeight="1">
      <c r="A2108" s="15">
        <v>17</v>
      </c>
      <c r="B2108" s="15">
        <v>32908112</v>
      </c>
      <c r="C2108" s="66">
        <v>32908227</v>
      </c>
    </row>
    <row r="2109" spans="1:3" ht="16.05" customHeight="1">
      <c r="A2109" s="15">
        <v>17</v>
      </c>
      <c r="B2109" s="15">
        <v>35165299</v>
      </c>
      <c r="C2109" s="66">
        <v>35165568</v>
      </c>
    </row>
    <row r="2110" spans="1:3" ht="16.05" customHeight="1">
      <c r="A2110" s="15">
        <v>17</v>
      </c>
      <c r="B2110" s="15">
        <v>35289538</v>
      </c>
      <c r="C2110" s="66">
        <v>35289606</v>
      </c>
    </row>
    <row r="2111" spans="1:3" ht="16.05" customHeight="1">
      <c r="A2111" s="15">
        <v>17</v>
      </c>
      <c r="B2111" s="15">
        <v>35292221</v>
      </c>
      <c r="C2111" s="66">
        <v>35292313</v>
      </c>
    </row>
    <row r="2112" spans="1:3" ht="16.05" customHeight="1">
      <c r="A2112" s="15">
        <v>17</v>
      </c>
      <c r="B2112" s="15">
        <v>35292344</v>
      </c>
      <c r="C2112" s="66">
        <v>35292555</v>
      </c>
    </row>
    <row r="2113" spans="1:3" ht="16.05" customHeight="1">
      <c r="A2113" s="15">
        <v>17</v>
      </c>
      <c r="B2113" s="15">
        <v>35293997</v>
      </c>
      <c r="C2113" s="66">
        <v>35294054</v>
      </c>
    </row>
    <row r="2114" spans="1:3" ht="16.05" customHeight="1">
      <c r="A2114" s="15">
        <v>17</v>
      </c>
      <c r="B2114" s="15">
        <v>35294055</v>
      </c>
      <c r="C2114" s="66">
        <v>35294330</v>
      </c>
    </row>
    <row r="2115" spans="1:3" ht="16.05" customHeight="1">
      <c r="A2115" s="15">
        <v>17</v>
      </c>
      <c r="B2115" s="15">
        <v>35294309</v>
      </c>
      <c r="C2115" s="66">
        <v>35294330</v>
      </c>
    </row>
    <row r="2116" spans="1:3" ht="16.05" customHeight="1">
      <c r="A2116" s="15">
        <v>17</v>
      </c>
      <c r="B2116" s="15">
        <v>35294388</v>
      </c>
      <c r="C2116" s="66">
        <v>35294399</v>
      </c>
    </row>
    <row r="2117" spans="1:3" ht="16.05" customHeight="1">
      <c r="A2117" s="15">
        <v>17</v>
      </c>
      <c r="B2117" s="15">
        <v>35294388</v>
      </c>
      <c r="C2117" s="66">
        <v>35294659</v>
      </c>
    </row>
    <row r="2118" spans="1:3" ht="16.05" customHeight="1">
      <c r="A2118" s="15">
        <v>17</v>
      </c>
      <c r="B2118" s="15">
        <v>35294574</v>
      </c>
      <c r="C2118" s="66">
        <v>35294697</v>
      </c>
    </row>
    <row r="2119" spans="1:3" ht="16.05" customHeight="1">
      <c r="A2119" s="15">
        <v>17</v>
      </c>
      <c r="B2119" s="15">
        <v>35294708</v>
      </c>
      <c r="C2119" s="66">
        <v>35294889</v>
      </c>
    </row>
    <row r="2120" spans="1:3" ht="16.05" customHeight="1">
      <c r="A2120" s="15">
        <v>17</v>
      </c>
      <c r="B2120" s="15">
        <v>35296989</v>
      </c>
      <c r="C2120" s="66">
        <v>35297154</v>
      </c>
    </row>
    <row r="2121" spans="1:3" ht="16.05" customHeight="1">
      <c r="A2121" s="15">
        <v>17</v>
      </c>
      <c r="B2121" s="15">
        <v>35297147</v>
      </c>
      <c r="C2121" s="66">
        <v>35297315</v>
      </c>
    </row>
    <row r="2122" spans="1:3" ht="16.05" customHeight="1">
      <c r="A2122" s="15">
        <v>17</v>
      </c>
      <c r="B2122" s="15">
        <v>36666091</v>
      </c>
      <c r="C2122" s="66">
        <v>36666161</v>
      </c>
    </row>
    <row r="2123" spans="1:3" ht="16.05" customHeight="1">
      <c r="A2123" s="15">
        <v>17</v>
      </c>
      <c r="B2123" s="15">
        <v>36666177</v>
      </c>
      <c r="C2123" s="66">
        <v>36666329</v>
      </c>
    </row>
    <row r="2124" spans="1:3" ht="16.05" customHeight="1">
      <c r="A2124" s="15">
        <v>17</v>
      </c>
      <c r="B2124" s="15">
        <v>37764088</v>
      </c>
      <c r="C2124" s="66">
        <v>37764186</v>
      </c>
    </row>
    <row r="2125" spans="1:3" ht="16.05" customHeight="1">
      <c r="A2125" s="15">
        <v>17</v>
      </c>
      <c r="B2125" s="15">
        <v>41832668</v>
      </c>
      <c r="C2125" s="66">
        <v>41832811</v>
      </c>
    </row>
    <row r="2126" spans="1:3" ht="16.05" customHeight="1">
      <c r="A2126" s="15">
        <v>17</v>
      </c>
      <c r="B2126" s="15">
        <v>41832816</v>
      </c>
      <c r="C2126" s="66">
        <v>41832928</v>
      </c>
    </row>
    <row r="2127" spans="1:3" ht="16.05" customHeight="1">
      <c r="A2127" s="15">
        <v>17</v>
      </c>
      <c r="B2127" s="15">
        <v>41984316</v>
      </c>
      <c r="C2127" s="66">
        <v>41984380</v>
      </c>
    </row>
    <row r="2128" spans="1:3" ht="16.05" customHeight="1">
      <c r="A2128" s="15">
        <v>17</v>
      </c>
      <c r="B2128" s="15">
        <v>43973353</v>
      </c>
      <c r="C2128" s="66">
        <v>43973458</v>
      </c>
    </row>
    <row r="2129" spans="1:3" ht="16.05" customHeight="1">
      <c r="A2129" s="15">
        <v>17</v>
      </c>
      <c r="B2129" s="15">
        <v>43974630</v>
      </c>
      <c r="C2129" s="66">
        <v>43974749</v>
      </c>
    </row>
    <row r="2130" spans="1:3" ht="16.05" customHeight="1">
      <c r="A2130" s="15">
        <v>17</v>
      </c>
      <c r="B2130" s="15">
        <v>43974761</v>
      </c>
      <c r="C2130" s="66">
        <v>43974959</v>
      </c>
    </row>
    <row r="2131" spans="1:3" ht="16.05" customHeight="1">
      <c r="A2131" s="15">
        <v>17</v>
      </c>
      <c r="B2131" s="15">
        <v>45332050</v>
      </c>
      <c r="C2131" s="66">
        <v>45332158</v>
      </c>
    </row>
    <row r="2132" spans="1:3" ht="16.05" customHeight="1">
      <c r="A2132" s="15">
        <v>17</v>
      </c>
      <c r="B2132" s="15">
        <v>45811305</v>
      </c>
      <c r="C2132" s="66">
        <v>45811492</v>
      </c>
    </row>
    <row r="2133" spans="1:3" ht="16.05" customHeight="1">
      <c r="A2133" s="15">
        <v>17</v>
      </c>
      <c r="B2133" s="15">
        <v>46655159</v>
      </c>
      <c r="C2133" s="66">
        <v>46655989</v>
      </c>
    </row>
    <row r="2134" spans="1:3" ht="16.05" customHeight="1">
      <c r="A2134" s="15">
        <v>17</v>
      </c>
      <c r="B2134" s="15">
        <v>46674933</v>
      </c>
      <c r="C2134" s="66">
        <v>46674962</v>
      </c>
    </row>
    <row r="2135" spans="1:3" ht="16.05" customHeight="1">
      <c r="A2135" s="15">
        <v>17</v>
      </c>
      <c r="B2135" s="15">
        <v>46675020</v>
      </c>
      <c r="C2135" s="66">
        <v>46675245</v>
      </c>
    </row>
    <row r="2136" spans="1:3" ht="16.05" customHeight="1">
      <c r="A2136" s="15">
        <v>17</v>
      </c>
      <c r="B2136" s="15">
        <v>46688686</v>
      </c>
      <c r="C2136" s="66">
        <v>46688895</v>
      </c>
    </row>
    <row r="2137" spans="1:3" ht="16.05" customHeight="1">
      <c r="A2137" s="15">
        <v>17</v>
      </c>
      <c r="B2137" s="15">
        <v>46688888</v>
      </c>
      <c r="C2137" s="66">
        <v>46688968</v>
      </c>
    </row>
    <row r="2138" spans="1:3" ht="16.05" customHeight="1">
      <c r="A2138" s="15">
        <v>17</v>
      </c>
      <c r="B2138" s="15">
        <v>46691646</v>
      </c>
      <c r="C2138" s="66">
        <v>46691751</v>
      </c>
    </row>
    <row r="2139" spans="1:3" ht="16.05" customHeight="1">
      <c r="A2139" s="15">
        <v>17</v>
      </c>
      <c r="B2139" s="15">
        <v>46691765</v>
      </c>
      <c r="C2139" s="66">
        <v>46691969</v>
      </c>
    </row>
    <row r="2140" spans="1:3" ht="16.05" customHeight="1">
      <c r="A2140" s="15">
        <v>17</v>
      </c>
      <c r="B2140" s="15">
        <v>46692161</v>
      </c>
      <c r="C2140" s="66">
        <v>46692272</v>
      </c>
    </row>
    <row r="2141" spans="1:3" ht="16.05" customHeight="1">
      <c r="A2141" s="15">
        <v>17</v>
      </c>
      <c r="B2141" s="15">
        <v>46692405</v>
      </c>
      <c r="C2141" s="66">
        <v>46692638</v>
      </c>
    </row>
    <row r="2142" spans="1:3" ht="16.05" customHeight="1">
      <c r="A2142" s="15">
        <v>17</v>
      </c>
      <c r="B2142" s="15">
        <v>46724127</v>
      </c>
      <c r="C2142" s="66">
        <v>46724209</v>
      </c>
    </row>
    <row r="2143" spans="1:3" ht="16.05" customHeight="1">
      <c r="A2143" s="15">
        <v>17</v>
      </c>
      <c r="B2143" s="15">
        <v>46796741</v>
      </c>
      <c r="C2143" s="66">
        <v>46796986</v>
      </c>
    </row>
    <row r="2144" spans="1:3" ht="16.05" customHeight="1">
      <c r="A2144" s="15">
        <v>17</v>
      </c>
      <c r="B2144" s="15">
        <v>46799853</v>
      </c>
      <c r="C2144" s="66">
        <v>46800044</v>
      </c>
    </row>
    <row r="2145" spans="1:3" ht="16.05" customHeight="1">
      <c r="A2145" s="15">
        <v>17</v>
      </c>
      <c r="B2145" s="15">
        <v>46800500</v>
      </c>
      <c r="C2145" s="66">
        <v>46800588</v>
      </c>
    </row>
    <row r="2146" spans="1:3" ht="16.05" customHeight="1">
      <c r="A2146" s="15">
        <v>17</v>
      </c>
      <c r="B2146" s="15">
        <v>46800612</v>
      </c>
      <c r="C2146" s="66">
        <v>46800751</v>
      </c>
    </row>
    <row r="2147" spans="1:3" ht="16.05" customHeight="1">
      <c r="A2147" s="15">
        <v>17</v>
      </c>
      <c r="B2147" s="15">
        <v>46800923</v>
      </c>
      <c r="C2147" s="66">
        <v>46801067</v>
      </c>
    </row>
    <row r="2148" spans="1:3" ht="16.05" customHeight="1">
      <c r="A2148" s="15">
        <v>17</v>
      </c>
      <c r="B2148" s="15">
        <v>46801077</v>
      </c>
      <c r="C2148" s="66">
        <v>46801157</v>
      </c>
    </row>
    <row r="2149" spans="1:3" ht="16.05" customHeight="1">
      <c r="A2149" s="15">
        <v>17</v>
      </c>
      <c r="B2149" s="15">
        <v>46801164</v>
      </c>
      <c r="C2149" s="66">
        <v>46801250</v>
      </c>
    </row>
    <row r="2150" spans="1:3" ht="16.05" customHeight="1">
      <c r="A2150" s="15">
        <v>17</v>
      </c>
      <c r="B2150" s="15">
        <v>46824579</v>
      </c>
      <c r="C2150" s="66">
        <v>46824746</v>
      </c>
    </row>
    <row r="2151" spans="1:3" ht="16.05" customHeight="1">
      <c r="A2151" s="15">
        <v>17</v>
      </c>
      <c r="B2151" s="15">
        <v>46824759</v>
      </c>
      <c r="C2151" s="66">
        <v>46824899</v>
      </c>
    </row>
    <row r="2152" spans="1:3" ht="16.05" customHeight="1">
      <c r="A2152" s="15">
        <v>17</v>
      </c>
      <c r="B2152" s="15">
        <v>46830091</v>
      </c>
      <c r="C2152" s="66">
        <v>46830196</v>
      </c>
    </row>
    <row r="2153" spans="1:3" ht="16.05" customHeight="1">
      <c r="A2153" s="15">
        <v>17</v>
      </c>
      <c r="B2153" s="15">
        <v>47075120</v>
      </c>
      <c r="C2153" s="66">
        <v>47075339</v>
      </c>
    </row>
    <row r="2154" spans="1:3" ht="16.05" customHeight="1">
      <c r="A2154" s="15">
        <v>17</v>
      </c>
      <c r="B2154" s="15">
        <v>47075336</v>
      </c>
      <c r="C2154" s="66">
        <v>47075456</v>
      </c>
    </row>
    <row r="2155" spans="1:3" ht="16.05" customHeight="1">
      <c r="A2155" s="15">
        <v>17</v>
      </c>
      <c r="B2155" s="15">
        <v>47210654</v>
      </c>
      <c r="C2155" s="66">
        <v>47210763</v>
      </c>
    </row>
    <row r="2156" spans="1:3" ht="16.05" customHeight="1">
      <c r="A2156" s="15">
        <v>17</v>
      </c>
      <c r="B2156" s="15">
        <v>47271098</v>
      </c>
      <c r="C2156" s="66">
        <v>47271205</v>
      </c>
    </row>
    <row r="2157" spans="1:3" ht="16.05" customHeight="1">
      <c r="A2157" s="15">
        <v>17</v>
      </c>
      <c r="B2157" s="15">
        <v>47307569</v>
      </c>
      <c r="C2157" s="66">
        <v>47307665</v>
      </c>
    </row>
    <row r="2158" spans="1:3" ht="16.05" customHeight="1">
      <c r="A2158" s="15">
        <v>17</v>
      </c>
      <c r="B2158" s="15">
        <v>48042446</v>
      </c>
      <c r="C2158" s="66">
        <v>48042618</v>
      </c>
    </row>
    <row r="2159" spans="1:3" ht="16.05" customHeight="1">
      <c r="A2159" s="15">
        <v>17</v>
      </c>
      <c r="B2159" s="15">
        <v>48042644</v>
      </c>
      <c r="C2159" s="66">
        <v>48042776</v>
      </c>
    </row>
    <row r="2160" spans="1:3" ht="16.05" customHeight="1">
      <c r="A2160" s="15">
        <v>17</v>
      </c>
      <c r="B2160" s="15">
        <v>48284240</v>
      </c>
      <c r="C2160" s="66">
        <v>48284251</v>
      </c>
    </row>
    <row r="2161" spans="1:3" ht="16.05" customHeight="1">
      <c r="A2161" s="15">
        <v>17</v>
      </c>
      <c r="B2161" s="15">
        <v>48284289</v>
      </c>
      <c r="C2161" s="66">
        <v>48284546</v>
      </c>
    </row>
    <row r="2162" spans="1:3" ht="16.05" customHeight="1">
      <c r="A2162" s="15">
        <v>17</v>
      </c>
      <c r="B2162" s="15">
        <v>54755960</v>
      </c>
      <c r="C2162" s="66">
        <v>54756176</v>
      </c>
    </row>
    <row r="2163" spans="1:3" ht="16.05" customHeight="1">
      <c r="A2163" s="15">
        <v>17</v>
      </c>
      <c r="B2163" s="15">
        <v>59482669</v>
      </c>
      <c r="C2163" s="66">
        <v>59482716</v>
      </c>
    </row>
    <row r="2164" spans="1:3" ht="16.05" customHeight="1">
      <c r="A2164" s="15">
        <v>17</v>
      </c>
      <c r="B2164" s="15">
        <v>59539429</v>
      </c>
      <c r="C2164" s="66">
        <v>59539593</v>
      </c>
    </row>
    <row r="2165" spans="1:3" ht="16.05" customHeight="1">
      <c r="A2165" s="15">
        <v>17</v>
      </c>
      <c r="B2165" s="15">
        <v>59539624</v>
      </c>
      <c r="C2165" s="66">
        <v>59539760</v>
      </c>
    </row>
    <row r="2166" spans="1:3" ht="16.05" customHeight="1">
      <c r="A2166" s="15">
        <v>17</v>
      </c>
      <c r="B2166" s="15">
        <v>62038841</v>
      </c>
      <c r="C2166" s="66">
        <v>62038890</v>
      </c>
    </row>
    <row r="2167" spans="1:3" ht="16.05" customHeight="1">
      <c r="A2167" s="15">
        <v>17</v>
      </c>
      <c r="B2167" s="15">
        <v>62038934</v>
      </c>
      <c r="C2167" s="66">
        <v>62039175</v>
      </c>
    </row>
    <row r="2168" spans="1:3" ht="16.05" customHeight="1">
      <c r="A2168" s="15">
        <v>17</v>
      </c>
      <c r="B2168" s="15">
        <v>66195937</v>
      </c>
      <c r="C2168" s="66">
        <v>66195973</v>
      </c>
    </row>
    <row r="2169" spans="1:3" ht="16.05" customHeight="1">
      <c r="A2169" s="15">
        <v>17</v>
      </c>
      <c r="B2169" s="15">
        <v>70113967</v>
      </c>
      <c r="C2169" s="66">
        <v>70114135</v>
      </c>
    </row>
    <row r="2170" spans="1:3" ht="16.05" customHeight="1">
      <c r="A2170" s="15">
        <v>17</v>
      </c>
      <c r="B2170" s="15">
        <v>70114148</v>
      </c>
      <c r="C2170" s="66">
        <v>70114295</v>
      </c>
    </row>
    <row r="2171" spans="1:3" ht="16.05" customHeight="1">
      <c r="A2171" s="15">
        <v>17</v>
      </c>
      <c r="B2171" s="15">
        <v>71161089</v>
      </c>
      <c r="C2171" s="66">
        <v>71161190</v>
      </c>
    </row>
    <row r="2172" spans="1:3" ht="16.05" customHeight="1">
      <c r="A2172" s="15">
        <v>17</v>
      </c>
      <c r="B2172" s="15">
        <v>72322009</v>
      </c>
      <c r="C2172" s="66">
        <v>72322309</v>
      </c>
    </row>
    <row r="2173" spans="1:3" ht="16.05" customHeight="1">
      <c r="A2173" s="15">
        <v>17</v>
      </c>
      <c r="B2173" s="15">
        <v>72755455</v>
      </c>
      <c r="C2173" s="66">
        <v>72755469</v>
      </c>
    </row>
    <row r="2174" spans="1:3" ht="16.05" customHeight="1">
      <c r="A2174" s="15">
        <v>17</v>
      </c>
      <c r="B2174" s="15">
        <v>72755474</v>
      </c>
      <c r="C2174" s="66">
        <v>72755540</v>
      </c>
    </row>
    <row r="2175" spans="1:3" ht="16.05" customHeight="1">
      <c r="A2175" s="15">
        <v>17</v>
      </c>
      <c r="B2175" s="15">
        <v>72755631</v>
      </c>
      <c r="C2175" s="66">
        <v>72755654</v>
      </c>
    </row>
    <row r="2176" spans="1:3" ht="16.05" customHeight="1">
      <c r="A2176" s="15">
        <v>17</v>
      </c>
      <c r="B2176" s="15">
        <v>7343966</v>
      </c>
      <c r="C2176" s="66">
        <v>7344090</v>
      </c>
    </row>
    <row r="2177" spans="1:3" ht="16.05" customHeight="1">
      <c r="A2177" s="15">
        <v>17</v>
      </c>
      <c r="B2177" s="15">
        <v>76967752</v>
      </c>
      <c r="C2177" s="66">
        <v>76967793</v>
      </c>
    </row>
    <row r="2178" spans="1:3" ht="16.05" customHeight="1">
      <c r="A2178" s="15">
        <v>17</v>
      </c>
      <c r="B2178" s="15">
        <v>77179422</v>
      </c>
      <c r="C2178" s="66">
        <v>77179626</v>
      </c>
    </row>
    <row r="2179" spans="1:3" ht="16.05" customHeight="1">
      <c r="A2179" s="15">
        <v>17</v>
      </c>
      <c r="B2179" s="15">
        <v>77179747</v>
      </c>
      <c r="C2179" s="66">
        <v>77179876</v>
      </c>
    </row>
    <row r="2180" spans="1:3" ht="16.05" customHeight="1">
      <c r="A2180" s="15">
        <v>17</v>
      </c>
      <c r="B2180" s="15">
        <v>77721474</v>
      </c>
      <c r="C2180" s="66">
        <v>77721686</v>
      </c>
    </row>
    <row r="2181" spans="1:3" ht="16.05" customHeight="1">
      <c r="A2181" s="15">
        <v>17</v>
      </c>
      <c r="B2181" s="15">
        <v>77721700</v>
      </c>
      <c r="C2181" s="66">
        <v>77721788</v>
      </c>
    </row>
    <row r="2182" spans="1:3" ht="16.05" customHeight="1">
      <c r="A2182" s="15">
        <v>17</v>
      </c>
      <c r="B2182" s="15">
        <v>77722162</v>
      </c>
      <c r="C2182" s="66">
        <v>77722401</v>
      </c>
    </row>
    <row r="2183" spans="1:3" ht="16.05" customHeight="1">
      <c r="A2183" s="15">
        <v>17</v>
      </c>
      <c r="B2183" s="15">
        <v>77750839</v>
      </c>
      <c r="C2183" s="66">
        <v>77751095</v>
      </c>
    </row>
    <row r="2184" spans="1:3" ht="16.05" customHeight="1">
      <c r="A2184" s="15">
        <v>17</v>
      </c>
      <c r="B2184" s="15">
        <v>78451399</v>
      </c>
      <c r="C2184" s="66">
        <v>78451593</v>
      </c>
    </row>
    <row r="2185" spans="1:3" ht="16.05" customHeight="1">
      <c r="A2185" s="15">
        <v>17</v>
      </c>
      <c r="B2185" s="15">
        <v>78451942</v>
      </c>
      <c r="C2185" s="66">
        <v>78452141</v>
      </c>
    </row>
    <row r="2186" spans="1:3" ht="16.05" customHeight="1">
      <c r="A2186" s="15">
        <v>17</v>
      </c>
      <c r="B2186" s="15">
        <v>78452135</v>
      </c>
      <c r="C2186" s="66">
        <v>78452218</v>
      </c>
    </row>
    <row r="2187" spans="1:3" ht="16.05" customHeight="1">
      <c r="A2187" s="15">
        <v>17</v>
      </c>
      <c r="B2187" s="15">
        <v>79860704</v>
      </c>
      <c r="C2187" s="66">
        <v>79860784</v>
      </c>
    </row>
    <row r="2188" spans="1:3" ht="16.05" customHeight="1">
      <c r="A2188" s="15">
        <v>17</v>
      </c>
      <c r="B2188" s="15">
        <v>80329799</v>
      </c>
      <c r="C2188" s="66">
        <v>80329985</v>
      </c>
    </row>
    <row r="2189" spans="1:3" ht="16.05" customHeight="1">
      <c r="A2189" s="15">
        <v>17</v>
      </c>
      <c r="B2189" s="15">
        <v>80329984</v>
      </c>
      <c r="C2189" s="66">
        <v>80330047</v>
      </c>
    </row>
    <row r="2190" spans="1:3" ht="16.05" customHeight="1">
      <c r="A2190" s="15">
        <v>17</v>
      </c>
      <c r="B2190" s="15">
        <v>8907069</v>
      </c>
      <c r="C2190" s="66">
        <v>8907379</v>
      </c>
    </row>
    <row r="2191" spans="1:3" ht="16.05" customHeight="1">
      <c r="A2191" s="15">
        <v>17</v>
      </c>
      <c r="B2191" s="15">
        <v>8926186</v>
      </c>
      <c r="C2191" s="66">
        <v>8926331</v>
      </c>
    </row>
    <row r="2192" spans="1:3" ht="16.05" customHeight="1">
      <c r="A2192" s="15">
        <v>18</v>
      </c>
      <c r="B2192" s="15">
        <v>19756766</v>
      </c>
      <c r="C2192" s="66">
        <v>19756904</v>
      </c>
    </row>
    <row r="2193" spans="1:3" ht="16.05" customHeight="1">
      <c r="A2193" s="15">
        <v>18</v>
      </c>
      <c r="B2193" s="15">
        <v>19756895</v>
      </c>
      <c r="C2193" s="66">
        <v>19757005</v>
      </c>
    </row>
    <row r="2194" spans="1:3" ht="16.05" customHeight="1">
      <c r="A2194" s="15">
        <v>18</v>
      </c>
      <c r="B2194" s="15">
        <v>22930725</v>
      </c>
      <c r="C2194" s="66">
        <v>22930890</v>
      </c>
    </row>
    <row r="2195" spans="1:3" ht="16.05" customHeight="1">
      <c r="A2195" s="15">
        <v>18</v>
      </c>
      <c r="B2195" s="15">
        <v>22930885</v>
      </c>
      <c r="C2195" s="66">
        <v>22931057</v>
      </c>
    </row>
    <row r="2196" spans="1:3" ht="16.05" customHeight="1">
      <c r="A2196" s="15">
        <v>18</v>
      </c>
      <c r="B2196" s="15">
        <v>25755769</v>
      </c>
      <c r="C2196" s="66">
        <v>25755885</v>
      </c>
    </row>
    <row r="2197" spans="1:3" ht="16.05" customHeight="1">
      <c r="A2197" s="15">
        <v>18</v>
      </c>
      <c r="B2197" s="15">
        <v>25757381</v>
      </c>
      <c r="C2197" s="66">
        <v>25757575</v>
      </c>
    </row>
    <row r="2198" spans="1:3" ht="16.05" customHeight="1">
      <c r="A2198" s="15">
        <v>18</v>
      </c>
      <c r="B2198" s="15">
        <v>2847758</v>
      </c>
      <c r="C2198" s="66">
        <v>2847855</v>
      </c>
    </row>
    <row r="2199" spans="1:3" ht="16.05" customHeight="1">
      <c r="A2199" s="15">
        <v>18</v>
      </c>
      <c r="B2199" s="15">
        <v>28621485</v>
      </c>
      <c r="C2199" s="66">
        <v>28621702</v>
      </c>
    </row>
    <row r="2200" spans="1:3" ht="16.05" customHeight="1">
      <c r="A2200" s="15">
        <v>18</v>
      </c>
      <c r="B2200" s="15">
        <v>28621720</v>
      </c>
      <c r="C2200" s="66">
        <v>28621817</v>
      </c>
    </row>
    <row r="2201" spans="1:3" ht="16.05" customHeight="1">
      <c r="A2201" s="15">
        <v>18</v>
      </c>
      <c r="B2201" s="15">
        <v>28622073</v>
      </c>
      <c r="C2201" s="66">
        <v>28622252</v>
      </c>
    </row>
    <row r="2202" spans="1:3" ht="16.05" customHeight="1">
      <c r="A2202" s="15">
        <v>18</v>
      </c>
      <c r="B2202" s="15">
        <v>28622267</v>
      </c>
      <c r="C2202" s="66">
        <v>28622375</v>
      </c>
    </row>
    <row r="2203" spans="1:3" ht="16.05" customHeight="1">
      <c r="A2203" s="15">
        <v>18</v>
      </c>
      <c r="B2203" s="15">
        <v>28622303</v>
      </c>
      <c r="C2203" s="66">
        <v>28622336</v>
      </c>
    </row>
    <row r="2204" spans="1:3" ht="16.05" customHeight="1">
      <c r="A2204" s="15">
        <v>18</v>
      </c>
      <c r="B2204" s="15">
        <v>28622364</v>
      </c>
      <c r="C2204" s="66">
        <v>28622641</v>
      </c>
    </row>
    <row r="2205" spans="1:3" ht="16.05" customHeight="1">
      <c r="A2205" s="15">
        <v>18</v>
      </c>
      <c r="B2205" s="15">
        <v>31020335</v>
      </c>
      <c r="C2205" s="66">
        <v>31020346</v>
      </c>
    </row>
    <row r="2206" spans="1:3" ht="16.05" customHeight="1">
      <c r="A2206" s="15">
        <v>18</v>
      </c>
      <c r="B2206" s="15">
        <v>31020355</v>
      </c>
      <c r="C2206" s="66">
        <v>31020676</v>
      </c>
    </row>
    <row r="2207" spans="1:3" ht="16.05" customHeight="1">
      <c r="A2207" s="15">
        <v>18</v>
      </c>
      <c r="B2207" s="15">
        <v>31803294</v>
      </c>
      <c r="C2207" s="66">
        <v>31803464</v>
      </c>
    </row>
    <row r="2208" spans="1:3" ht="16.05" customHeight="1">
      <c r="A2208" s="15">
        <v>18</v>
      </c>
      <c r="B2208" s="15">
        <v>31803473</v>
      </c>
      <c r="C2208" s="66">
        <v>31803632</v>
      </c>
    </row>
    <row r="2209" spans="1:3" ht="16.05" customHeight="1">
      <c r="A2209" s="15">
        <v>18</v>
      </c>
      <c r="B2209" s="15">
        <v>49866454</v>
      </c>
      <c r="C2209" s="66">
        <v>49866697</v>
      </c>
    </row>
    <row r="2210" spans="1:3" ht="16.05" customHeight="1">
      <c r="A2210" s="15">
        <v>18</v>
      </c>
      <c r="B2210" s="15">
        <v>55106142</v>
      </c>
      <c r="C2210" s="66">
        <v>55106343</v>
      </c>
    </row>
    <row r="2211" spans="1:3" ht="16.05" customHeight="1">
      <c r="A2211" s="15">
        <v>18</v>
      </c>
      <c r="B2211" s="15">
        <v>55106381</v>
      </c>
      <c r="C2211" s="66">
        <v>55106460</v>
      </c>
    </row>
    <row r="2212" spans="1:3" ht="16.05" customHeight="1">
      <c r="A2212" s="15">
        <v>18</v>
      </c>
      <c r="B2212" s="15">
        <v>56935035</v>
      </c>
      <c r="C2212" s="66">
        <v>56935316</v>
      </c>
    </row>
    <row r="2213" spans="1:3" ht="16.05" customHeight="1">
      <c r="A2213" s="15">
        <v>18</v>
      </c>
      <c r="B2213" s="15">
        <v>59559924</v>
      </c>
      <c r="C2213" s="66">
        <v>59560009</v>
      </c>
    </row>
    <row r="2214" spans="1:3" ht="16.05" customHeight="1">
      <c r="A2214" s="15">
        <v>18</v>
      </c>
      <c r="B2214" s="15">
        <v>59560010</v>
      </c>
      <c r="C2214" s="66">
        <v>59560536</v>
      </c>
    </row>
    <row r="2215" spans="1:3" ht="16.05" customHeight="1">
      <c r="A2215" s="15">
        <v>18</v>
      </c>
      <c r="B2215" s="15">
        <v>67067569</v>
      </c>
      <c r="C2215" s="66">
        <v>67068056</v>
      </c>
    </row>
    <row r="2216" spans="1:3" ht="16.05" customHeight="1">
      <c r="A2216" s="15">
        <v>18</v>
      </c>
      <c r="B2216" s="15">
        <v>70210655</v>
      </c>
      <c r="C2216" s="66">
        <v>70210896</v>
      </c>
    </row>
    <row r="2217" spans="1:3" ht="16.05" customHeight="1">
      <c r="A2217" s="15">
        <v>18</v>
      </c>
      <c r="B2217" s="15">
        <v>70211009</v>
      </c>
      <c r="C2217" s="66">
        <v>70211113</v>
      </c>
    </row>
    <row r="2218" spans="1:3" ht="16.05" customHeight="1">
      <c r="A2218" s="15">
        <v>18</v>
      </c>
      <c r="B2218" s="15">
        <v>7116910</v>
      </c>
      <c r="C2218" s="66">
        <v>7117137</v>
      </c>
    </row>
    <row r="2219" spans="1:3" ht="16.05" customHeight="1">
      <c r="A2219" s="15">
        <v>18</v>
      </c>
      <c r="B2219" s="15">
        <v>7117155</v>
      </c>
      <c r="C2219" s="66">
        <v>7117484</v>
      </c>
    </row>
    <row r="2220" spans="1:3" ht="16.05" customHeight="1">
      <c r="A2220" s="15">
        <v>18</v>
      </c>
      <c r="B2220" s="15">
        <v>7117904</v>
      </c>
      <c r="C2220" s="66">
        <v>7118231</v>
      </c>
    </row>
    <row r="2221" spans="1:3" ht="16.05" customHeight="1">
      <c r="A2221" s="15">
        <v>18</v>
      </c>
      <c r="B2221" s="15">
        <v>72123451</v>
      </c>
      <c r="C2221" s="66">
        <v>72123558</v>
      </c>
    </row>
    <row r="2222" spans="1:3" ht="16.05" customHeight="1">
      <c r="A2222" s="15">
        <v>18</v>
      </c>
      <c r="B2222" s="15">
        <v>73167719</v>
      </c>
      <c r="C2222" s="66">
        <v>73167952</v>
      </c>
    </row>
    <row r="2223" spans="1:3" ht="16.05" customHeight="1">
      <c r="A2223" s="15">
        <v>18</v>
      </c>
      <c r="B2223" s="15">
        <v>73167996</v>
      </c>
      <c r="C2223" s="66">
        <v>73168041</v>
      </c>
    </row>
    <row r="2224" spans="1:3" ht="16.05" customHeight="1">
      <c r="A2224" s="15">
        <v>18</v>
      </c>
      <c r="B2224" s="15">
        <v>74961337</v>
      </c>
      <c r="C2224" s="66">
        <v>74961508</v>
      </c>
    </row>
    <row r="2225" spans="1:3" ht="16.05" customHeight="1">
      <c r="A2225" s="15">
        <v>18</v>
      </c>
      <c r="B2225" s="15">
        <v>74961552</v>
      </c>
      <c r="C2225" s="66">
        <v>74961618</v>
      </c>
    </row>
    <row r="2226" spans="1:3" ht="16.05" customHeight="1">
      <c r="A2226" s="15">
        <v>18</v>
      </c>
      <c r="B2226" s="15">
        <v>74961564</v>
      </c>
      <c r="C2226" s="66">
        <v>74961850</v>
      </c>
    </row>
    <row r="2227" spans="1:3" ht="16.05" customHeight="1">
      <c r="A2227" s="15">
        <v>18</v>
      </c>
      <c r="B2227" s="15">
        <v>74961879</v>
      </c>
      <c r="C2227" s="66">
        <v>74962175</v>
      </c>
    </row>
    <row r="2228" spans="1:3" ht="16.05" customHeight="1">
      <c r="A2228" s="15">
        <v>18</v>
      </c>
      <c r="B2228" s="15">
        <v>74962194</v>
      </c>
      <c r="C2228" s="66">
        <v>74962292</v>
      </c>
    </row>
    <row r="2229" spans="1:3" ht="16.05" customHeight="1">
      <c r="A2229" s="15">
        <v>18</v>
      </c>
      <c r="B2229" s="15">
        <v>74962307</v>
      </c>
      <c r="C2229" s="66">
        <v>74962537</v>
      </c>
    </row>
    <row r="2230" spans="1:3" ht="16.05" customHeight="1">
      <c r="A2230" s="15">
        <v>18</v>
      </c>
      <c r="B2230" s="15">
        <v>76740580</v>
      </c>
      <c r="C2230" s="66">
        <v>76740799</v>
      </c>
    </row>
    <row r="2231" spans="1:3" ht="16.05" customHeight="1">
      <c r="A2231" s="15">
        <v>18</v>
      </c>
      <c r="B2231" s="15">
        <v>8608897</v>
      </c>
      <c r="C2231" s="66">
        <v>8609101</v>
      </c>
    </row>
    <row r="2232" spans="1:3" ht="16.05" customHeight="1">
      <c r="A2232" s="15">
        <v>18</v>
      </c>
      <c r="B2232" s="15">
        <v>904713</v>
      </c>
      <c r="C2232" s="66">
        <v>904859</v>
      </c>
    </row>
    <row r="2233" spans="1:3" ht="16.05" customHeight="1">
      <c r="A2233" s="15">
        <v>18</v>
      </c>
      <c r="B2233" s="15">
        <v>909079</v>
      </c>
      <c r="C2233" s="66">
        <v>909225</v>
      </c>
    </row>
    <row r="2234" spans="1:3" ht="16.05" customHeight="1">
      <c r="A2234" s="15">
        <v>19</v>
      </c>
      <c r="B2234" s="15">
        <v>10398266</v>
      </c>
      <c r="C2234" s="66">
        <v>10398375</v>
      </c>
    </row>
    <row r="2235" spans="1:3" ht="16.05" customHeight="1">
      <c r="A2235" s="15">
        <v>19</v>
      </c>
      <c r="B2235" s="15">
        <v>10403233</v>
      </c>
      <c r="C2235" s="66">
        <v>10403417</v>
      </c>
    </row>
    <row r="2236" spans="1:3" ht="16.05" customHeight="1">
      <c r="A2236" s="15">
        <v>19</v>
      </c>
      <c r="B2236" s="15">
        <v>10403416</v>
      </c>
      <c r="C2236" s="66">
        <v>10403569</v>
      </c>
    </row>
    <row r="2237" spans="1:3" ht="16.05" customHeight="1">
      <c r="A2237" s="15">
        <v>19</v>
      </c>
      <c r="B2237" s="15">
        <v>10406789</v>
      </c>
      <c r="C2237" s="66">
        <v>10407100</v>
      </c>
    </row>
    <row r="2238" spans="1:3" ht="16.05" customHeight="1">
      <c r="A2238" s="15">
        <v>19</v>
      </c>
      <c r="B2238" s="15">
        <v>10812828</v>
      </c>
      <c r="C2238" s="66">
        <v>10812957</v>
      </c>
    </row>
    <row r="2239" spans="1:3" ht="16.05" customHeight="1">
      <c r="A2239" s="15">
        <v>19</v>
      </c>
      <c r="B2239" s="15">
        <v>12306131</v>
      </c>
      <c r="C2239" s="66">
        <v>12306309</v>
      </c>
    </row>
    <row r="2240" spans="1:3" ht="16.05" customHeight="1">
      <c r="A2240" s="15">
        <v>19</v>
      </c>
      <c r="B2240" s="15">
        <v>12911811</v>
      </c>
      <c r="C2240" s="66">
        <v>12911989</v>
      </c>
    </row>
    <row r="2241" spans="1:3" ht="16.05" customHeight="1">
      <c r="A2241" s="15">
        <v>19</v>
      </c>
      <c r="B2241" s="15">
        <v>12951967</v>
      </c>
      <c r="C2241" s="66">
        <v>12952222</v>
      </c>
    </row>
    <row r="2242" spans="1:3" ht="16.05" customHeight="1">
      <c r="A2242" s="15">
        <v>19</v>
      </c>
      <c r="B2242" s="15">
        <v>12952215</v>
      </c>
      <c r="C2242" s="66">
        <v>12952286</v>
      </c>
    </row>
    <row r="2243" spans="1:3" ht="16.05" customHeight="1">
      <c r="A2243" s="15">
        <v>19</v>
      </c>
      <c r="B2243" s="15">
        <v>12978232</v>
      </c>
      <c r="C2243" s="66">
        <v>12978373</v>
      </c>
    </row>
    <row r="2244" spans="1:3" ht="16.05" customHeight="1">
      <c r="A2244" s="15">
        <v>19</v>
      </c>
      <c r="B2244" s="15">
        <v>13616982</v>
      </c>
      <c r="C2244" s="66">
        <v>13617171</v>
      </c>
    </row>
    <row r="2245" spans="1:3" ht="16.05" customHeight="1">
      <c r="A2245" s="15">
        <v>19</v>
      </c>
      <c r="B2245" s="15">
        <v>13983445</v>
      </c>
      <c r="C2245" s="66">
        <v>13983541</v>
      </c>
    </row>
    <row r="2246" spans="1:3" ht="16.05" customHeight="1">
      <c r="A2246" s="15">
        <v>19</v>
      </c>
      <c r="B2246" s="15">
        <v>14897103</v>
      </c>
      <c r="C2246" s="66">
        <v>14897114</v>
      </c>
    </row>
    <row r="2247" spans="1:3" ht="16.05" customHeight="1">
      <c r="A2247" s="15">
        <v>19</v>
      </c>
      <c r="B2247" s="15">
        <v>15090700</v>
      </c>
      <c r="C2247" s="66">
        <v>15090951</v>
      </c>
    </row>
    <row r="2248" spans="1:3" ht="16.05" customHeight="1">
      <c r="A2248" s="15">
        <v>19</v>
      </c>
      <c r="B2248" s="15">
        <v>15695166</v>
      </c>
      <c r="C2248" s="66">
        <v>15695214</v>
      </c>
    </row>
    <row r="2249" spans="1:3" ht="16.05" customHeight="1">
      <c r="A2249" s="15">
        <v>19</v>
      </c>
      <c r="B2249" s="15">
        <v>16772815</v>
      </c>
      <c r="C2249" s="66">
        <v>16772925</v>
      </c>
    </row>
    <row r="2250" spans="1:3" ht="16.05" customHeight="1">
      <c r="A2250" s="15">
        <v>19</v>
      </c>
      <c r="B2250" s="15">
        <v>18336886</v>
      </c>
      <c r="C2250" s="66">
        <v>18336990</v>
      </c>
    </row>
    <row r="2251" spans="1:3" ht="16.05" customHeight="1">
      <c r="A2251" s="15">
        <v>19</v>
      </c>
      <c r="B2251" s="15">
        <v>19072770</v>
      </c>
      <c r="C2251" s="66">
        <v>19072940</v>
      </c>
    </row>
    <row r="2252" spans="1:3" ht="16.05" customHeight="1">
      <c r="A2252" s="15">
        <v>19</v>
      </c>
      <c r="B2252" s="15">
        <v>22610593</v>
      </c>
      <c r="C2252" s="66">
        <v>22610680</v>
      </c>
    </row>
    <row r="2253" spans="1:3" ht="16.05" customHeight="1">
      <c r="A2253" s="15">
        <v>19</v>
      </c>
      <c r="B2253" s="15">
        <v>22610714</v>
      </c>
      <c r="C2253" s="66">
        <v>22610832</v>
      </c>
    </row>
    <row r="2254" spans="1:3" ht="16.05" customHeight="1">
      <c r="A2254" s="15">
        <v>19</v>
      </c>
      <c r="B2254" s="15">
        <v>30015693</v>
      </c>
      <c r="C2254" s="66">
        <v>30015908</v>
      </c>
    </row>
    <row r="2255" spans="1:3" ht="16.05" customHeight="1">
      <c r="A2255" s="15">
        <v>19</v>
      </c>
      <c r="B2255" s="15">
        <v>30015916</v>
      </c>
      <c r="C2255" s="66">
        <v>30015992</v>
      </c>
    </row>
    <row r="2256" spans="1:3" ht="16.05" customHeight="1">
      <c r="A2256" s="15">
        <v>19</v>
      </c>
      <c r="B2256" s="15">
        <v>30017654</v>
      </c>
      <c r="C2256" s="66">
        <v>30017835</v>
      </c>
    </row>
    <row r="2257" spans="1:3" ht="16.05" customHeight="1">
      <c r="A2257" s="15">
        <v>19</v>
      </c>
      <c r="B2257" s="15">
        <v>30017843</v>
      </c>
      <c r="C2257" s="66">
        <v>30017997</v>
      </c>
    </row>
    <row r="2258" spans="1:3" ht="16.05" customHeight="1">
      <c r="A2258" s="15">
        <v>19</v>
      </c>
      <c r="B2258" s="15">
        <v>30716214</v>
      </c>
      <c r="C2258" s="66">
        <v>30716684</v>
      </c>
    </row>
    <row r="2259" spans="1:3" ht="16.05" customHeight="1">
      <c r="A2259" s="15">
        <v>19</v>
      </c>
      <c r="B2259" s="15">
        <v>30866108</v>
      </c>
      <c r="C2259" s="66">
        <v>30866313</v>
      </c>
    </row>
    <row r="2260" spans="1:3" ht="16.05" customHeight="1">
      <c r="A2260" s="15">
        <v>19</v>
      </c>
      <c r="B2260" s="15">
        <v>31839557</v>
      </c>
      <c r="C2260" s="66">
        <v>31839815</v>
      </c>
    </row>
    <row r="2261" spans="1:3" ht="16.05" customHeight="1">
      <c r="A2261" s="15">
        <v>19</v>
      </c>
      <c r="B2261" s="15">
        <v>3369471</v>
      </c>
      <c r="C2261" s="66">
        <v>3369536</v>
      </c>
    </row>
    <row r="2262" spans="1:3" ht="16.05" customHeight="1">
      <c r="A2262" s="15">
        <v>19</v>
      </c>
      <c r="B2262" s="15">
        <v>3369533</v>
      </c>
      <c r="C2262" s="66">
        <v>3369575</v>
      </c>
    </row>
    <row r="2263" spans="1:3" ht="16.05" customHeight="1">
      <c r="A2263" s="15">
        <v>19</v>
      </c>
      <c r="B2263" s="15">
        <v>34113232</v>
      </c>
      <c r="C2263" s="66">
        <v>34113416</v>
      </c>
    </row>
    <row r="2264" spans="1:3" ht="16.05" customHeight="1">
      <c r="A2264" s="15">
        <v>19</v>
      </c>
      <c r="B2264" s="15">
        <v>34113444</v>
      </c>
      <c r="C2264" s="66">
        <v>34113572</v>
      </c>
    </row>
    <row r="2265" spans="1:3" ht="16.05" customHeight="1">
      <c r="A2265" s="15">
        <v>19</v>
      </c>
      <c r="B2265" s="15">
        <v>35395934</v>
      </c>
      <c r="C2265" s="66">
        <v>35396140</v>
      </c>
    </row>
    <row r="2266" spans="1:3" ht="16.05" customHeight="1">
      <c r="A2266" s="15">
        <v>19</v>
      </c>
      <c r="B2266" s="15">
        <v>35581930</v>
      </c>
      <c r="C2266" s="66">
        <v>35582006</v>
      </c>
    </row>
    <row r="2267" spans="1:3" ht="16.05" customHeight="1">
      <c r="A2267" s="15">
        <v>19</v>
      </c>
      <c r="B2267" s="15">
        <v>36822863</v>
      </c>
      <c r="C2267" s="66">
        <v>36822905</v>
      </c>
    </row>
    <row r="2268" spans="1:3" ht="16.05" customHeight="1">
      <c r="A2268" s="15">
        <v>19</v>
      </c>
      <c r="B2268" s="15">
        <v>36909244</v>
      </c>
      <c r="C2268" s="66">
        <v>36909393</v>
      </c>
    </row>
    <row r="2269" spans="1:3" ht="16.05" customHeight="1">
      <c r="A2269" s="15">
        <v>19</v>
      </c>
      <c r="B2269" s="15">
        <v>36909408</v>
      </c>
      <c r="C2269" s="66">
        <v>36909585</v>
      </c>
    </row>
    <row r="2270" spans="1:3" ht="16.05" customHeight="1">
      <c r="A2270" s="15">
        <v>19</v>
      </c>
      <c r="B2270" s="15">
        <v>37095953</v>
      </c>
      <c r="C2270" s="66">
        <v>37096178</v>
      </c>
    </row>
    <row r="2271" spans="1:3" ht="16.05" customHeight="1">
      <c r="A2271" s="15">
        <v>19</v>
      </c>
      <c r="B2271" s="15">
        <v>37288124</v>
      </c>
      <c r="C2271" s="66">
        <v>37288297</v>
      </c>
    </row>
    <row r="2272" spans="1:3" ht="16.05" customHeight="1">
      <c r="A2272" s="15">
        <v>19</v>
      </c>
      <c r="B2272" s="15">
        <v>37288310</v>
      </c>
      <c r="C2272" s="66">
        <v>37288456</v>
      </c>
    </row>
    <row r="2273" spans="1:3" ht="16.05" customHeight="1">
      <c r="A2273" s="15">
        <v>19</v>
      </c>
      <c r="B2273" s="15">
        <v>37464264</v>
      </c>
      <c r="C2273" s="66">
        <v>37464786</v>
      </c>
    </row>
    <row r="2274" spans="1:3" ht="16.05" customHeight="1">
      <c r="A2274" s="15">
        <v>19</v>
      </c>
      <c r="B2274" s="15">
        <v>3786072</v>
      </c>
      <c r="C2274" s="66">
        <v>3786258</v>
      </c>
    </row>
    <row r="2275" spans="1:3" ht="16.05" customHeight="1">
      <c r="A2275" s="15">
        <v>19</v>
      </c>
      <c r="B2275" s="15">
        <v>3786265</v>
      </c>
      <c r="C2275" s="66">
        <v>3786416</v>
      </c>
    </row>
    <row r="2276" spans="1:3" ht="16.05" customHeight="1">
      <c r="A2276" s="15">
        <v>19</v>
      </c>
      <c r="B2276" s="15">
        <v>37959682</v>
      </c>
      <c r="C2276" s="66">
        <v>37959787</v>
      </c>
    </row>
    <row r="2277" spans="1:3" ht="16.05" customHeight="1">
      <c r="A2277" s="15">
        <v>19</v>
      </c>
      <c r="B2277" s="15">
        <v>3801917</v>
      </c>
      <c r="C2277" s="66">
        <v>3802021</v>
      </c>
    </row>
    <row r="2278" spans="1:3" ht="16.05" customHeight="1">
      <c r="A2278" s="15">
        <v>19</v>
      </c>
      <c r="B2278" s="15">
        <v>38146959</v>
      </c>
      <c r="C2278" s="66">
        <v>38147256</v>
      </c>
    </row>
    <row r="2279" spans="1:3" ht="16.05" customHeight="1">
      <c r="A2279" s="15">
        <v>19</v>
      </c>
      <c r="B2279" s="15">
        <v>38182789</v>
      </c>
      <c r="C2279" s="66">
        <v>38183061</v>
      </c>
    </row>
    <row r="2280" spans="1:3" ht="16.05" customHeight="1">
      <c r="A2280" s="15">
        <v>19</v>
      </c>
      <c r="B2280" s="15">
        <v>38183075</v>
      </c>
      <c r="C2280" s="66">
        <v>38183466</v>
      </c>
    </row>
    <row r="2281" spans="1:3" ht="16.05" customHeight="1">
      <c r="A2281" s="15">
        <v>19</v>
      </c>
      <c r="B2281" s="15">
        <v>38308091</v>
      </c>
      <c r="C2281" s="66">
        <v>38308228</v>
      </c>
    </row>
    <row r="2282" spans="1:3" ht="16.05" customHeight="1">
      <c r="A2282" s="15">
        <v>19</v>
      </c>
      <c r="B2282" s="15">
        <v>38308258</v>
      </c>
      <c r="C2282" s="66">
        <v>38308427</v>
      </c>
    </row>
    <row r="2283" spans="1:3" ht="16.05" customHeight="1">
      <c r="A2283" s="15">
        <v>19</v>
      </c>
      <c r="B2283" s="15">
        <v>3869002</v>
      </c>
      <c r="C2283" s="66">
        <v>3869268</v>
      </c>
    </row>
    <row r="2284" spans="1:3" ht="16.05" customHeight="1">
      <c r="A2284" s="15">
        <v>19</v>
      </c>
      <c r="B2284" s="15">
        <v>3881162</v>
      </c>
      <c r="C2284" s="66">
        <v>3881312</v>
      </c>
    </row>
    <row r="2285" spans="1:3" ht="16.05" customHeight="1">
      <c r="A2285" s="15">
        <v>19</v>
      </c>
      <c r="B2285" s="15">
        <v>38879738</v>
      </c>
      <c r="C2285" s="66">
        <v>38879867</v>
      </c>
    </row>
    <row r="2286" spans="1:3" ht="16.05" customHeight="1">
      <c r="A2286" s="15">
        <v>19</v>
      </c>
      <c r="B2286" s="15">
        <v>40005552</v>
      </c>
      <c r="C2286" s="66">
        <v>40005617</v>
      </c>
    </row>
    <row r="2287" spans="1:3" ht="16.05" customHeight="1">
      <c r="A2287" s="15">
        <v>19</v>
      </c>
      <c r="B2287" s="15">
        <v>44203441</v>
      </c>
      <c r="C2287" s="66">
        <v>44203516</v>
      </c>
    </row>
    <row r="2288" spans="1:3" ht="16.05" customHeight="1">
      <c r="A2288" s="15">
        <v>19</v>
      </c>
      <c r="B2288" s="15">
        <v>44203554</v>
      </c>
      <c r="C2288" s="66">
        <v>44204031</v>
      </c>
    </row>
    <row r="2289" spans="1:3" ht="16.05" customHeight="1">
      <c r="A2289" s="15">
        <v>19</v>
      </c>
      <c r="B2289" s="15">
        <v>44324727</v>
      </c>
      <c r="C2289" s="66">
        <v>44324909</v>
      </c>
    </row>
    <row r="2290" spans="1:3" ht="16.05" customHeight="1">
      <c r="A2290" s="15">
        <v>19</v>
      </c>
      <c r="B2290" s="15">
        <v>44324934</v>
      </c>
      <c r="C2290" s="66">
        <v>44325060</v>
      </c>
    </row>
    <row r="2291" spans="1:3" ht="16.05" customHeight="1">
      <c r="A2291" s="15">
        <v>19</v>
      </c>
      <c r="B2291" s="15">
        <v>44405813</v>
      </c>
      <c r="C2291" s="66">
        <v>44405912</v>
      </c>
    </row>
    <row r="2292" spans="1:3" ht="16.05" customHeight="1">
      <c r="A2292" s="15">
        <v>19</v>
      </c>
      <c r="B2292" s="15">
        <v>44905653</v>
      </c>
      <c r="C2292" s="66">
        <v>44905852</v>
      </c>
    </row>
    <row r="2293" spans="1:3" ht="16.05" customHeight="1">
      <c r="A2293" s="15">
        <v>19</v>
      </c>
      <c r="B2293" s="15">
        <v>44952412</v>
      </c>
      <c r="C2293" s="66">
        <v>44952578</v>
      </c>
    </row>
    <row r="2294" spans="1:3" ht="16.05" customHeight="1">
      <c r="A2294" s="15">
        <v>19</v>
      </c>
      <c r="B2294" s="15">
        <v>44952599</v>
      </c>
      <c r="C2294" s="66">
        <v>44952814</v>
      </c>
    </row>
    <row r="2295" spans="1:3" ht="16.05" customHeight="1">
      <c r="A2295" s="15">
        <v>19</v>
      </c>
      <c r="B2295" s="15">
        <v>48918007</v>
      </c>
      <c r="C2295" s="66">
        <v>48918040</v>
      </c>
    </row>
    <row r="2296" spans="1:3" ht="16.05" customHeight="1">
      <c r="A2296" s="15">
        <v>19</v>
      </c>
      <c r="B2296" s="15">
        <v>48918111</v>
      </c>
      <c r="C2296" s="66">
        <v>48918289</v>
      </c>
    </row>
    <row r="2297" spans="1:3" ht="16.05" customHeight="1">
      <c r="A2297" s="15">
        <v>19</v>
      </c>
      <c r="B2297" s="15">
        <v>49645999</v>
      </c>
      <c r="C2297" s="66">
        <v>49646059</v>
      </c>
    </row>
    <row r="2298" spans="1:3" ht="16.05" customHeight="1">
      <c r="A2298" s="15">
        <v>19</v>
      </c>
      <c r="B2298" s="15">
        <v>50194657</v>
      </c>
      <c r="C2298" s="66">
        <v>50194831</v>
      </c>
    </row>
    <row r="2299" spans="1:3" ht="16.05" customHeight="1">
      <c r="A2299" s="15">
        <v>19</v>
      </c>
      <c r="B2299" s="15">
        <v>50833660</v>
      </c>
      <c r="C2299" s="66">
        <v>50833908</v>
      </c>
    </row>
    <row r="2300" spans="1:3" ht="16.05" customHeight="1">
      <c r="A2300" s="15">
        <v>19</v>
      </c>
      <c r="B2300" s="15">
        <v>51321184</v>
      </c>
      <c r="C2300" s="66">
        <v>51321401</v>
      </c>
    </row>
    <row r="2301" spans="1:3" ht="16.05" customHeight="1">
      <c r="A2301" s="15">
        <v>19</v>
      </c>
      <c r="B2301" s="15">
        <v>51830815</v>
      </c>
      <c r="C2301" s="66">
        <v>51830961</v>
      </c>
    </row>
    <row r="2302" spans="1:3" ht="16.05" customHeight="1">
      <c r="A2302" s="15">
        <v>19</v>
      </c>
      <c r="B2302" s="15">
        <v>51830955</v>
      </c>
      <c r="C2302" s="66">
        <v>51831127</v>
      </c>
    </row>
    <row r="2303" spans="1:3" ht="16.05" customHeight="1">
      <c r="A2303" s="15">
        <v>19</v>
      </c>
      <c r="B2303" s="15">
        <v>52390997</v>
      </c>
      <c r="C2303" s="66">
        <v>52391135</v>
      </c>
    </row>
    <row r="2304" spans="1:3" ht="16.05" customHeight="1">
      <c r="A2304" s="15">
        <v>19</v>
      </c>
      <c r="B2304" s="15">
        <v>52391141</v>
      </c>
      <c r="C2304" s="66">
        <v>52391310</v>
      </c>
    </row>
    <row r="2305" spans="1:3" ht="16.05" customHeight="1">
      <c r="A2305" s="15">
        <v>19</v>
      </c>
      <c r="B2305" s="15">
        <v>52873014</v>
      </c>
      <c r="C2305" s="66">
        <v>52873297</v>
      </c>
    </row>
    <row r="2306" spans="1:3" ht="16.05" customHeight="1">
      <c r="A2306" s="15">
        <v>19</v>
      </c>
      <c r="B2306" s="15">
        <v>52873458</v>
      </c>
      <c r="C2306" s="66">
        <v>52873630</v>
      </c>
    </row>
    <row r="2307" spans="1:3" ht="16.05" customHeight="1">
      <c r="A2307" s="15">
        <v>19</v>
      </c>
      <c r="B2307" s="15">
        <v>53635941</v>
      </c>
      <c r="C2307" s="66">
        <v>53636023</v>
      </c>
    </row>
    <row r="2308" spans="1:3" ht="16.05" customHeight="1">
      <c r="A2308" s="15">
        <v>19</v>
      </c>
      <c r="B2308" s="15">
        <v>54024472</v>
      </c>
      <c r="C2308" s="66">
        <v>54024565</v>
      </c>
    </row>
    <row r="2309" spans="1:3" ht="16.05" customHeight="1">
      <c r="A2309" s="15">
        <v>19</v>
      </c>
      <c r="B2309" s="15">
        <v>54483360</v>
      </c>
      <c r="C2309" s="66">
        <v>54483577</v>
      </c>
    </row>
    <row r="2310" spans="1:3" ht="16.05" customHeight="1">
      <c r="A2310" s="15">
        <v>19</v>
      </c>
      <c r="B2310" s="15">
        <v>54485345</v>
      </c>
      <c r="C2310" s="66">
        <v>54485900</v>
      </c>
    </row>
    <row r="2311" spans="1:3" ht="16.05" customHeight="1">
      <c r="A2311" s="15">
        <v>19</v>
      </c>
      <c r="B2311" s="15">
        <v>54668723</v>
      </c>
      <c r="C2311" s="66">
        <v>54668779</v>
      </c>
    </row>
    <row r="2312" spans="1:3" ht="16.05" customHeight="1">
      <c r="A2312" s="15">
        <v>19</v>
      </c>
      <c r="B2312" s="15">
        <v>55866407</v>
      </c>
      <c r="C2312" s="66">
        <v>55866577</v>
      </c>
    </row>
    <row r="2313" spans="1:3" ht="16.05" customHeight="1">
      <c r="A2313" s="15">
        <v>19</v>
      </c>
      <c r="B2313" s="15">
        <v>56160109</v>
      </c>
      <c r="C2313" s="66">
        <v>56160224</v>
      </c>
    </row>
    <row r="2314" spans="1:3" ht="16.05" customHeight="1">
      <c r="A2314" s="15">
        <v>19</v>
      </c>
      <c r="B2314" s="15">
        <v>56879427</v>
      </c>
      <c r="C2314" s="66">
        <v>56879815</v>
      </c>
    </row>
    <row r="2315" spans="1:3" ht="16.05" customHeight="1">
      <c r="A2315" s="15">
        <v>19</v>
      </c>
      <c r="B2315" s="15">
        <v>56904834</v>
      </c>
      <c r="C2315" s="66">
        <v>56905108</v>
      </c>
    </row>
    <row r="2316" spans="1:3" ht="16.05" customHeight="1">
      <c r="A2316" s="15">
        <v>19</v>
      </c>
      <c r="B2316" s="15">
        <v>56905147</v>
      </c>
      <c r="C2316" s="66">
        <v>56905195</v>
      </c>
    </row>
    <row r="2317" spans="1:3" ht="16.05" customHeight="1">
      <c r="A2317" s="15">
        <v>19</v>
      </c>
      <c r="B2317" s="15">
        <v>57018823</v>
      </c>
      <c r="C2317" s="66">
        <v>57019449</v>
      </c>
    </row>
    <row r="2318" spans="1:3" ht="16.05" customHeight="1">
      <c r="A2318" s="15">
        <v>19</v>
      </c>
      <c r="B2318" s="15">
        <v>57049634</v>
      </c>
      <c r="C2318" s="66">
        <v>57049822</v>
      </c>
    </row>
    <row r="2319" spans="1:3" ht="16.05" customHeight="1">
      <c r="A2319" s="15">
        <v>19</v>
      </c>
      <c r="B2319" s="15">
        <v>57049852</v>
      </c>
      <c r="C2319" s="66">
        <v>57049948</v>
      </c>
    </row>
    <row r="2320" spans="1:3" ht="16.05" customHeight="1">
      <c r="A2320" s="15">
        <v>19</v>
      </c>
      <c r="B2320" s="15">
        <v>57683717</v>
      </c>
      <c r="C2320" s="66">
        <v>57683891</v>
      </c>
    </row>
    <row r="2321" spans="1:3" ht="16.05" customHeight="1">
      <c r="A2321" s="15">
        <v>19</v>
      </c>
      <c r="B2321" s="15">
        <v>57989230</v>
      </c>
      <c r="C2321" s="66">
        <v>57989288</v>
      </c>
    </row>
    <row r="2322" spans="1:3" ht="16.05" customHeight="1">
      <c r="A2322" s="15">
        <v>19</v>
      </c>
      <c r="B2322" s="15">
        <v>58038472</v>
      </c>
      <c r="C2322" s="66">
        <v>58038591</v>
      </c>
    </row>
    <row r="2323" spans="1:3" ht="16.05" customHeight="1">
      <c r="A2323" s="15">
        <v>19</v>
      </c>
      <c r="B2323" s="15">
        <v>58095305</v>
      </c>
      <c r="C2323" s="66">
        <v>58095430</v>
      </c>
    </row>
    <row r="2324" spans="1:3" ht="16.05" customHeight="1">
      <c r="A2324" s="15">
        <v>19</v>
      </c>
      <c r="B2324" s="15">
        <v>58095440</v>
      </c>
      <c r="C2324" s="66">
        <v>58095621</v>
      </c>
    </row>
    <row r="2325" spans="1:3" ht="16.05" customHeight="1">
      <c r="A2325" s="15">
        <v>19</v>
      </c>
      <c r="B2325" s="15">
        <v>58126120</v>
      </c>
      <c r="C2325" s="66">
        <v>58126227</v>
      </c>
    </row>
    <row r="2326" spans="1:3" ht="16.05" customHeight="1">
      <c r="A2326" s="15">
        <v>19</v>
      </c>
      <c r="B2326" s="15">
        <v>58399814</v>
      </c>
      <c r="C2326" s="66">
        <v>58399871</v>
      </c>
    </row>
    <row r="2327" spans="1:3" ht="16.05" customHeight="1">
      <c r="A2327" s="15">
        <v>19</v>
      </c>
      <c r="B2327" s="15">
        <v>58399941</v>
      </c>
      <c r="C2327" s="66">
        <v>58400101</v>
      </c>
    </row>
    <row r="2328" spans="1:3" ht="16.05" customHeight="1">
      <c r="A2328" s="15">
        <v>19</v>
      </c>
      <c r="B2328" s="15">
        <v>58629894</v>
      </c>
      <c r="C2328" s="66">
        <v>58630096</v>
      </c>
    </row>
    <row r="2329" spans="1:3" ht="16.05" customHeight="1">
      <c r="A2329" s="15">
        <v>19</v>
      </c>
      <c r="B2329" s="15">
        <v>58661661</v>
      </c>
      <c r="C2329" s="66">
        <v>58661892</v>
      </c>
    </row>
    <row r="2330" spans="1:3" ht="16.05" customHeight="1">
      <c r="A2330" s="15">
        <v>19</v>
      </c>
      <c r="B2330" s="15">
        <v>58661905</v>
      </c>
      <c r="C2330" s="66">
        <v>58662086</v>
      </c>
    </row>
    <row r="2331" spans="1:3" ht="16.05" customHeight="1">
      <c r="A2331" s="15">
        <v>19</v>
      </c>
      <c r="B2331" s="15">
        <v>58662113</v>
      </c>
      <c r="C2331" s="66">
        <v>58662200</v>
      </c>
    </row>
    <row r="2332" spans="1:3" ht="16.05" customHeight="1">
      <c r="A2332" s="15">
        <v>19</v>
      </c>
      <c r="B2332" s="15">
        <v>58662198</v>
      </c>
      <c r="C2332" s="66">
        <v>58662336</v>
      </c>
    </row>
    <row r="2333" spans="1:3" ht="16.05" customHeight="1">
      <c r="A2333" s="15">
        <v>19</v>
      </c>
      <c r="B2333" s="15">
        <v>58951282</v>
      </c>
      <c r="C2333" s="66">
        <v>58951356</v>
      </c>
    </row>
    <row r="2334" spans="1:3" ht="16.05" customHeight="1">
      <c r="A2334" s="15">
        <v>19</v>
      </c>
      <c r="B2334" s="15">
        <v>6463915</v>
      </c>
      <c r="C2334" s="66">
        <v>6463955</v>
      </c>
    </row>
    <row r="2335" spans="1:3" ht="16.05" customHeight="1">
      <c r="A2335" s="15">
        <v>19</v>
      </c>
      <c r="B2335" s="15">
        <v>7794895</v>
      </c>
      <c r="C2335" s="66">
        <v>7795111</v>
      </c>
    </row>
    <row r="2336" spans="1:3" ht="16.05" customHeight="1">
      <c r="A2336" s="15">
        <v>19</v>
      </c>
      <c r="B2336" s="15">
        <v>8399744</v>
      </c>
      <c r="C2336" s="66">
        <v>8399985</v>
      </c>
    </row>
    <row r="2337" spans="1:3" ht="16.05" customHeight="1">
      <c r="A2337" s="15">
        <v>20</v>
      </c>
      <c r="B2337" s="15">
        <v>10198230</v>
      </c>
      <c r="C2337" s="66">
        <v>10198397</v>
      </c>
    </row>
    <row r="2338" spans="1:3" ht="16.05" customHeight="1">
      <c r="A2338" s="15">
        <v>20</v>
      </c>
      <c r="B2338" s="15">
        <v>10198414</v>
      </c>
      <c r="C2338" s="66">
        <v>10198566</v>
      </c>
    </row>
    <row r="2339" spans="1:3" ht="16.05" customHeight="1">
      <c r="A2339" s="15">
        <v>20</v>
      </c>
      <c r="B2339" s="15">
        <v>1784325</v>
      </c>
      <c r="C2339" s="66">
        <v>1784443</v>
      </c>
    </row>
    <row r="2340" spans="1:3" ht="16.05" customHeight="1">
      <c r="A2340" s="15">
        <v>20</v>
      </c>
      <c r="B2340" s="15">
        <v>20347449</v>
      </c>
      <c r="C2340" s="66">
        <v>20347599</v>
      </c>
    </row>
    <row r="2341" spans="1:3" ht="16.05" customHeight="1">
      <c r="A2341" s="15">
        <v>20</v>
      </c>
      <c r="B2341" s="15">
        <v>20347628</v>
      </c>
      <c r="C2341" s="66">
        <v>20347766</v>
      </c>
    </row>
    <row r="2342" spans="1:3" ht="16.05" customHeight="1">
      <c r="A2342" s="15">
        <v>20</v>
      </c>
      <c r="B2342" s="15">
        <v>20349004</v>
      </c>
      <c r="C2342" s="66">
        <v>20349181</v>
      </c>
    </row>
    <row r="2343" spans="1:3" ht="16.05" customHeight="1">
      <c r="A2343" s="15">
        <v>20</v>
      </c>
      <c r="B2343" s="15">
        <v>20349179</v>
      </c>
      <c r="C2343" s="66">
        <v>20349343</v>
      </c>
    </row>
    <row r="2344" spans="1:3" ht="16.05" customHeight="1">
      <c r="A2344" s="15">
        <v>20</v>
      </c>
      <c r="B2344" s="15">
        <v>20350476</v>
      </c>
      <c r="C2344" s="66">
        <v>20350610</v>
      </c>
    </row>
    <row r="2345" spans="1:3" ht="16.05" customHeight="1">
      <c r="A2345" s="15">
        <v>20</v>
      </c>
      <c r="B2345" s="15">
        <v>21081583</v>
      </c>
      <c r="C2345" s="66">
        <v>21081757</v>
      </c>
    </row>
    <row r="2346" spans="1:3" ht="16.05" customHeight="1">
      <c r="A2346" s="15">
        <v>20</v>
      </c>
      <c r="B2346" s="15">
        <v>21081804</v>
      </c>
      <c r="C2346" s="66">
        <v>21081969</v>
      </c>
    </row>
    <row r="2347" spans="1:3" ht="16.05" customHeight="1">
      <c r="A2347" s="15">
        <v>20</v>
      </c>
      <c r="B2347" s="15">
        <v>21081987</v>
      </c>
      <c r="C2347" s="66">
        <v>21082076</v>
      </c>
    </row>
    <row r="2348" spans="1:3" ht="16.05" customHeight="1">
      <c r="A2348" s="15">
        <v>20</v>
      </c>
      <c r="B2348" s="15">
        <v>21082100</v>
      </c>
      <c r="C2348" s="66">
        <v>21082351</v>
      </c>
    </row>
    <row r="2349" spans="1:3" ht="16.05" customHeight="1">
      <c r="A2349" s="15">
        <v>20</v>
      </c>
      <c r="B2349" s="15">
        <v>21082372</v>
      </c>
      <c r="C2349" s="66">
        <v>21082442</v>
      </c>
    </row>
    <row r="2350" spans="1:3" ht="16.05" customHeight="1">
      <c r="A2350" s="15">
        <v>20</v>
      </c>
      <c r="B2350" s="15">
        <v>21086164</v>
      </c>
      <c r="C2350" s="66">
        <v>21086264</v>
      </c>
    </row>
    <row r="2351" spans="1:3" ht="16.05" customHeight="1">
      <c r="A2351" s="15">
        <v>20</v>
      </c>
      <c r="B2351" s="15">
        <v>21377880</v>
      </c>
      <c r="C2351" s="66">
        <v>21378233</v>
      </c>
    </row>
    <row r="2352" spans="1:3" ht="16.05" customHeight="1">
      <c r="A2352" s="15">
        <v>20</v>
      </c>
      <c r="B2352" s="15">
        <v>21378239</v>
      </c>
      <c r="C2352" s="66">
        <v>21378365</v>
      </c>
    </row>
    <row r="2353" spans="1:3" ht="16.05" customHeight="1">
      <c r="A2353" s="15">
        <v>20</v>
      </c>
      <c r="B2353" s="15">
        <v>21490629</v>
      </c>
      <c r="C2353" s="66">
        <v>21490715</v>
      </c>
    </row>
    <row r="2354" spans="1:3" ht="16.05" customHeight="1">
      <c r="A2354" s="15">
        <v>20</v>
      </c>
      <c r="B2354" s="15">
        <v>21492744</v>
      </c>
      <c r="C2354" s="66">
        <v>21492879</v>
      </c>
    </row>
    <row r="2355" spans="1:3" ht="16.05" customHeight="1">
      <c r="A2355" s="15">
        <v>20</v>
      </c>
      <c r="B2355" s="15">
        <v>21492874</v>
      </c>
      <c r="C2355" s="66">
        <v>21493003</v>
      </c>
    </row>
    <row r="2356" spans="1:3" ht="16.05" customHeight="1">
      <c r="A2356" s="15">
        <v>20</v>
      </c>
      <c r="B2356" s="15">
        <v>21493002</v>
      </c>
      <c r="C2356" s="66">
        <v>21493252</v>
      </c>
    </row>
    <row r="2357" spans="1:3" ht="16.05" customHeight="1">
      <c r="A2357" s="15">
        <v>20</v>
      </c>
      <c r="B2357" s="15">
        <v>21495967</v>
      </c>
      <c r="C2357" s="66">
        <v>21496030</v>
      </c>
    </row>
    <row r="2358" spans="1:3" ht="16.05" customHeight="1">
      <c r="A2358" s="15">
        <v>20</v>
      </c>
      <c r="B2358" s="15">
        <v>21496048</v>
      </c>
      <c r="C2358" s="66">
        <v>21496090</v>
      </c>
    </row>
    <row r="2359" spans="1:3" ht="16.05" customHeight="1">
      <c r="A2359" s="15">
        <v>20</v>
      </c>
      <c r="B2359" s="15">
        <v>21496124</v>
      </c>
      <c r="C2359" s="66">
        <v>21496286</v>
      </c>
    </row>
    <row r="2360" spans="1:3" ht="16.05" customHeight="1">
      <c r="A2360" s="15">
        <v>20</v>
      </c>
      <c r="B2360" s="15">
        <v>21496342</v>
      </c>
      <c r="C2360" s="66">
        <v>21496659</v>
      </c>
    </row>
    <row r="2361" spans="1:3" ht="16.05" customHeight="1">
      <c r="A2361" s="15">
        <v>20</v>
      </c>
      <c r="B2361" s="15">
        <v>21501538</v>
      </c>
      <c r="C2361" s="66">
        <v>21501669</v>
      </c>
    </row>
    <row r="2362" spans="1:3" ht="16.05" customHeight="1">
      <c r="A2362" s="15">
        <v>20</v>
      </c>
      <c r="B2362" s="15">
        <v>21501686</v>
      </c>
      <c r="C2362" s="66">
        <v>21501716</v>
      </c>
    </row>
    <row r="2363" spans="1:3" ht="16.05" customHeight="1">
      <c r="A2363" s="15">
        <v>20</v>
      </c>
      <c r="B2363" s="15">
        <v>21501734</v>
      </c>
      <c r="C2363" s="66">
        <v>21501862</v>
      </c>
    </row>
    <row r="2364" spans="1:3" ht="16.05" customHeight="1">
      <c r="A2364" s="15">
        <v>20</v>
      </c>
      <c r="B2364" s="15">
        <v>21502996</v>
      </c>
      <c r="C2364" s="66">
        <v>21503193</v>
      </c>
    </row>
    <row r="2365" spans="1:3" ht="16.05" customHeight="1">
      <c r="A2365" s="15">
        <v>20</v>
      </c>
      <c r="B2365" s="15">
        <v>21503204</v>
      </c>
      <c r="C2365" s="66">
        <v>21503326</v>
      </c>
    </row>
    <row r="2366" spans="1:3" ht="16.05" customHeight="1">
      <c r="A2366" s="15">
        <v>20</v>
      </c>
      <c r="B2366" s="15">
        <v>21503701</v>
      </c>
      <c r="C2366" s="66">
        <v>21503996</v>
      </c>
    </row>
    <row r="2367" spans="1:3" ht="16.05" customHeight="1">
      <c r="A2367" s="15">
        <v>20</v>
      </c>
      <c r="B2367" s="15">
        <v>21686195</v>
      </c>
      <c r="C2367" s="66">
        <v>21686464</v>
      </c>
    </row>
    <row r="2368" spans="1:3" ht="16.05" customHeight="1">
      <c r="A2368" s="15">
        <v>20</v>
      </c>
      <c r="B2368" s="15">
        <v>2187594</v>
      </c>
      <c r="C2368" s="66">
        <v>2187660</v>
      </c>
    </row>
    <row r="2369" spans="1:3" ht="16.05" customHeight="1">
      <c r="A2369" s="15">
        <v>20</v>
      </c>
      <c r="B2369" s="15">
        <v>24451079</v>
      </c>
      <c r="C2369" s="66">
        <v>24451190</v>
      </c>
    </row>
    <row r="2370" spans="1:3" ht="16.05" customHeight="1">
      <c r="A2370" s="15">
        <v>20</v>
      </c>
      <c r="B2370" s="15">
        <v>24451754</v>
      </c>
      <c r="C2370" s="66">
        <v>24451914</v>
      </c>
    </row>
    <row r="2371" spans="1:3" ht="16.05" customHeight="1">
      <c r="A2371" s="15">
        <v>20</v>
      </c>
      <c r="B2371" s="15">
        <v>25062282</v>
      </c>
      <c r="C2371" s="66">
        <v>25062390</v>
      </c>
    </row>
    <row r="2372" spans="1:3" ht="16.05" customHeight="1">
      <c r="A2372" s="15">
        <v>20</v>
      </c>
      <c r="B2372" s="15">
        <v>25062385</v>
      </c>
      <c r="C2372" s="66">
        <v>25062502</v>
      </c>
    </row>
    <row r="2373" spans="1:3" ht="16.05" customHeight="1">
      <c r="A2373" s="15">
        <v>20</v>
      </c>
      <c r="B2373" s="15">
        <v>25062504</v>
      </c>
      <c r="C2373" s="66">
        <v>25062615</v>
      </c>
    </row>
    <row r="2374" spans="1:3" ht="16.05" customHeight="1">
      <c r="A2374" s="15">
        <v>20</v>
      </c>
      <c r="B2374" s="15">
        <v>25062604</v>
      </c>
      <c r="C2374" s="66">
        <v>25062732</v>
      </c>
    </row>
    <row r="2375" spans="1:3" ht="16.05" customHeight="1">
      <c r="A2375" s="15">
        <v>20</v>
      </c>
      <c r="B2375" s="15">
        <v>25062747</v>
      </c>
      <c r="C2375" s="66">
        <v>25062933</v>
      </c>
    </row>
    <row r="2376" spans="1:3" ht="16.05" customHeight="1">
      <c r="A2376" s="15">
        <v>20</v>
      </c>
      <c r="B2376" s="15">
        <v>25065051</v>
      </c>
      <c r="C2376" s="66">
        <v>25065379</v>
      </c>
    </row>
    <row r="2377" spans="1:3" ht="16.05" customHeight="1">
      <c r="A2377" s="15">
        <v>20</v>
      </c>
      <c r="B2377" s="15">
        <v>25065349</v>
      </c>
      <c r="C2377" s="66">
        <v>25065530</v>
      </c>
    </row>
    <row r="2378" spans="1:3" ht="16.05" customHeight="1">
      <c r="A2378" s="15">
        <v>20</v>
      </c>
      <c r="B2378" s="15">
        <v>2780627</v>
      </c>
      <c r="C2378" s="66">
        <v>2780638</v>
      </c>
    </row>
    <row r="2379" spans="1:3" ht="16.05" customHeight="1">
      <c r="A2379" s="15">
        <v>20</v>
      </c>
      <c r="B2379" s="15">
        <v>2780675</v>
      </c>
      <c r="C2379" s="66">
        <v>2780842</v>
      </c>
    </row>
    <row r="2380" spans="1:3" ht="16.05" customHeight="1">
      <c r="A2380" s="15">
        <v>20</v>
      </c>
      <c r="B2380" s="15">
        <v>2780948</v>
      </c>
      <c r="C2380" s="66">
        <v>2781563</v>
      </c>
    </row>
    <row r="2381" spans="1:3" ht="16.05" customHeight="1">
      <c r="A2381" s="15">
        <v>20</v>
      </c>
      <c r="B2381" s="15">
        <v>3052520</v>
      </c>
      <c r="C2381" s="66">
        <v>3052653</v>
      </c>
    </row>
    <row r="2382" spans="1:3" ht="16.05" customHeight="1">
      <c r="A2382" s="15">
        <v>20</v>
      </c>
      <c r="B2382" s="15">
        <v>3052646</v>
      </c>
      <c r="C2382" s="66">
        <v>3052856</v>
      </c>
    </row>
    <row r="2383" spans="1:3" ht="16.05" customHeight="1">
      <c r="A2383" s="15">
        <v>20</v>
      </c>
      <c r="B2383" s="15">
        <v>30582724</v>
      </c>
      <c r="C2383" s="66">
        <v>30582735</v>
      </c>
    </row>
    <row r="2384" spans="1:3" ht="16.05" customHeight="1">
      <c r="A2384" s="15">
        <v>20</v>
      </c>
      <c r="B2384" s="15">
        <v>30582761</v>
      </c>
      <c r="C2384" s="66">
        <v>30583012</v>
      </c>
    </row>
    <row r="2385" spans="1:3" ht="16.05" customHeight="1">
      <c r="A2385" s="15">
        <v>20</v>
      </c>
      <c r="B2385" s="15">
        <v>33298184</v>
      </c>
      <c r="C2385" s="66">
        <v>33298215</v>
      </c>
    </row>
    <row r="2386" spans="1:3" ht="16.05" customHeight="1">
      <c r="A2386" s="15">
        <v>20</v>
      </c>
      <c r="B2386" s="15">
        <v>37355818</v>
      </c>
      <c r="C2386" s="66">
        <v>37355971</v>
      </c>
    </row>
    <row r="2387" spans="1:3" ht="16.05" customHeight="1">
      <c r="A2387" s="15">
        <v>20</v>
      </c>
      <c r="B2387" s="15">
        <v>37356039</v>
      </c>
      <c r="C2387" s="66">
        <v>37356139</v>
      </c>
    </row>
    <row r="2388" spans="1:3" ht="16.05" customHeight="1">
      <c r="A2388" s="15">
        <v>20</v>
      </c>
      <c r="B2388" s="15">
        <v>37434123</v>
      </c>
      <c r="C2388" s="66">
        <v>37434164</v>
      </c>
    </row>
    <row r="2389" spans="1:3" ht="16.05" customHeight="1">
      <c r="A2389" s="15">
        <v>20</v>
      </c>
      <c r="B2389" s="15">
        <v>39995479</v>
      </c>
      <c r="C2389" s="66">
        <v>39995771</v>
      </c>
    </row>
    <row r="2390" spans="1:3" ht="16.05" customHeight="1">
      <c r="A2390" s="15">
        <v>20</v>
      </c>
      <c r="B2390" s="15">
        <v>39995777</v>
      </c>
      <c r="C2390" s="66">
        <v>39995815</v>
      </c>
    </row>
    <row r="2391" spans="1:3" ht="16.05" customHeight="1">
      <c r="A2391" s="15">
        <v>20</v>
      </c>
      <c r="B2391" s="15">
        <v>40321397</v>
      </c>
      <c r="C2391" s="66">
        <v>40321418</v>
      </c>
    </row>
    <row r="2392" spans="1:3" ht="16.05" customHeight="1">
      <c r="A2392" s="15">
        <v>20</v>
      </c>
      <c r="B2392" s="15">
        <v>44452643</v>
      </c>
      <c r="C2392" s="66">
        <v>44452974</v>
      </c>
    </row>
    <row r="2393" spans="1:3" ht="16.05" customHeight="1">
      <c r="A2393" s="15">
        <v>20</v>
      </c>
      <c r="B2393" s="15">
        <v>44518932</v>
      </c>
      <c r="C2393" s="66">
        <v>44519099</v>
      </c>
    </row>
    <row r="2394" spans="1:3" ht="16.05" customHeight="1">
      <c r="A2394" s="15">
        <v>20</v>
      </c>
      <c r="B2394" s="15">
        <v>47444068</v>
      </c>
      <c r="C2394" s="66">
        <v>47444255</v>
      </c>
    </row>
    <row r="2395" spans="1:3" ht="16.05" customHeight="1">
      <c r="A2395" s="15">
        <v>20</v>
      </c>
      <c r="B2395" s="15">
        <v>47444250</v>
      </c>
      <c r="C2395" s="66">
        <v>47444415</v>
      </c>
    </row>
    <row r="2396" spans="1:3" ht="16.05" customHeight="1">
      <c r="A2396" s="15">
        <v>20</v>
      </c>
      <c r="B2396" s="15">
        <v>47444677</v>
      </c>
      <c r="C2396" s="66">
        <v>47445153</v>
      </c>
    </row>
    <row r="2397" spans="1:3" ht="16.05" customHeight="1">
      <c r="A2397" s="15">
        <v>20</v>
      </c>
      <c r="B2397" s="15">
        <v>47934835</v>
      </c>
      <c r="C2397" s="66">
        <v>47934917</v>
      </c>
    </row>
    <row r="2398" spans="1:3" ht="16.05" customHeight="1">
      <c r="A2398" s="15">
        <v>20</v>
      </c>
      <c r="B2398" s="15">
        <v>47934910</v>
      </c>
      <c r="C2398" s="66">
        <v>47935054</v>
      </c>
    </row>
    <row r="2399" spans="1:3" ht="16.05" customHeight="1">
      <c r="A2399" s="15">
        <v>20</v>
      </c>
      <c r="B2399" s="15">
        <v>47935054</v>
      </c>
      <c r="C2399" s="66">
        <v>47935162</v>
      </c>
    </row>
    <row r="2400" spans="1:3" ht="16.05" customHeight="1">
      <c r="A2400" s="15">
        <v>20</v>
      </c>
      <c r="B2400" s="15">
        <v>49639974</v>
      </c>
      <c r="C2400" s="66">
        <v>49640149</v>
      </c>
    </row>
    <row r="2401" spans="1:3" ht="16.05" customHeight="1">
      <c r="A2401" s="15">
        <v>20</v>
      </c>
      <c r="B2401" s="15">
        <v>50721761</v>
      </c>
      <c r="C2401" s="66">
        <v>50721807</v>
      </c>
    </row>
    <row r="2402" spans="1:3" ht="16.05" customHeight="1">
      <c r="A2402" s="15">
        <v>20</v>
      </c>
      <c r="B2402" s="15">
        <v>51589725</v>
      </c>
      <c r="C2402" s="66">
        <v>51589843</v>
      </c>
    </row>
    <row r="2403" spans="1:3" ht="16.05" customHeight="1">
      <c r="A2403" s="15">
        <v>20</v>
      </c>
      <c r="B2403" s="15">
        <v>52276781</v>
      </c>
      <c r="C2403" s="66">
        <v>52277051</v>
      </c>
    </row>
    <row r="2404" spans="1:3" ht="16.05" customHeight="1">
      <c r="A2404" s="15">
        <v>20</v>
      </c>
      <c r="B2404" s="15">
        <v>52277045</v>
      </c>
      <c r="C2404" s="66">
        <v>52277056</v>
      </c>
    </row>
    <row r="2405" spans="1:3" ht="16.05" customHeight="1">
      <c r="A2405" s="15">
        <v>20</v>
      </c>
      <c r="B2405" s="15">
        <v>54919487</v>
      </c>
      <c r="C2405" s="66">
        <v>54919498</v>
      </c>
    </row>
    <row r="2406" spans="1:3" ht="16.05" customHeight="1">
      <c r="A2406" s="15">
        <v>20</v>
      </c>
      <c r="B2406" s="15">
        <v>55500518</v>
      </c>
      <c r="C2406" s="66">
        <v>55500638</v>
      </c>
    </row>
    <row r="2407" spans="1:3" ht="16.05" customHeight="1">
      <c r="A2407" s="15">
        <v>20</v>
      </c>
      <c r="B2407" s="15">
        <v>55500653</v>
      </c>
      <c r="C2407" s="66">
        <v>55500826</v>
      </c>
    </row>
    <row r="2408" spans="1:3" ht="16.05" customHeight="1">
      <c r="A2408" s="15">
        <v>20</v>
      </c>
      <c r="B2408" s="15">
        <v>56803278</v>
      </c>
      <c r="C2408" s="66">
        <v>56803529</v>
      </c>
    </row>
    <row r="2409" spans="1:3" ht="16.05" customHeight="1">
      <c r="A2409" s="15">
        <v>20</v>
      </c>
      <c r="B2409" s="15">
        <v>57875313</v>
      </c>
      <c r="C2409" s="66">
        <v>57875673</v>
      </c>
    </row>
    <row r="2410" spans="1:3" ht="16.05" customHeight="1">
      <c r="A2410" s="15">
        <v>20</v>
      </c>
      <c r="B2410" s="15">
        <v>58179970</v>
      </c>
      <c r="C2410" s="66">
        <v>58180171</v>
      </c>
    </row>
    <row r="2411" spans="1:3" ht="16.05" customHeight="1">
      <c r="A2411" s="15">
        <v>20</v>
      </c>
      <c r="B2411" s="15">
        <v>58180070</v>
      </c>
      <c r="C2411" s="66">
        <v>58180180</v>
      </c>
    </row>
    <row r="2412" spans="1:3" ht="16.05" customHeight="1">
      <c r="A2412" s="15">
        <v>20</v>
      </c>
      <c r="B2412" s="15">
        <v>58180187</v>
      </c>
      <c r="C2412" s="66">
        <v>58180410</v>
      </c>
    </row>
    <row r="2413" spans="1:3" ht="16.05" customHeight="1">
      <c r="A2413" s="15">
        <v>20</v>
      </c>
      <c r="B2413" s="15">
        <v>5891653</v>
      </c>
      <c r="C2413" s="66">
        <v>5891664</v>
      </c>
    </row>
    <row r="2414" spans="1:3" ht="16.05" customHeight="1">
      <c r="A2414" s="15">
        <v>20</v>
      </c>
      <c r="B2414" s="15">
        <v>61051418</v>
      </c>
      <c r="C2414" s="66">
        <v>61051600</v>
      </c>
    </row>
    <row r="2415" spans="1:3" ht="16.05" customHeight="1">
      <c r="A2415" s="15">
        <v>20</v>
      </c>
      <c r="B2415" s="15">
        <v>61560260</v>
      </c>
      <c r="C2415" s="66">
        <v>61560344</v>
      </c>
    </row>
    <row r="2416" spans="1:3" ht="16.05" customHeight="1">
      <c r="A2416" s="15">
        <v>20</v>
      </c>
      <c r="B2416" s="15">
        <v>61560368</v>
      </c>
      <c r="C2416" s="66">
        <v>61560794</v>
      </c>
    </row>
    <row r="2417" spans="1:3" ht="16.05" customHeight="1">
      <c r="A2417" s="15">
        <v>20</v>
      </c>
      <c r="B2417" s="15">
        <v>61636167</v>
      </c>
      <c r="C2417" s="66">
        <v>61636236</v>
      </c>
    </row>
    <row r="2418" spans="1:3" ht="16.05" customHeight="1">
      <c r="A2418" s="15">
        <v>20</v>
      </c>
      <c r="B2418" s="15">
        <v>61636248</v>
      </c>
      <c r="C2418" s="66">
        <v>61636342</v>
      </c>
    </row>
    <row r="2419" spans="1:3" ht="16.05" customHeight="1">
      <c r="A2419" s="15">
        <v>20</v>
      </c>
      <c r="B2419" s="15">
        <v>61637979</v>
      </c>
      <c r="C2419" s="66">
        <v>61638122</v>
      </c>
    </row>
    <row r="2420" spans="1:3" ht="16.05" customHeight="1">
      <c r="A2420" s="15">
        <v>20</v>
      </c>
      <c r="B2420" s="15">
        <v>61638138</v>
      </c>
      <c r="C2420" s="66">
        <v>61638315</v>
      </c>
    </row>
    <row r="2421" spans="1:3" ht="16.05" customHeight="1">
      <c r="A2421" s="15">
        <v>20</v>
      </c>
      <c r="B2421" s="15">
        <v>61638250</v>
      </c>
      <c r="C2421" s="66">
        <v>61638439</v>
      </c>
    </row>
    <row r="2422" spans="1:3" ht="16.05" customHeight="1">
      <c r="A2422" s="15">
        <v>20</v>
      </c>
      <c r="B2422" s="15">
        <v>61809399</v>
      </c>
      <c r="C2422" s="66">
        <v>61809565</v>
      </c>
    </row>
    <row r="2423" spans="1:3" ht="16.05" customHeight="1">
      <c r="A2423" s="15">
        <v>20</v>
      </c>
      <c r="B2423" s="15">
        <v>61809573</v>
      </c>
      <c r="C2423" s="66">
        <v>61809730</v>
      </c>
    </row>
    <row r="2424" spans="1:3" ht="16.05" customHeight="1">
      <c r="A2424" s="15">
        <v>20</v>
      </c>
      <c r="B2424" s="15">
        <v>61809652</v>
      </c>
      <c r="C2424" s="66">
        <v>61809883</v>
      </c>
    </row>
    <row r="2425" spans="1:3" ht="16.05" customHeight="1">
      <c r="A2425" s="15">
        <v>20</v>
      </c>
      <c r="B2425" s="15">
        <v>61809906</v>
      </c>
      <c r="C2425" s="66">
        <v>61810098</v>
      </c>
    </row>
    <row r="2426" spans="1:3" ht="16.05" customHeight="1">
      <c r="A2426" s="15">
        <v>20</v>
      </c>
      <c r="B2426" s="15">
        <v>62103256</v>
      </c>
      <c r="C2426" s="66">
        <v>62103390</v>
      </c>
    </row>
    <row r="2427" spans="1:3" ht="16.05" customHeight="1">
      <c r="A2427" s="15">
        <v>20</v>
      </c>
      <c r="B2427" s="15">
        <v>62103588</v>
      </c>
      <c r="C2427" s="66">
        <v>62103801</v>
      </c>
    </row>
    <row r="2428" spans="1:3" ht="16.05" customHeight="1">
      <c r="A2428" s="15">
        <v>20</v>
      </c>
      <c r="B2428" s="15">
        <v>62150901</v>
      </c>
      <c r="C2428" s="66">
        <v>62150952</v>
      </c>
    </row>
    <row r="2429" spans="1:3" ht="16.05" customHeight="1">
      <c r="A2429" s="15">
        <v>20</v>
      </c>
      <c r="B2429" s="15">
        <v>62150952</v>
      </c>
      <c r="C2429" s="66">
        <v>62151297</v>
      </c>
    </row>
    <row r="2430" spans="1:3" ht="16.05" customHeight="1">
      <c r="A2430" s="15">
        <v>20</v>
      </c>
      <c r="B2430" s="15">
        <v>644141</v>
      </c>
      <c r="C2430" s="66">
        <v>644289</v>
      </c>
    </row>
    <row r="2431" spans="1:3" ht="16.05" customHeight="1">
      <c r="A2431" s="15">
        <v>20</v>
      </c>
      <c r="B2431" s="15">
        <v>644285</v>
      </c>
      <c r="C2431" s="66">
        <v>644476</v>
      </c>
    </row>
    <row r="2432" spans="1:3" ht="16.05" customHeight="1">
      <c r="A2432" s="15">
        <v>20</v>
      </c>
      <c r="B2432" s="15">
        <v>9496467</v>
      </c>
      <c r="C2432" s="66">
        <v>9496562</v>
      </c>
    </row>
    <row r="2433" spans="1:3" ht="16.05" customHeight="1">
      <c r="A2433" s="15">
        <v>20</v>
      </c>
      <c r="B2433" s="15">
        <v>9496571</v>
      </c>
      <c r="C2433" s="66">
        <v>9496792</v>
      </c>
    </row>
    <row r="2434" spans="1:3" ht="16.05" customHeight="1">
      <c r="A2434" s="15">
        <v>20</v>
      </c>
      <c r="B2434" s="15">
        <v>983179</v>
      </c>
      <c r="C2434" s="66">
        <v>983257</v>
      </c>
    </row>
    <row r="2435" spans="1:3" ht="16.05" customHeight="1">
      <c r="A2435" s="15">
        <v>20</v>
      </c>
      <c r="B2435" s="15">
        <v>983338</v>
      </c>
      <c r="C2435" s="66">
        <v>983428</v>
      </c>
    </row>
    <row r="2436" spans="1:3" ht="16.05" customHeight="1">
      <c r="A2436" s="15">
        <v>21</v>
      </c>
      <c r="B2436" s="15">
        <v>19617796</v>
      </c>
      <c r="C2436" s="66">
        <v>19618029</v>
      </c>
    </row>
    <row r="2437" spans="1:3" ht="16.05" customHeight="1">
      <c r="A2437" s="15">
        <v>21</v>
      </c>
      <c r="B2437" s="15">
        <v>27012510</v>
      </c>
      <c r="C2437" s="66">
        <v>27012528</v>
      </c>
    </row>
    <row r="2438" spans="1:3" ht="16.05" customHeight="1">
      <c r="A2438" s="15">
        <v>21</v>
      </c>
      <c r="B2438" s="15">
        <v>27012873</v>
      </c>
      <c r="C2438" s="66">
        <v>27012990</v>
      </c>
    </row>
    <row r="2439" spans="1:3" ht="16.05" customHeight="1">
      <c r="A2439" s="15">
        <v>21</v>
      </c>
      <c r="B2439" s="15">
        <v>28338665</v>
      </c>
      <c r="C2439" s="66">
        <v>28338936</v>
      </c>
    </row>
    <row r="2440" spans="1:3" ht="16.05" customHeight="1">
      <c r="A2440" s="15">
        <v>21</v>
      </c>
      <c r="B2440" s="15">
        <v>34444174</v>
      </c>
      <c r="C2440" s="66">
        <v>34444262</v>
      </c>
    </row>
    <row r="2441" spans="1:3" ht="16.05" customHeight="1">
      <c r="A2441" s="15">
        <v>21</v>
      </c>
      <c r="B2441" s="15">
        <v>38070617</v>
      </c>
      <c r="C2441" s="66">
        <v>38070812</v>
      </c>
    </row>
    <row r="2442" spans="1:3" ht="16.05" customHeight="1">
      <c r="A2442" s="15">
        <v>21</v>
      </c>
      <c r="B2442" s="15">
        <v>38076600</v>
      </c>
      <c r="C2442" s="66">
        <v>38076877</v>
      </c>
    </row>
    <row r="2443" spans="1:3" ht="16.05" customHeight="1">
      <c r="A2443" s="15">
        <v>21</v>
      </c>
      <c r="B2443" s="15">
        <v>38079605</v>
      </c>
      <c r="C2443" s="66">
        <v>38079787</v>
      </c>
    </row>
    <row r="2444" spans="1:3" ht="16.05" customHeight="1">
      <c r="A2444" s="15">
        <v>21</v>
      </c>
      <c r="B2444" s="15">
        <v>38081076</v>
      </c>
      <c r="C2444" s="66">
        <v>38081362</v>
      </c>
    </row>
    <row r="2445" spans="1:3" ht="16.05" customHeight="1">
      <c r="A2445" s="15">
        <v>21</v>
      </c>
      <c r="B2445" s="15">
        <v>44495059</v>
      </c>
      <c r="C2445" s="66">
        <v>44495147</v>
      </c>
    </row>
    <row r="2446" spans="1:3" ht="16.05" customHeight="1">
      <c r="A2446" s="15">
        <v>22</v>
      </c>
      <c r="B2446" s="15">
        <v>19138046</v>
      </c>
      <c r="C2446" s="66">
        <v>19138215</v>
      </c>
    </row>
    <row r="2447" spans="1:3" ht="16.05" customHeight="1">
      <c r="A2447" s="15">
        <v>22</v>
      </c>
      <c r="B2447" s="15">
        <v>19138226</v>
      </c>
      <c r="C2447" s="66">
        <v>19138373</v>
      </c>
    </row>
    <row r="2448" spans="1:3" ht="16.05" customHeight="1">
      <c r="A2448" s="15">
        <v>22</v>
      </c>
      <c r="B2448" s="15">
        <v>19753383</v>
      </c>
      <c r="C2448" s="66">
        <v>19753625</v>
      </c>
    </row>
    <row r="2449" spans="1:3" ht="16.05" customHeight="1">
      <c r="A2449" s="15">
        <v>22</v>
      </c>
      <c r="B2449" s="15">
        <v>22862757</v>
      </c>
      <c r="C2449" s="66">
        <v>22862974</v>
      </c>
    </row>
    <row r="2450" spans="1:3" ht="16.05" customHeight="1">
      <c r="A2450" s="15">
        <v>22</v>
      </c>
      <c r="B2450" s="15">
        <v>25678490</v>
      </c>
      <c r="C2450" s="66">
        <v>25678786</v>
      </c>
    </row>
    <row r="2451" spans="1:3" ht="16.05" customHeight="1">
      <c r="A2451" s="15">
        <v>22</v>
      </c>
      <c r="B2451" s="15">
        <v>28838482</v>
      </c>
      <c r="C2451" s="66">
        <v>28838637</v>
      </c>
    </row>
    <row r="2452" spans="1:3" ht="16.05" customHeight="1">
      <c r="A2452" s="15">
        <v>22</v>
      </c>
      <c r="B2452" s="15">
        <v>28838707</v>
      </c>
      <c r="C2452" s="66">
        <v>28838787</v>
      </c>
    </row>
    <row r="2453" spans="1:3" ht="16.05" customHeight="1">
      <c r="A2453" s="15">
        <v>22</v>
      </c>
      <c r="B2453" s="15">
        <v>28838964</v>
      </c>
      <c r="C2453" s="66">
        <v>28839179</v>
      </c>
    </row>
    <row r="2454" spans="1:3" ht="16.05" customHeight="1">
      <c r="A2454" s="15">
        <v>22</v>
      </c>
      <c r="B2454" s="15">
        <v>28839244</v>
      </c>
      <c r="C2454" s="66">
        <v>28839398</v>
      </c>
    </row>
    <row r="2455" spans="1:3" ht="16.05" customHeight="1">
      <c r="A2455" s="15">
        <v>22</v>
      </c>
      <c r="B2455" s="15">
        <v>28839662</v>
      </c>
      <c r="C2455" s="66">
        <v>28839820</v>
      </c>
    </row>
    <row r="2456" spans="1:3" ht="16.05" customHeight="1">
      <c r="A2456" s="15">
        <v>22</v>
      </c>
      <c r="B2456" s="15">
        <v>29426431</v>
      </c>
      <c r="C2456" s="66">
        <v>29426453</v>
      </c>
    </row>
    <row r="2457" spans="1:3" ht="16.05" customHeight="1">
      <c r="A2457" s="15">
        <v>22</v>
      </c>
      <c r="B2457" s="15">
        <v>29426506</v>
      </c>
      <c r="C2457" s="66">
        <v>29426819</v>
      </c>
    </row>
    <row r="2458" spans="1:3" ht="16.05" customHeight="1">
      <c r="A2458" s="15">
        <v>22</v>
      </c>
      <c r="B2458" s="15">
        <v>29601477</v>
      </c>
      <c r="C2458" s="66">
        <v>29601593</v>
      </c>
    </row>
    <row r="2459" spans="1:3" ht="16.05" customHeight="1">
      <c r="A2459" s="15">
        <v>22</v>
      </c>
      <c r="B2459" s="15">
        <v>29875842</v>
      </c>
      <c r="C2459" s="66">
        <v>29875997</v>
      </c>
    </row>
    <row r="2460" spans="1:3" ht="16.05" customHeight="1">
      <c r="A2460" s="15">
        <v>22</v>
      </c>
      <c r="B2460" s="15">
        <v>29875994</v>
      </c>
      <c r="C2460" s="66">
        <v>29876242</v>
      </c>
    </row>
    <row r="2461" spans="1:3" ht="16.05" customHeight="1">
      <c r="A2461" s="15">
        <v>22</v>
      </c>
      <c r="B2461" s="15">
        <v>29876258</v>
      </c>
      <c r="C2461" s="66">
        <v>29876377</v>
      </c>
    </row>
    <row r="2462" spans="1:3" ht="16.05" customHeight="1">
      <c r="A2462" s="15">
        <v>22</v>
      </c>
      <c r="B2462" s="15">
        <v>36806025</v>
      </c>
      <c r="C2462" s="66">
        <v>36806115</v>
      </c>
    </row>
    <row r="2463" spans="1:3" ht="16.05" customHeight="1">
      <c r="A2463" s="15">
        <v>22</v>
      </c>
      <c r="B2463" s="15">
        <v>38478368</v>
      </c>
      <c r="C2463" s="66">
        <v>38478624</v>
      </c>
    </row>
    <row r="2464" spans="1:3" ht="16.05" customHeight="1">
      <c r="A2464" s="15">
        <v>22</v>
      </c>
      <c r="B2464" s="15">
        <v>39954014</v>
      </c>
      <c r="C2464" s="66">
        <v>39954124</v>
      </c>
    </row>
    <row r="2465" spans="1:3" ht="16.05" customHeight="1">
      <c r="A2465" s="15">
        <v>22</v>
      </c>
      <c r="B2465" s="15">
        <v>42095342</v>
      </c>
      <c r="C2465" s="66">
        <v>42095542</v>
      </c>
    </row>
    <row r="2466" spans="1:3" ht="16.05" customHeight="1">
      <c r="A2466" s="15">
        <v>22</v>
      </c>
      <c r="B2466" s="15">
        <v>42679329</v>
      </c>
      <c r="C2466" s="66">
        <v>42679450</v>
      </c>
    </row>
    <row r="2467" spans="1:3" ht="16.05" customHeight="1">
      <c r="A2467" s="15">
        <v>22</v>
      </c>
      <c r="B2467" s="15">
        <v>42679459</v>
      </c>
      <c r="C2467" s="66">
        <v>42679751</v>
      </c>
    </row>
    <row r="2468" spans="1:3" ht="16.05" customHeight="1">
      <c r="A2468" s="15">
        <v>22</v>
      </c>
      <c r="B2468" s="15">
        <v>45404680</v>
      </c>
      <c r="C2468" s="66">
        <v>45404997</v>
      </c>
    </row>
    <row r="2469" spans="1:3" ht="16.05" customHeight="1">
      <c r="A2469" s="15">
        <v>22</v>
      </c>
      <c r="B2469" s="15">
        <v>45404996</v>
      </c>
      <c r="C2469" s="66">
        <v>45405233</v>
      </c>
    </row>
    <row r="2470" spans="1:3" ht="16.05" customHeight="1">
      <c r="A2470" s="15">
        <v>22</v>
      </c>
      <c r="B2470" s="15">
        <v>46262751</v>
      </c>
      <c r="C2470" s="66">
        <v>46262886</v>
      </c>
    </row>
    <row r="2471" spans="1:3" ht="16.05" customHeight="1">
      <c r="A2471" s="15">
        <v>22</v>
      </c>
      <c r="B2471" s="15">
        <v>46262890</v>
      </c>
      <c r="C2471" s="66">
        <v>46262970</v>
      </c>
    </row>
    <row r="2472" spans="1:3" ht="16.05" customHeight="1">
      <c r="A2472" s="15">
        <v>22</v>
      </c>
      <c r="B2472" s="15">
        <v>46263003</v>
      </c>
      <c r="C2472" s="66">
        <v>46263191</v>
      </c>
    </row>
    <row r="2473" spans="1:3" ht="16.05" customHeight="1">
      <c r="A2473" s="15">
        <v>22</v>
      </c>
      <c r="B2473" s="15">
        <v>46263190</v>
      </c>
      <c r="C2473" s="66">
        <v>46263372</v>
      </c>
    </row>
    <row r="2474" spans="1:3" ht="16.05" customHeight="1">
      <c r="A2474" s="15">
        <v>22</v>
      </c>
      <c r="B2474" s="15">
        <v>46263705</v>
      </c>
      <c r="C2474" s="66">
        <v>46263836</v>
      </c>
    </row>
    <row r="2475" spans="1:3" ht="16.05" customHeight="1">
      <c r="A2475" s="15">
        <v>22</v>
      </c>
      <c r="B2475" s="15">
        <v>46658930</v>
      </c>
      <c r="C2475" s="66">
        <v>46659029</v>
      </c>
    </row>
    <row r="2476" spans="1:3" ht="16.05" customHeight="1">
      <c r="A2476" s="16">
        <v>22</v>
      </c>
      <c r="B2476" s="16">
        <v>48886064</v>
      </c>
      <c r="C2476" s="78">
        <v>48886214</v>
      </c>
    </row>
    <row r="2477" spans="1:3" ht="16.05" customHeight="1">
      <c r="A2477" s="47"/>
      <c r="B2477" s="47"/>
      <c r="C2477" s="47"/>
    </row>
    <row r="2478" spans="1:3" ht="16.05" customHeight="1">
      <c r="A2478" s="47"/>
      <c r="B2478" s="47"/>
      <c r="C2478" s="47"/>
    </row>
    <row r="2479" spans="1:3" ht="16.05" customHeight="1">
      <c r="A2479" s="47"/>
      <c r="B2479" s="47"/>
      <c r="C2479" s="47"/>
    </row>
    <row r="2480" spans="1:3" ht="16.05" customHeight="1">
      <c r="A2480" s="47"/>
      <c r="B2480" s="47"/>
      <c r="C2480" s="47"/>
    </row>
    <row r="2481" spans="1:3" ht="16.05" customHeight="1">
      <c r="A2481" s="47"/>
      <c r="B2481" s="47"/>
      <c r="C2481" s="47"/>
    </row>
    <row r="2482" spans="1:3" ht="16.05" customHeight="1">
      <c r="A2482" s="47"/>
      <c r="B2482" s="47"/>
      <c r="C2482" s="47"/>
    </row>
    <row r="2483" spans="1:3" ht="16.05" customHeight="1">
      <c r="A2483" s="47"/>
      <c r="B2483" s="47"/>
      <c r="C2483" s="47"/>
    </row>
    <row r="2484" spans="1:3" ht="16.05" customHeight="1">
      <c r="A2484" s="47"/>
      <c r="B2484" s="47"/>
      <c r="C2484" s="47"/>
    </row>
    <row r="2485" spans="1:3" ht="16.05" customHeight="1">
      <c r="A2485" s="47"/>
      <c r="B2485" s="47"/>
      <c r="C2485" s="47"/>
    </row>
    <row r="2486" spans="1:3" ht="16.05" customHeight="1">
      <c r="A2486" s="47"/>
      <c r="B2486" s="47"/>
      <c r="C2486" s="47"/>
    </row>
    <row r="2487" spans="1:3" ht="16.05" customHeight="1">
      <c r="A2487" s="47"/>
      <c r="B2487" s="47"/>
      <c r="C2487" s="47"/>
    </row>
  </sheetData>
  <mergeCells count="2">
    <mergeCell ref="A2:C2"/>
    <mergeCell ref="E2:G2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8E338-9C9B-4A63-A3AB-8DB7EFC04EEB}">
  <dimension ref="A1:I43"/>
  <sheetViews>
    <sheetView workbookViewId="0">
      <selection activeCell="G7" sqref="G7"/>
    </sheetView>
  </sheetViews>
  <sheetFormatPr defaultColWidth="10.77734375" defaultRowHeight="13.2"/>
  <cols>
    <col min="1" max="1" width="26.88671875" style="47" customWidth="1"/>
    <col min="2" max="9" width="13.21875" style="47" customWidth="1"/>
    <col min="10" max="14" width="13.21875" style="54" customWidth="1"/>
    <col min="15" max="16384" width="10.77734375" style="54"/>
  </cols>
  <sheetData>
    <row r="1" spans="1:8" ht="16.05" customHeight="1">
      <c r="A1" s="100" t="s">
        <v>2033</v>
      </c>
      <c r="B1" s="99"/>
      <c r="C1" s="99"/>
      <c r="D1" s="99"/>
      <c r="E1" s="99"/>
      <c r="F1" s="99"/>
      <c r="G1" s="99"/>
      <c r="H1" s="99"/>
    </row>
    <row r="2" spans="1:8" ht="16.05" customHeight="1">
      <c r="A2" s="22"/>
      <c r="B2" s="134" t="s">
        <v>411</v>
      </c>
      <c r="C2" s="135"/>
      <c r="D2" s="136" t="s">
        <v>412</v>
      </c>
      <c r="E2" s="137"/>
      <c r="G2" s="99"/>
      <c r="H2" s="99"/>
    </row>
    <row r="3" spans="1:8" ht="16.05" customHeight="1">
      <c r="A3" s="22"/>
      <c r="B3" s="121" t="s">
        <v>413</v>
      </c>
      <c r="C3" s="122" t="s">
        <v>414</v>
      </c>
      <c r="D3" s="121" t="s">
        <v>413</v>
      </c>
      <c r="E3" s="123" t="s">
        <v>414</v>
      </c>
    </row>
    <row r="4" spans="1:8" ht="16.05" customHeight="1">
      <c r="A4" s="124" t="s">
        <v>416</v>
      </c>
      <c r="B4" s="125" t="s">
        <v>417</v>
      </c>
      <c r="C4" s="138" t="s">
        <v>418</v>
      </c>
      <c r="D4" s="125" t="s">
        <v>419</v>
      </c>
      <c r="E4" s="66" t="s">
        <v>420</v>
      </c>
    </row>
    <row r="5" spans="1:8" ht="16.05" customHeight="1">
      <c r="A5" s="126" t="s">
        <v>421</v>
      </c>
      <c r="B5" s="125"/>
      <c r="C5" s="138"/>
      <c r="D5" s="125"/>
      <c r="E5" s="66"/>
    </row>
    <row r="6" spans="1:8" ht="16.05" customHeight="1">
      <c r="A6" s="99" t="s">
        <v>422</v>
      </c>
      <c r="B6" s="125" t="s">
        <v>423</v>
      </c>
      <c r="C6" s="138" t="s">
        <v>424</v>
      </c>
      <c r="D6" s="125" t="s">
        <v>425</v>
      </c>
      <c r="E6" s="66" t="s">
        <v>424</v>
      </c>
    </row>
    <row r="7" spans="1:8" ht="16.05" customHeight="1">
      <c r="A7" s="66" t="s">
        <v>426</v>
      </c>
      <c r="B7" s="125" t="s">
        <v>427</v>
      </c>
      <c r="C7" s="138" t="s">
        <v>428</v>
      </c>
      <c r="D7" s="125" t="s">
        <v>429</v>
      </c>
      <c r="E7" s="66" t="s">
        <v>430</v>
      </c>
    </row>
    <row r="8" spans="1:8" ht="16.05" customHeight="1">
      <c r="A8" s="66" t="s">
        <v>431</v>
      </c>
      <c r="B8" s="125" t="s">
        <v>432</v>
      </c>
      <c r="C8" s="138" t="s">
        <v>433</v>
      </c>
      <c r="D8" s="125" t="s">
        <v>434</v>
      </c>
      <c r="E8" s="66" t="s">
        <v>435</v>
      </c>
    </row>
    <row r="9" spans="1:8" ht="16.05" customHeight="1">
      <c r="A9" s="66" t="s">
        <v>436</v>
      </c>
      <c r="B9" s="125" t="s">
        <v>437</v>
      </c>
      <c r="C9" s="138" t="s">
        <v>438</v>
      </c>
      <c r="D9" s="125" t="s">
        <v>439</v>
      </c>
      <c r="E9" s="66" t="s">
        <v>440</v>
      </c>
    </row>
    <row r="10" spans="1:8" ht="16.05" customHeight="1">
      <c r="A10" s="126" t="s">
        <v>441</v>
      </c>
      <c r="B10" s="125"/>
      <c r="C10" s="138"/>
      <c r="D10" s="125"/>
      <c r="E10" s="66"/>
    </row>
    <row r="11" spans="1:8" ht="16.05" customHeight="1">
      <c r="A11" s="66" t="s">
        <v>442</v>
      </c>
      <c r="B11" s="125" t="s">
        <v>443</v>
      </c>
      <c r="C11" s="138" t="s">
        <v>444</v>
      </c>
      <c r="D11" s="125" t="s">
        <v>445</v>
      </c>
      <c r="E11" s="66" t="s">
        <v>446</v>
      </c>
    </row>
    <row r="12" spans="1:8" ht="16.05" customHeight="1">
      <c r="A12" s="66" t="s">
        <v>447</v>
      </c>
      <c r="B12" s="125" t="s">
        <v>448</v>
      </c>
      <c r="C12" s="138" t="s">
        <v>449</v>
      </c>
      <c r="D12" s="125" t="s">
        <v>450</v>
      </c>
      <c r="E12" s="66" t="s">
        <v>451</v>
      </c>
    </row>
    <row r="13" spans="1:8" ht="16.05" customHeight="1">
      <c r="A13" s="126" t="s">
        <v>452</v>
      </c>
      <c r="B13" s="125"/>
      <c r="C13" s="138"/>
      <c r="D13" s="125"/>
      <c r="E13" s="66"/>
    </row>
    <row r="14" spans="1:8" ht="16.05" customHeight="1">
      <c r="A14" s="66" t="s">
        <v>453</v>
      </c>
      <c r="B14" s="125" t="s">
        <v>454</v>
      </c>
      <c r="C14" s="138" t="s">
        <v>455</v>
      </c>
      <c r="D14" s="125" t="s">
        <v>456</v>
      </c>
      <c r="E14" s="66" t="s">
        <v>457</v>
      </c>
    </row>
    <row r="15" spans="1:8" ht="16.05" customHeight="1">
      <c r="A15" s="66" t="s">
        <v>458</v>
      </c>
      <c r="B15" s="125" t="s">
        <v>459</v>
      </c>
      <c r="C15" s="138" t="s">
        <v>460</v>
      </c>
      <c r="D15" s="125" t="s">
        <v>461</v>
      </c>
      <c r="E15" s="66" t="s">
        <v>462</v>
      </c>
    </row>
    <row r="16" spans="1:8" ht="16.05" customHeight="1">
      <c r="A16" s="66" t="s">
        <v>463</v>
      </c>
      <c r="B16" s="125" t="s">
        <v>464</v>
      </c>
      <c r="C16" s="138" t="s">
        <v>465</v>
      </c>
      <c r="D16" s="125" t="s">
        <v>466</v>
      </c>
      <c r="E16" s="66" t="s">
        <v>467</v>
      </c>
    </row>
    <row r="17" spans="1:5" ht="16.05" customHeight="1">
      <c r="A17" s="126" t="s">
        <v>468</v>
      </c>
      <c r="B17" s="125"/>
      <c r="C17" s="138"/>
      <c r="D17" s="125"/>
      <c r="E17" s="66"/>
    </row>
    <row r="18" spans="1:5" ht="16.05" customHeight="1">
      <c r="A18" s="66" t="s">
        <v>469</v>
      </c>
      <c r="B18" s="125"/>
      <c r="C18" s="138" t="s">
        <v>470</v>
      </c>
      <c r="D18" s="125"/>
      <c r="E18" s="66" t="s">
        <v>471</v>
      </c>
    </row>
    <row r="19" spans="1:5" ht="16.05" customHeight="1">
      <c r="A19" s="66" t="s">
        <v>472</v>
      </c>
      <c r="B19" s="125"/>
      <c r="C19" s="138">
        <v>0</v>
      </c>
      <c r="D19" s="125"/>
      <c r="E19" s="66" t="s">
        <v>473</v>
      </c>
    </row>
    <row r="20" spans="1:5" ht="16.05" customHeight="1">
      <c r="A20" s="66" t="s">
        <v>474</v>
      </c>
      <c r="B20" s="125" t="s">
        <v>475</v>
      </c>
      <c r="C20" s="138"/>
      <c r="D20" s="125" t="s">
        <v>476</v>
      </c>
      <c r="E20" s="66"/>
    </row>
    <row r="21" spans="1:5" ht="16.05" customHeight="1">
      <c r="A21" s="66" t="s">
        <v>477</v>
      </c>
      <c r="B21" s="32" t="s">
        <v>478</v>
      </c>
      <c r="C21" s="139"/>
      <c r="D21" s="32" t="s">
        <v>479</v>
      </c>
      <c r="E21" s="46"/>
    </row>
    <row r="22" spans="1:5" ht="16.05" customHeight="1">
      <c r="A22" s="66" t="s">
        <v>480</v>
      </c>
      <c r="B22" s="32" t="s">
        <v>481</v>
      </c>
      <c r="C22" s="139"/>
      <c r="D22" s="32" t="s">
        <v>482</v>
      </c>
      <c r="E22" s="46"/>
    </row>
    <row r="23" spans="1:5" ht="16.05" customHeight="1">
      <c r="A23" s="126" t="s">
        <v>483</v>
      </c>
      <c r="B23" s="32"/>
      <c r="C23" s="139"/>
      <c r="D23" s="32"/>
      <c r="E23" s="46"/>
    </row>
    <row r="24" spans="1:5" ht="16.05" customHeight="1">
      <c r="A24" s="66" t="s">
        <v>484</v>
      </c>
      <c r="B24" s="32" t="s">
        <v>485</v>
      </c>
      <c r="C24" s="139"/>
      <c r="D24" s="32" t="s">
        <v>486</v>
      </c>
      <c r="E24" s="46"/>
    </row>
    <row r="25" spans="1:5" ht="16.05" customHeight="1">
      <c r="A25" s="66" t="s">
        <v>487</v>
      </c>
      <c r="B25" s="32" t="s">
        <v>488</v>
      </c>
      <c r="C25" s="139"/>
      <c r="D25" s="32" t="s">
        <v>489</v>
      </c>
      <c r="E25" s="46"/>
    </row>
    <row r="26" spans="1:5" ht="16.05" customHeight="1">
      <c r="A26" s="66" t="s">
        <v>490</v>
      </c>
      <c r="B26" s="32" t="s">
        <v>491</v>
      </c>
      <c r="C26" s="139"/>
      <c r="D26" s="32" t="s">
        <v>492</v>
      </c>
      <c r="E26" s="46"/>
    </row>
    <row r="27" spans="1:5" ht="16.05" customHeight="1">
      <c r="A27" s="66" t="s">
        <v>493</v>
      </c>
      <c r="B27" s="32" t="s">
        <v>494</v>
      </c>
      <c r="C27" s="139"/>
      <c r="D27" s="32" t="s">
        <v>489</v>
      </c>
      <c r="E27" s="46"/>
    </row>
    <row r="28" spans="1:5" ht="16.05" customHeight="1">
      <c r="A28" s="126" t="s">
        <v>495</v>
      </c>
      <c r="B28" s="32"/>
      <c r="C28" s="139"/>
      <c r="D28" s="32"/>
      <c r="E28" s="46"/>
    </row>
    <row r="29" spans="1:5" ht="16.05" customHeight="1">
      <c r="A29" s="66" t="s">
        <v>496</v>
      </c>
      <c r="B29" s="32" t="s">
        <v>497</v>
      </c>
      <c r="C29" s="139"/>
      <c r="D29" s="32" t="s">
        <v>498</v>
      </c>
      <c r="E29" s="46"/>
    </row>
    <row r="30" spans="1:5" ht="16.05" customHeight="1">
      <c r="A30" s="66" t="s">
        <v>499</v>
      </c>
      <c r="B30" s="32" t="s">
        <v>500</v>
      </c>
      <c r="C30" s="139"/>
      <c r="D30" s="32" t="s">
        <v>501</v>
      </c>
      <c r="E30" s="46"/>
    </row>
    <row r="31" spans="1:5" ht="16.05" customHeight="1">
      <c r="A31" s="66" t="s">
        <v>502</v>
      </c>
      <c r="B31" s="32" t="s">
        <v>503</v>
      </c>
      <c r="C31" s="139"/>
      <c r="D31" s="32" t="s">
        <v>504</v>
      </c>
      <c r="E31" s="46"/>
    </row>
    <row r="32" spans="1:5" ht="16.05" customHeight="1">
      <c r="A32" s="66" t="s">
        <v>505</v>
      </c>
      <c r="B32" s="32" t="s">
        <v>488</v>
      </c>
      <c r="C32" s="139"/>
      <c r="D32" s="32" t="s">
        <v>506</v>
      </c>
      <c r="E32" s="46"/>
    </row>
    <row r="33" spans="1:5" ht="16.05" customHeight="1">
      <c r="A33" s="126" t="s">
        <v>507</v>
      </c>
      <c r="B33" s="32"/>
      <c r="C33" s="139"/>
      <c r="D33" s="32"/>
      <c r="E33" s="46"/>
    </row>
    <row r="34" spans="1:5" ht="16.05" customHeight="1">
      <c r="A34" s="66" t="s">
        <v>458</v>
      </c>
      <c r="B34" s="32" t="s">
        <v>508</v>
      </c>
      <c r="C34" s="139"/>
      <c r="D34" s="32" t="s">
        <v>509</v>
      </c>
      <c r="E34" s="46"/>
    </row>
    <row r="35" spans="1:5" ht="16.05" customHeight="1">
      <c r="A35" s="78" t="s">
        <v>453</v>
      </c>
      <c r="B35" s="36" t="s">
        <v>510</v>
      </c>
      <c r="C35" s="49"/>
      <c r="D35" s="36" t="s">
        <v>511</v>
      </c>
      <c r="E35" s="50"/>
    </row>
    <row r="36" spans="1:5" ht="16.05" customHeight="1"/>
    <row r="37" spans="1:5" ht="16.05" customHeight="1">
      <c r="A37" s="100" t="s">
        <v>2032</v>
      </c>
    </row>
    <row r="38" spans="1:5" ht="16.05" customHeight="1">
      <c r="A38" s="22"/>
      <c r="B38" s="198" t="s">
        <v>512</v>
      </c>
      <c r="C38" s="200"/>
      <c r="D38" s="199" t="s">
        <v>513</v>
      </c>
      <c r="E38" s="200"/>
    </row>
    <row r="39" spans="1:5" ht="16.05" customHeight="1">
      <c r="A39" s="127" t="s">
        <v>514</v>
      </c>
      <c r="B39" s="127" t="s">
        <v>515</v>
      </c>
      <c r="C39" s="122" t="s">
        <v>415</v>
      </c>
      <c r="D39" s="127" t="s">
        <v>515</v>
      </c>
      <c r="E39" s="123" t="s">
        <v>415</v>
      </c>
    </row>
    <row r="40" spans="1:5" ht="16.05" customHeight="1">
      <c r="A40" s="128" t="s">
        <v>516</v>
      </c>
      <c r="B40" s="86" t="s">
        <v>517</v>
      </c>
      <c r="C40" s="129">
        <v>3.0954390878685902E-3</v>
      </c>
      <c r="D40" s="86" t="s">
        <v>518</v>
      </c>
      <c r="E40" s="130">
        <v>2.3239597338861301E-2</v>
      </c>
    </row>
    <row r="41" spans="1:5" ht="16.05" customHeight="1">
      <c r="A41" s="128" t="s">
        <v>519</v>
      </c>
      <c r="B41" s="86" t="s">
        <v>520</v>
      </c>
      <c r="C41" s="129">
        <v>1.9403252006123801E-5</v>
      </c>
      <c r="D41" s="86" t="s">
        <v>521</v>
      </c>
      <c r="E41" s="130">
        <v>5.5954520625551103E-3</v>
      </c>
    </row>
    <row r="42" spans="1:5" ht="16.05" customHeight="1">
      <c r="A42" s="128" t="s">
        <v>522</v>
      </c>
      <c r="B42" s="86" t="s">
        <v>523</v>
      </c>
      <c r="C42" s="129">
        <v>1.5922011255972801E-3</v>
      </c>
      <c r="D42" s="86" t="s">
        <v>524</v>
      </c>
      <c r="E42" s="130">
        <v>0.90803974647814101</v>
      </c>
    </row>
    <row r="43" spans="1:5" ht="16.05" customHeight="1">
      <c r="A43" s="131" t="s">
        <v>525</v>
      </c>
      <c r="B43" s="87" t="s">
        <v>526</v>
      </c>
      <c r="C43" s="132">
        <v>3.3475002922398002E-2</v>
      </c>
      <c r="D43" s="87" t="s">
        <v>527</v>
      </c>
      <c r="E43" s="133">
        <v>0.82989159084047304</v>
      </c>
    </row>
  </sheetData>
  <mergeCells count="2">
    <mergeCell ref="B38:C38"/>
    <mergeCell ref="D38:E38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FA706-7EB0-499A-8AA5-7AFFA7A40E5C}">
  <dimension ref="A1:L574"/>
  <sheetViews>
    <sheetView topLeftCell="A304" workbookViewId="0">
      <selection activeCell="A312" sqref="A312"/>
    </sheetView>
  </sheetViews>
  <sheetFormatPr defaultColWidth="11.5546875" defaultRowHeight="13.2"/>
  <cols>
    <col min="1" max="10" width="11.5546875" style="47"/>
    <col min="11" max="11" width="11.5546875" style="99"/>
    <col min="12" max="16384" width="11.5546875" style="54"/>
  </cols>
  <sheetData>
    <row r="1" spans="1:11" ht="16.05" customHeight="1">
      <c r="A1" s="100" t="s">
        <v>2034</v>
      </c>
      <c r="B1" s="45"/>
      <c r="C1" s="45"/>
      <c r="D1" s="45"/>
      <c r="E1" s="45"/>
      <c r="F1" s="45"/>
      <c r="G1" s="45"/>
    </row>
    <row r="2" spans="1:11" s="141" customFormat="1" ht="25.95" customHeight="1">
      <c r="A2" s="26" t="s">
        <v>528</v>
      </c>
      <c r="B2" s="26" t="s">
        <v>529</v>
      </c>
      <c r="C2" s="26" t="s">
        <v>530</v>
      </c>
      <c r="D2" s="26" t="s">
        <v>531</v>
      </c>
      <c r="E2" s="26" t="s">
        <v>532</v>
      </c>
      <c r="F2" s="26" t="s">
        <v>533</v>
      </c>
      <c r="G2" s="26" t="s">
        <v>534</v>
      </c>
      <c r="H2" s="26" t="s">
        <v>535</v>
      </c>
      <c r="I2" s="26" t="s">
        <v>536</v>
      </c>
      <c r="J2" s="26" t="s">
        <v>537</v>
      </c>
      <c r="K2" s="27" t="s">
        <v>538</v>
      </c>
    </row>
    <row r="3" spans="1:11" ht="16.05" customHeight="1">
      <c r="A3" s="99" t="s">
        <v>539</v>
      </c>
      <c r="B3" s="45" t="s">
        <v>540</v>
      </c>
      <c r="C3" s="45" t="s">
        <v>541</v>
      </c>
      <c r="D3" s="45" t="s">
        <v>542</v>
      </c>
      <c r="E3" s="45" t="s">
        <v>543</v>
      </c>
      <c r="F3" s="45">
        <v>0.8</v>
      </c>
      <c r="G3" s="45" t="s">
        <v>544</v>
      </c>
      <c r="H3" s="45">
        <v>47</v>
      </c>
      <c r="I3" s="45" t="s">
        <v>545</v>
      </c>
      <c r="J3" s="142">
        <v>16</v>
      </c>
      <c r="K3" s="143">
        <v>1.6</v>
      </c>
    </row>
    <row r="4" spans="1:11" ht="16.05" customHeight="1">
      <c r="A4" s="99" t="s">
        <v>546</v>
      </c>
      <c r="B4" s="45" t="s">
        <v>540</v>
      </c>
      <c r="C4" s="45" t="s">
        <v>541</v>
      </c>
      <c r="D4" s="45" t="s">
        <v>542</v>
      </c>
      <c r="E4" s="45" t="s">
        <v>543</v>
      </c>
      <c r="F4" s="45">
        <v>1.6</v>
      </c>
      <c r="G4" s="45" t="s">
        <v>544</v>
      </c>
      <c r="H4" s="45">
        <v>40</v>
      </c>
      <c r="I4" s="45" t="s">
        <v>545</v>
      </c>
      <c r="J4" s="142">
        <v>12.4</v>
      </c>
      <c r="K4" s="144">
        <v>1.24</v>
      </c>
    </row>
    <row r="5" spans="1:11" ht="16.05" customHeight="1">
      <c r="A5" s="99" t="s">
        <v>547</v>
      </c>
      <c r="B5" s="45" t="s">
        <v>540</v>
      </c>
      <c r="C5" s="45" t="s">
        <v>541</v>
      </c>
      <c r="D5" s="45" t="s">
        <v>542</v>
      </c>
      <c r="E5" s="45" t="s">
        <v>543</v>
      </c>
      <c r="F5" s="45">
        <v>0.9</v>
      </c>
      <c r="G5" s="45" t="s">
        <v>544</v>
      </c>
      <c r="H5" s="45">
        <v>45</v>
      </c>
      <c r="I5" s="45" t="s">
        <v>548</v>
      </c>
      <c r="J5" s="142">
        <v>23</v>
      </c>
      <c r="K5" s="144">
        <v>2.2999999999999998</v>
      </c>
    </row>
    <row r="6" spans="1:11" ht="16.05" customHeight="1">
      <c r="A6" s="99" t="s">
        <v>549</v>
      </c>
      <c r="B6" s="45" t="s">
        <v>541</v>
      </c>
      <c r="C6" s="45" t="s">
        <v>541</v>
      </c>
      <c r="D6" s="45" t="s">
        <v>550</v>
      </c>
      <c r="E6" s="45" t="s">
        <v>543</v>
      </c>
      <c r="F6" s="45">
        <v>1</v>
      </c>
      <c r="G6" s="45" t="s">
        <v>544</v>
      </c>
      <c r="H6" s="45">
        <v>61</v>
      </c>
      <c r="I6" s="45" t="s">
        <v>548</v>
      </c>
      <c r="J6" s="142">
        <v>14.8</v>
      </c>
      <c r="K6" s="144">
        <v>1.48</v>
      </c>
    </row>
    <row r="7" spans="1:11" ht="16.05" customHeight="1">
      <c r="A7" s="99" t="s">
        <v>551</v>
      </c>
      <c r="B7" s="45" t="s">
        <v>541</v>
      </c>
      <c r="C7" s="45" t="s">
        <v>541</v>
      </c>
      <c r="D7" s="45" t="s">
        <v>550</v>
      </c>
      <c r="E7" s="45" t="s">
        <v>552</v>
      </c>
      <c r="F7" s="45">
        <v>2</v>
      </c>
      <c r="G7" s="45" t="s">
        <v>544</v>
      </c>
      <c r="H7" s="45">
        <v>60</v>
      </c>
      <c r="I7" s="45" t="s">
        <v>545</v>
      </c>
      <c r="J7" s="142">
        <v>12.9</v>
      </c>
      <c r="K7" s="144">
        <v>1.29</v>
      </c>
    </row>
    <row r="8" spans="1:11" ht="16.05" customHeight="1">
      <c r="A8" s="99" t="s">
        <v>553</v>
      </c>
      <c r="B8" s="45" t="s">
        <v>540</v>
      </c>
      <c r="C8" s="45" t="s">
        <v>541</v>
      </c>
      <c r="D8" s="45" t="s">
        <v>550</v>
      </c>
      <c r="E8" s="45" t="s">
        <v>543</v>
      </c>
      <c r="F8" s="45">
        <v>3</v>
      </c>
      <c r="G8" s="45" t="s">
        <v>544</v>
      </c>
      <c r="H8" s="45">
        <v>66</v>
      </c>
      <c r="I8" s="45" t="s">
        <v>548</v>
      </c>
      <c r="J8" s="142">
        <v>11.6</v>
      </c>
      <c r="K8" s="144">
        <v>1.1599999999999999</v>
      </c>
    </row>
    <row r="9" spans="1:11" ht="16.05" customHeight="1">
      <c r="A9" s="99" t="s">
        <v>554</v>
      </c>
      <c r="B9" s="45" t="s">
        <v>541</v>
      </c>
      <c r="C9" s="45" t="s">
        <v>541</v>
      </c>
      <c r="D9" s="45" t="s">
        <v>555</v>
      </c>
      <c r="E9" s="45" t="s">
        <v>552</v>
      </c>
      <c r="F9" s="45">
        <v>3</v>
      </c>
      <c r="G9" s="45" t="s">
        <v>544</v>
      </c>
      <c r="H9" s="45">
        <v>68</v>
      </c>
      <c r="I9" s="45" t="s">
        <v>545</v>
      </c>
      <c r="J9" s="142">
        <v>20.2</v>
      </c>
      <c r="K9" s="144">
        <v>2.02</v>
      </c>
    </row>
    <row r="10" spans="1:11" ht="16.05" customHeight="1">
      <c r="A10" s="99" t="s">
        <v>556</v>
      </c>
      <c r="B10" s="45" t="s">
        <v>541</v>
      </c>
      <c r="C10" s="45" t="s">
        <v>541</v>
      </c>
      <c r="D10" s="45" t="s">
        <v>542</v>
      </c>
      <c r="E10" s="45" t="s">
        <v>543</v>
      </c>
      <c r="F10" s="45">
        <v>2.2000000000000002</v>
      </c>
      <c r="G10" s="45" t="s">
        <v>544</v>
      </c>
      <c r="H10" s="45">
        <v>52</v>
      </c>
      <c r="I10" s="45" t="s">
        <v>548</v>
      </c>
      <c r="J10" s="142">
        <v>13</v>
      </c>
      <c r="K10" s="144">
        <v>1.3</v>
      </c>
    </row>
    <row r="11" spans="1:11" ht="16.05" customHeight="1">
      <c r="A11" s="99" t="s">
        <v>557</v>
      </c>
      <c r="B11" s="45" t="s">
        <v>541</v>
      </c>
      <c r="C11" s="45" t="s">
        <v>541</v>
      </c>
      <c r="D11" s="45" t="s">
        <v>542</v>
      </c>
      <c r="E11" s="45" t="s">
        <v>543</v>
      </c>
      <c r="F11" s="45">
        <v>3</v>
      </c>
      <c r="G11" s="45" t="s">
        <v>544</v>
      </c>
      <c r="H11" s="45">
        <v>42</v>
      </c>
      <c r="I11" s="45" t="s">
        <v>548</v>
      </c>
      <c r="J11" s="142">
        <v>17.5</v>
      </c>
      <c r="K11" s="144">
        <v>1.75</v>
      </c>
    </row>
    <row r="12" spans="1:11" ht="16.05" customHeight="1">
      <c r="A12" s="99" t="s">
        <v>558</v>
      </c>
      <c r="B12" s="45" t="s">
        <v>540</v>
      </c>
      <c r="C12" s="45" t="s">
        <v>541</v>
      </c>
      <c r="D12" s="45" t="s">
        <v>559</v>
      </c>
      <c r="E12" s="45" t="s">
        <v>552</v>
      </c>
      <c r="F12" s="45">
        <v>3.5</v>
      </c>
      <c r="G12" s="45" t="s">
        <v>544</v>
      </c>
      <c r="H12" s="45">
        <v>70</v>
      </c>
      <c r="I12" s="45" t="s">
        <v>545</v>
      </c>
      <c r="J12" s="142">
        <v>11.2</v>
      </c>
      <c r="K12" s="144">
        <v>1.1200000000000001</v>
      </c>
    </row>
    <row r="13" spans="1:11" ht="16.05" customHeight="1">
      <c r="A13" s="99" t="s">
        <v>560</v>
      </c>
      <c r="B13" s="45" t="s">
        <v>541</v>
      </c>
      <c r="C13" s="45" t="s">
        <v>541</v>
      </c>
      <c r="D13" s="45" t="s">
        <v>542</v>
      </c>
      <c r="E13" s="45" t="s">
        <v>543</v>
      </c>
      <c r="F13" s="45">
        <v>1</v>
      </c>
      <c r="G13" s="45" t="s">
        <v>544</v>
      </c>
      <c r="H13" s="45">
        <v>48</v>
      </c>
      <c r="I13" s="45" t="s">
        <v>545</v>
      </c>
      <c r="J13" s="142">
        <v>17.3</v>
      </c>
      <c r="K13" s="144">
        <v>1.73</v>
      </c>
    </row>
    <row r="14" spans="1:11" ht="16.05" customHeight="1">
      <c r="A14" s="99" t="s">
        <v>561</v>
      </c>
      <c r="B14" s="45" t="s">
        <v>540</v>
      </c>
      <c r="C14" s="45" t="s">
        <v>541</v>
      </c>
      <c r="D14" s="45" t="s">
        <v>542</v>
      </c>
      <c r="E14" s="45" t="s">
        <v>543</v>
      </c>
      <c r="F14" s="45">
        <v>0.6</v>
      </c>
      <c r="G14" s="45" t="s">
        <v>544</v>
      </c>
      <c r="H14" s="45">
        <v>46</v>
      </c>
      <c r="I14" s="45" t="s">
        <v>548</v>
      </c>
      <c r="J14" s="142">
        <v>15.5</v>
      </c>
      <c r="K14" s="144">
        <v>1.55</v>
      </c>
    </row>
    <row r="15" spans="1:11" ht="16.05" customHeight="1">
      <c r="A15" s="99" t="s">
        <v>562</v>
      </c>
      <c r="B15" s="45" t="s">
        <v>540</v>
      </c>
      <c r="C15" s="45" t="s">
        <v>541</v>
      </c>
      <c r="D15" s="45" t="s">
        <v>542</v>
      </c>
      <c r="E15" s="45" t="s">
        <v>543</v>
      </c>
      <c r="F15" s="45">
        <v>0.8</v>
      </c>
      <c r="G15" s="45" t="s">
        <v>544</v>
      </c>
      <c r="H15" s="45">
        <v>48</v>
      </c>
      <c r="I15" s="45" t="s">
        <v>548</v>
      </c>
      <c r="J15" s="142">
        <v>15.2</v>
      </c>
      <c r="K15" s="144">
        <v>1.52</v>
      </c>
    </row>
    <row r="16" spans="1:11" ht="16.05" customHeight="1">
      <c r="A16" s="99" t="s">
        <v>563</v>
      </c>
      <c r="B16" s="45" t="s">
        <v>541</v>
      </c>
      <c r="C16" s="45" t="s">
        <v>541</v>
      </c>
      <c r="D16" s="45" t="s">
        <v>542</v>
      </c>
      <c r="E16" s="45" t="s">
        <v>564</v>
      </c>
      <c r="F16" s="45">
        <v>3</v>
      </c>
      <c r="G16" s="45" t="s">
        <v>544</v>
      </c>
      <c r="H16" s="45">
        <v>52</v>
      </c>
      <c r="I16" s="45" t="s">
        <v>545</v>
      </c>
      <c r="J16" s="142">
        <v>14.9</v>
      </c>
      <c r="K16" s="144">
        <v>1.49</v>
      </c>
    </row>
    <row r="17" spans="1:11" ht="16.05" customHeight="1">
      <c r="A17" s="99" t="s">
        <v>565</v>
      </c>
      <c r="B17" s="45" t="s">
        <v>540</v>
      </c>
      <c r="C17" s="45" t="s">
        <v>541</v>
      </c>
      <c r="D17" s="45" t="s">
        <v>542</v>
      </c>
      <c r="E17" s="45" t="s">
        <v>543</v>
      </c>
      <c r="F17" s="45">
        <v>0.8</v>
      </c>
      <c r="G17" s="45" t="s">
        <v>544</v>
      </c>
      <c r="H17" s="45">
        <v>58</v>
      </c>
      <c r="I17" s="45" t="s">
        <v>548</v>
      </c>
      <c r="J17" s="142">
        <v>21.8</v>
      </c>
      <c r="K17" s="144">
        <v>2.1800000000000002</v>
      </c>
    </row>
    <row r="18" spans="1:11" ht="16.05" customHeight="1">
      <c r="A18" s="99" t="s">
        <v>566</v>
      </c>
      <c r="B18" s="45" t="s">
        <v>541</v>
      </c>
      <c r="C18" s="45" t="s">
        <v>541</v>
      </c>
      <c r="D18" s="45" t="s">
        <v>542</v>
      </c>
      <c r="E18" s="45" t="s">
        <v>564</v>
      </c>
      <c r="F18" s="45">
        <v>1.2</v>
      </c>
      <c r="G18" s="45" t="s">
        <v>544</v>
      </c>
      <c r="H18" s="45">
        <v>53</v>
      </c>
      <c r="I18" s="45" t="s">
        <v>548</v>
      </c>
      <c r="J18" s="142">
        <v>12.4</v>
      </c>
      <c r="K18" s="144">
        <v>1.24</v>
      </c>
    </row>
    <row r="19" spans="1:11" ht="16.05" customHeight="1">
      <c r="A19" s="99" t="s">
        <v>567</v>
      </c>
      <c r="B19" s="45" t="s">
        <v>541</v>
      </c>
      <c r="C19" s="45" t="s">
        <v>541</v>
      </c>
      <c r="D19" s="45" t="s">
        <v>542</v>
      </c>
      <c r="E19" s="45" t="s">
        <v>543</v>
      </c>
      <c r="F19" s="45">
        <v>0.4</v>
      </c>
      <c r="G19" s="45" t="s">
        <v>544</v>
      </c>
      <c r="H19" s="45">
        <v>52</v>
      </c>
      <c r="I19" s="45" t="s">
        <v>545</v>
      </c>
      <c r="J19" s="142">
        <v>12.6</v>
      </c>
      <c r="K19" s="144">
        <v>1.26</v>
      </c>
    </row>
    <row r="20" spans="1:11" ht="16.05" customHeight="1">
      <c r="A20" s="99" t="s">
        <v>568</v>
      </c>
      <c r="B20" s="45" t="s">
        <v>541</v>
      </c>
      <c r="C20" s="45" t="s">
        <v>541</v>
      </c>
      <c r="D20" s="45" t="s">
        <v>542</v>
      </c>
      <c r="E20" s="45" t="s">
        <v>543</v>
      </c>
      <c r="F20" s="45">
        <v>2</v>
      </c>
      <c r="G20" s="45" t="s">
        <v>544</v>
      </c>
      <c r="H20" s="45">
        <v>49</v>
      </c>
      <c r="I20" s="45" t="s">
        <v>548</v>
      </c>
      <c r="J20" s="142">
        <v>10.3</v>
      </c>
      <c r="K20" s="144">
        <v>1.03</v>
      </c>
    </row>
    <row r="21" spans="1:11" ht="16.05" customHeight="1">
      <c r="A21" s="99" t="s">
        <v>569</v>
      </c>
      <c r="B21" s="45" t="s">
        <v>541</v>
      </c>
      <c r="C21" s="45" t="s">
        <v>541</v>
      </c>
      <c r="D21" s="45" t="s">
        <v>542</v>
      </c>
      <c r="E21" s="45" t="s">
        <v>543</v>
      </c>
      <c r="F21" s="45">
        <v>2</v>
      </c>
      <c r="G21" s="45" t="s">
        <v>544</v>
      </c>
      <c r="H21" s="45">
        <v>53</v>
      </c>
      <c r="I21" s="45" t="s">
        <v>545</v>
      </c>
      <c r="J21" s="142">
        <v>26.2</v>
      </c>
      <c r="K21" s="144">
        <v>2.62</v>
      </c>
    </row>
    <row r="22" spans="1:11" ht="16.05" customHeight="1">
      <c r="A22" s="99" t="s">
        <v>570</v>
      </c>
      <c r="B22" s="45" t="s">
        <v>540</v>
      </c>
      <c r="C22" s="45" t="s">
        <v>541</v>
      </c>
      <c r="D22" s="45" t="s">
        <v>542</v>
      </c>
      <c r="E22" s="45" t="s">
        <v>543</v>
      </c>
      <c r="F22" s="45">
        <v>1</v>
      </c>
      <c r="G22" s="45" t="s">
        <v>544</v>
      </c>
      <c r="H22" s="45">
        <v>40</v>
      </c>
      <c r="I22" s="45" t="s">
        <v>548</v>
      </c>
      <c r="J22" s="142">
        <v>13.5</v>
      </c>
      <c r="K22" s="144">
        <v>1.35</v>
      </c>
    </row>
    <row r="23" spans="1:11" ht="16.05" customHeight="1">
      <c r="A23" s="99" t="s">
        <v>571</v>
      </c>
      <c r="B23" s="45" t="s">
        <v>540</v>
      </c>
      <c r="C23" s="45" t="s">
        <v>541</v>
      </c>
      <c r="D23" s="45" t="s">
        <v>555</v>
      </c>
      <c r="E23" s="45" t="s">
        <v>543</v>
      </c>
      <c r="F23" s="45">
        <v>4</v>
      </c>
      <c r="G23" s="45" t="s">
        <v>544</v>
      </c>
      <c r="H23" s="45">
        <v>42</v>
      </c>
      <c r="I23" s="45" t="s">
        <v>545</v>
      </c>
      <c r="J23" s="142">
        <v>11.5</v>
      </c>
      <c r="K23" s="144">
        <v>1.1499999999999999</v>
      </c>
    </row>
    <row r="24" spans="1:11" ht="16.05" customHeight="1">
      <c r="A24" s="99" t="s">
        <v>572</v>
      </c>
      <c r="B24" s="45" t="s">
        <v>541</v>
      </c>
      <c r="C24" s="45" t="s">
        <v>541</v>
      </c>
      <c r="D24" s="45" t="s">
        <v>559</v>
      </c>
      <c r="E24" s="45" t="s">
        <v>564</v>
      </c>
      <c r="F24" s="45">
        <v>4.5</v>
      </c>
      <c r="G24" s="45" t="s">
        <v>544</v>
      </c>
      <c r="H24" s="45">
        <v>55</v>
      </c>
      <c r="I24" s="45" t="s">
        <v>545</v>
      </c>
      <c r="J24" s="142">
        <v>19.399999999999999</v>
      </c>
      <c r="K24" s="144">
        <v>1.94</v>
      </c>
    </row>
    <row r="25" spans="1:11" ht="16.05" customHeight="1">
      <c r="A25" s="99" t="s">
        <v>573</v>
      </c>
      <c r="B25" s="45" t="s">
        <v>541</v>
      </c>
      <c r="C25" s="45" t="s">
        <v>541</v>
      </c>
      <c r="D25" s="45" t="s">
        <v>542</v>
      </c>
      <c r="E25" s="45" t="s">
        <v>543</v>
      </c>
      <c r="F25" s="45">
        <v>2.7</v>
      </c>
      <c r="G25" s="45" t="s">
        <v>544</v>
      </c>
      <c r="H25" s="45">
        <v>33</v>
      </c>
      <c r="I25" s="45" t="s">
        <v>545</v>
      </c>
      <c r="J25" s="142">
        <v>11.52</v>
      </c>
      <c r="K25" s="144">
        <v>0.76800000000000002</v>
      </c>
    </row>
    <row r="26" spans="1:11" ht="16.05" customHeight="1">
      <c r="A26" s="99" t="s">
        <v>574</v>
      </c>
      <c r="B26" s="45" t="s">
        <v>541</v>
      </c>
      <c r="C26" s="45" t="s">
        <v>541</v>
      </c>
      <c r="D26" s="45" t="s">
        <v>542</v>
      </c>
      <c r="E26" s="45" t="s">
        <v>543</v>
      </c>
      <c r="F26" s="45">
        <v>1.4</v>
      </c>
      <c r="G26" s="45" t="s">
        <v>544</v>
      </c>
      <c r="H26" s="45">
        <v>48</v>
      </c>
      <c r="I26" s="45" t="s">
        <v>548</v>
      </c>
      <c r="J26" s="142">
        <v>18.75</v>
      </c>
      <c r="K26" s="144">
        <v>1.25</v>
      </c>
    </row>
    <row r="27" spans="1:11" ht="16.05" customHeight="1">
      <c r="A27" s="99" t="s">
        <v>575</v>
      </c>
      <c r="B27" s="45" t="s">
        <v>541</v>
      </c>
      <c r="C27" s="45" t="s">
        <v>541</v>
      </c>
      <c r="D27" s="45" t="s">
        <v>542</v>
      </c>
      <c r="E27" s="45" t="s">
        <v>543</v>
      </c>
      <c r="F27" s="45">
        <v>2.7</v>
      </c>
      <c r="G27" s="45" t="s">
        <v>544</v>
      </c>
      <c r="H27" s="45">
        <v>60</v>
      </c>
      <c r="I27" s="45" t="s">
        <v>548</v>
      </c>
      <c r="J27" s="142">
        <v>14.51</v>
      </c>
      <c r="K27" s="144">
        <v>0.96699999999999997</v>
      </c>
    </row>
    <row r="28" spans="1:11" ht="16.05" customHeight="1">
      <c r="A28" s="99" t="s">
        <v>576</v>
      </c>
      <c r="B28" s="45" t="s">
        <v>540</v>
      </c>
      <c r="C28" s="45" t="s">
        <v>541</v>
      </c>
      <c r="D28" s="45" t="s">
        <v>555</v>
      </c>
      <c r="E28" s="45" t="s">
        <v>543</v>
      </c>
      <c r="F28" s="45">
        <v>3.3</v>
      </c>
      <c r="G28" s="45" t="s">
        <v>544</v>
      </c>
      <c r="H28" s="45">
        <v>66</v>
      </c>
      <c r="I28" s="45" t="s">
        <v>548</v>
      </c>
      <c r="J28" s="142">
        <v>12.92</v>
      </c>
      <c r="K28" s="144">
        <v>0.86099999999999999</v>
      </c>
    </row>
    <row r="29" spans="1:11" ht="16.05" customHeight="1">
      <c r="A29" s="99" t="s">
        <v>577</v>
      </c>
      <c r="B29" s="45" t="s">
        <v>541</v>
      </c>
      <c r="C29" s="45" t="s">
        <v>541</v>
      </c>
      <c r="D29" s="45" t="s">
        <v>559</v>
      </c>
      <c r="E29" s="45" t="s">
        <v>543</v>
      </c>
      <c r="F29" s="45">
        <v>1.8</v>
      </c>
      <c r="G29" s="45" t="s">
        <v>544</v>
      </c>
      <c r="H29" s="45">
        <v>54</v>
      </c>
      <c r="I29" s="45" t="s">
        <v>548</v>
      </c>
      <c r="J29" s="142">
        <v>17.100000000000001</v>
      </c>
      <c r="K29" s="144">
        <v>1.1399999999999999</v>
      </c>
    </row>
    <row r="30" spans="1:11" ht="16.05" customHeight="1">
      <c r="A30" s="99" t="s">
        <v>578</v>
      </c>
      <c r="B30" s="45" t="s">
        <v>541</v>
      </c>
      <c r="C30" s="45" t="s">
        <v>541</v>
      </c>
      <c r="D30" s="45" t="s">
        <v>542</v>
      </c>
      <c r="E30" s="45" t="s">
        <v>543</v>
      </c>
      <c r="F30" s="45">
        <v>1.4</v>
      </c>
      <c r="G30" s="45" t="s">
        <v>544</v>
      </c>
      <c r="H30" s="45">
        <v>42</v>
      </c>
      <c r="I30" s="45" t="s">
        <v>548</v>
      </c>
      <c r="J30" s="142">
        <v>15.9</v>
      </c>
      <c r="K30" s="144">
        <v>1.06</v>
      </c>
    </row>
    <row r="31" spans="1:11" ht="16.05" customHeight="1">
      <c r="A31" s="99" t="s">
        <v>579</v>
      </c>
      <c r="B31" s="45" t="s">
        <v>541</v>
      </c>
      <c r="C31" s="45" t="s">
        <v>541</v>
      </c>
      <c r="D31" s="45" t="s">
        <v>542</v>
      </c>
      <c r="E31" s="45" t="s">
        <v>543</v>
      </c>
      <c r="F31" s="45">
        <v>0.9</v>
      </c>
      <c r="G31" s="45" t="s">
        <v>544</v>
      </c>
      <c r="H31" s="45">
        <v>56</v>
      </c>
      <c r="I31" s="45" t="s">
        <v>548</v>
      </c>
      <c r="J31" s="142">
        <v>25.35</v>
      </c>
      <c r="K31" s="144">
        <v>1.69</v>
      </c>
    </row>
    <row r="32" spans="1:11" ht="16.05" customHeight="1">
      <c r="A32" s="99" t="s">
        <v>580</v>
      </c>
      <c r="B32" s="45" t="s">
        <v>541</v>
      </c>
      <c r="C32" s="45" t="s">
        <v>541</v>
      </c>
      <c r="D32" s="45" t="s">
        <v>542</v>
      </c>
      <c r="E32" s="45" t="s">
        <v>552</v>
      </c>
      <c r="F32" s="45">
        <v>1.4</v>
      </c>
      <c r="G32" s="45" t="s">
        <v>544</v>
      </c>
      <c r="H32" s="45">
        <v>65</v>
      </c>
      <c r="I32" s="45" t="s">
        <v>545</v>
      </c>
      <c r="J32" s="142">
        <v>31.05</v>
      </c>
      <c r="K32" s="144">
        <v>2.0699999999999998</v>
      </c>
    </row>
    <row r="33" spans="1:11" ht="16.05" customHeight="1">
      <c r="A33" s="99" t="s">
        <v>581</v>
      </c>
      <c r="B33" s="45" t="s">
        <v>541</v>
      </c>
      <c r="C33" s="45" t="s">
        <v>541</v>
      </c>
      <c r="D33" s="45" t="s">
        <v>559</v>
      </c>
      <c r="E33" s="45" t="s">
        <v>543</v>
      </c>
      <c r="F33" s="45">
        <v>1.4</v>
      </c>
      <c r="G33" s="45" t="s">
        <v>544</v>
      </c>
      <c r="H33" s="45">
        <v>82</v>
      </c>
      <c r="I33" s="45" t="s">
        <v>548</v>
      </c>
      <c r="J33" s="142">
        <v>17.100000000000001</v>
      </c>
      <c r="K33" s="144">
        <v>1.1399999999999999</v>
      </c>
    </row>
    <row r="34" spans="1:11" ht="16.05" customHeight="1">
      <c r="A34" s="99" t="s">
        <v>582</v>
      </c>
      <c r="B34" s="45" t="s">
        <v>541</v>
      </c>
      <c r="C34" s="45" t="s">
        <v>541</v>
      </c>
      <c r="D34" s="45" t="s">
        <v>559</v>
      </c>
      <c r="E34" s="45" t="s">
        <v>552</v>
      </c>
      <c r="F34" s="45">
        <v>2.1</v>
      </c>
      <c r="G34" s="45" t="s">
        <v>544</v>
      </c>
      <c r="H34" s="45">
        <v>42</v>
      </c>
      <c r="I34" s="45" t="s">
        <v>548</v>
      </c>
      <c r="J34" s="142">
        <v>13.43</v>
      </c>
      <c r="K34" s="144">
        <v>0.89500000000000002</v>
      </c>
    </row>
    <row r="35" spans="1:11" ht="16.05" customHeight="1">
      <c r="A35" s="99" t="s">
        <v>583</v>
      </c>
      <c r="B35" s="45" t="s">
        <v>541</v>
      </c>
      <c r="C35" s="45" t="s">
        <v>541</v>
      </c>
      <c r="D35" s="45" t="s">
        <v>559</v>
      </c>
      <c r="E35" s="45" t="s">
        <v>543</v>
      </c>
      <c r="F35" s="45">
        <v>6.5</v>
      </c>
      <c r="G35" s="45" t="s">
        <v>544</v>
      </c>
      <c r="H35" s="45">
        <v>59</v>
      </c>
      <c r="I35" s="45" t="s">
        <v>548</v>
      </c>
      <c r="J35" s="142">
        <v>14.6</v>
      </c>
      <c r="K35" s="144">
        <v>0.97299999999999998</v>
      </c>
    </row>
    <row r="36" spans="1:11" ht="16.05" customHeight="1">
      <c r="A36" s="99" t="s">
        <v>584</v>
      </c>
      <c r="B36" s="45" t="s">
        <v>541</v>
      </c>
      <c r="C36" s="45" t="s">
        <v>541</v>
      </c>
      <c r="D36" s="45" t="s">
        <v>542</v>
      </c>
      <c r="E36" s="45" t="s">
        <v>552</v>
      </c>
      <c r="F36" s="45">
        <v>3</v>
      </c>
      <c r="G36" s="45" t="s">
        <v>544</v>
      </c>
      <c r="H36" s="45">
        <v>60</v>
      </c>
      <c r="I36" s="45" t="s">
        <v>545</v>
      </c>
      <c r="J36" s="142">
        <v>13.97</v>
      </c>
      <c r="K36" s="144">
        <v>0.93100000000000005</v>
      </c>
    </row>
    <row r="37" spans="1:11" ht="16.05" customHeight="1">
      <c r="A37" s="99" t="s">
        <v>585</v>
      </c>
      <c r="B37" s="45" t="s">
        <v>541</v>
      </c>
      <c r="C37" s="45" t="s">
        <v>541</v>
      </c>
      <c r="D37" s="45" t="s">
        <v>555</v>
      </c>
      <c r="E37" s="45" t="s">
        <v>543</v>
      </c>
      <c r="F37" s="45">
        <v>3.7</v>
      </c>
      <c r="G37" s="45" t="s">
        <v>544</v>
      </c>
      <c r="H37" s="45">
        <v>70</v>
      </c>
      <c r="I37" s="45" t="s">
        <v>545</v>
      </c>
      <c r="J37" s="142">
        <v>17.100000000000001</v>
      </c>
      <c r="K37" s="144">
        <v>1.1399999999999999</v>
      </c>
    </row>
    <row r="38" spans="1:11" ht="16.05" customHeight="1">
      <c r="A38" s="99" t="s">
        <v>586</v>
      </c>
      <c r="B38" s="45" t="s">
        <v>541</v>
      </c>
      <c r="C38" s="45" t="s">
        <v>541</v>
      </c>
      <c r="D38" s="45" t="s">
        <v>559</v>
      </c>
      <c r="E38" s="45" t="s">
        <v>552</v>
      </c>
      <c r="F38" s="45">
        <v>2.9</v>
      </c>
      <c r="G38" s="45" t="s">
        <v>544</v>
      </c>
      <c r="H38" s="45">
        <v>57</v>
      </c>
      <c r="I38" s="45" t="s">
        <v>545</v>
      </c>
      <c r="J38" s="142">
        <v>14.04</v>
      </c>
      <c r="K38" s="144">
        <v>0.93600000000000005</v>
      </c>
    </row>
    <row r="39" spans="1:11" ht="16.05" customHeight="1">
      <c r="A39" s="99" t="s">
        <v>587</v>
      </c>
      <c r="B39" s="45" t="s">
        <v>541</v>
      </c>
      <c r="C39" s="45" t="s">
        <v>541</v>
      </c>
      <c r="D39" s="45" t="s">
        <v>542</v>
      </c>
      <c r="E39" s="45" t="s">
        <v>543</v>
      </c>
      <c r="F39" s="45">
        <v>1</v>
      </c>
      <c r="G39" s="45" t="s">
        <v>544</v>
      </c>
      <c r="H39" s="45">
        <v>43</v>
      </c>
      <c r="I39" s="45" t="s">
        <v>548</v>
      </c>
      <c r="J39" s="142">
        <v>10.89</v>
      </c>
      <c r="K39" s="144">
        <v>0.72599999999999998</v>
      </c>
    </row>
    <row r="40" spans="1:11" ht="16.05" customHeight="1">
      <c r="A40" s="99" t="s">
        <v>588</v>
      </c>
      <c r="B40" s="45" t="s">
        <v>541</v>
      </c>
      <c r="C40" s="45" t="s">
        <v>541</v>
      </c>
      <c r="D40" s="45" t="s">
        <v>542</v>
      </c>
      <c r="E40" s="45" t="s">
        <v>543</v>
      </c>
      <c r="F40" s="45">
        <v>1.5</v>
      </c>
      <c r="G40" s="45" t="s">
        <v>544</v>
      </c>
      <c r="H40" s="45">
        <v>55</v>
      </c>
      <c r="I40" s="45" t="s">
        <v>545</v>
      </c>
      <c r="J40" s="142">
        <v>12.38</v>
      </c>
      <c r="K40" s="144">
        <v>0.82499999999999996</v>
      </c>
    </row>
    <row r="41" spans="1:11" ht="16.05" customHeight="1">
      <c r="A41" s="99" t="s">
        <v>589</v>
      </c>
      <c r="B41" s="45" t="s">
        <v>541</v>
      </c>
      <c r="C41" s="45" t="s">
        <v>541</v>
      </c>
      <c r="D41" s="45" t="s">
        <v>559</v>
      </c>
      <c r="E41" s="45" t="s">
        <v>543</v>
      </c>
      <c r="F41" s="45">
        <v>2.2000000000000002</v>
      </c>
      <c r="G41" s="45" t="s">
        <v>544</v>
      </c>
      <c r="H41" s="45">
        <v>69</v>
      </c>
      <c r="I41" s="45" t="s">
        <v>548</v>
      </c>
      <c r="J41" s="142">
        <v>17.100000000000001</v>
      </c>
      <c r="K41" s="144">
        <v>1.1399999999999999</v>
      </c>
    </row>
    <row r="42" spans="1:11" ht="16.05" customHeight="1">
      <c r="A42" s="99" t="s">
        <v>590</v>
      </c>
      <c r="B42" s="45" t="s">
        <v>541</v>
      </c>
      <c r="C42" s="45" t="s">
        <v>541</v>
      </c>
      <c r="D42" s="45" t="s">
        <v>542</v>
      </c>
      <c r="E42" s="45" t="s">
        <v>543</v>
      </c>
      <c r="F42" s="45">
        <v>1</v>
      </c>
      <c r="G42" s="45" t="s">
        <v>544</v>
      </c>
      <c r="H42" s="45">
        <v>51</v>
      </c>
      <c r="I42" s="45" t="s">
        <v>548</v>
      </c>
      <c r="J42" s="142">
        <v>16.05</v>
      </c>
      <c r="K42" s="144">
        <v>1.07</v>
      </c>
    </row>
    <row r="43" spans="1:11" ht="16.05" customHeight="1">
      <c r="A43" s="99" t="s">
        <v>591</v>
      </c>
      <c r="B43" s="45" t="s">
        <v>540</v>
      </c>
      <c r="C43" s="45" t="s">
        <v>541</v>
      </c>
      <c r="D43" s="45" t="s">
        <v>559</v>
      </c>
      <c r="E43" s="45" t="s">
        <v>543</v>
      </c>
      <c r="F43" s="45">
        <v>2.8</v>
      </c>
      <c r="G43" s="45" t="s">
        <v>544</v>
      </c>
      <c r="H43" s="45">
        <v>60</v>
      </c>
      <c r="I43" s="45" t="s">
        <v>548</v>
      </c>
      <c r="J43" s="142">
        <v>13.62</v>
      </c>
      <c r="K43" s="144">
        <v>0.90800000000000003</v>
      </c>
    </row>
    <row r="44" spans="1:11" ht="16.05" customHeight="1">
      <c r="A44" s="99" t="s">
        <v>592</v>
      </c>
      <c r="B44" s="45" t="s">
        <v>541</v>
      </c>
      <c r="C44" s="45" t="s">
        <v>541</v>
      </c>
      <c r="D44" s="45" t="s">
        <v>550</v>
      </c>
      <c r="E44" s="45" t="s">
        <v>552</v>
      </c>
      <c r="F44" s="45">
        <v>5.8</v>
      </c>
      <c r="G44" s="45" t="s">
        <v>544</v>
      </c>
      <c r="H44" s="45">
        <v>71</v>
      </c>
      <c r="I44" s="45" t="s">
        <v>545</v>
      </c>
      <c r="J44" s="142">
        <v>18.75</v>
      </c>
      <c r="K44" s="144">
        <v>1.25</v>
      </c>
    </row>
    <row r="45" spans="1:11" ht="16.05" customHeight="1">
      <c r="A45" s="99" t="s">
        <v>593</v>
      </c>
      <c r="B45" s="45" t="s">
        <v>541</v>
      </c>
      <c r="C45" s="45" t="s">
        <v>541</v>
      </c>
      <c r="D45" s="45" t="s">
        <v>555</v>
      </c>
      <c r="E45" s="45" t="s">
        <v>543</v>
      </c>
      <c r="F45" s="45">
        <v>3.4</v>
      </c>
      <c r="G45" s="45" t="s">
        <v>544</v>
      </c>
      <c r="H45" s="45">
        <v>75</v>
      </c>
      <c r="I45" s="45" t="s">
        <v>545</v>
      </c>
      <c r="J45" s="142">
        <v>14.45</v>
      </c>
      <c r="K45" s="144">
        <v>0.96299999999999997</v>
      </c>
    </row>
    <row r="46" spans="1:11" ht="16.05" customHeight="1">
      <c r="A46" s="99" t="s">
        <v>594</v>
      </c>
      <c r="B46" s="45" t="s">
        <v>541</v>
      </c>
      <c r="C46" s="45" t="s">
        <v>541</v>
      </c>
      <c r="D46" s="45" t="s">
        <v>559</v>
      </c>
      <c r="E46" s="45" t="s">
        <v>552</v>
      </c>
      <c r="F46" s="45">
        <v>1.9</v>
      </c>
      <c r="G46" s="45" t="s">
        <v>544</v>
      </c>
      <c r="H46" s="45">
        <v>55</v>
      </c>
      <c r="I46" s="45" t="s">
        <v>545</v>
      </c>
      <c r="J46" s="142">
        <v>37.950000000000003</v>
      </c>
      <c r="K46" s="144">
        <v>2.5299999999999998</v>
      </c>
    </row>
    <row r="47" spans="1:11" ht="16.05" customHeight="1">
      <c r="A47" s="99" t="s">
        <v>595</v>
      </c>
      <c r="B47" s="45" t="s">
        <v>541</v>
      </c>
      <c r="C47" s="45" t="s">
        <v>541</v>
      </c>
      <c r="D47" s="45" t="s">
        <v>542</v>
      </c>
      <c r="E47" s="45" t="s">
        <v>564</v>
      </c>
      <c r="F47" s="45">
        <v>0.5</v>
      </c>
      <c r="G47" s="45" t="s">
        <v>544</v>
      </c>
      <c r="H47" s="45">
        <v>49</v>
      </c>
      <c r="I47" s="45" t="s">
        <v>545</v>
      </c>
      <c r="J47" s="142">
        <v>17.399999999999999</v>
      </c>
      <c r="K47" s="144">
        <v>1.1599999999999999</v>
      </c>
    </row>
    <row r="48" spans="1:11" ht="16.05" customHeight="1">
      <c r="A48" s="99" t="s">
        <v>596</v>
      </c>
      <c r="B48" s="45" t="s">
        <v>541</v>
      </c>
      <c r="C48" s="45" t="s">
        <v>541</v>
      </c>
      <c r="D48" s="45" t="s">
        <v>542</v>
      </c>
      <c r="E48" s="45" t="s">
        <v>543</v>
      </c>
      <c r="F48" s="45">
        <v>1.2</v>
      </c>
      <c r="G48" s="45" t="s">
        <v>544</v>
      </c>
      <c r="H48" s="45">
        <v>53</v>
      </c>
      <c r="I48" s="45" t="s">
        <v>548</v>
      </c>
      <c r="J48" s="142">
        <v>11.33</v>
      </c>
      <c r="K48" s="144">
        <v>0.755</v>
      </c>
    </row>
    <row r="49" spans="1:11" ht="16.05" customHeight="1">
      <c r="A49" s="99" t="s">
        <v>597</v>
      </c>
      <c r="B49" s="45" t="s">
        <v>541</v>
      </c>
      <c r="C49" s="45" t="s">
        <v>541</v>
      </c>
      <c r="D49" s="45" t="s">
        <v>542</v>
      </c>
      <c r="E49" s="45" t="s">
        <v>543</v>
      </c>
      <c r="F49" s="45">
        <v>1.5</v>
      </c>
      <c r="G49" s="45" t="s">
        <v>544</v>
      </c>
      <c r="H49" s="45">
        <v>50</v>
      </c>
      <c r="I49" s="45" t="s">
        <v>548</v>
      </c>
      <c r="J49" s="142">
        <v>18.600000000000001</v>
      </c>
      <c r="K49" s="144">
        <v>1.24</v>
      </c>
    </row>
    <row r="50" spans="1:11" ht="16.05" customHeight="1">
      <c r="A50" s="99" t="s">
        <v>598</v>
      </c>
      <c r="B50" s="45" t="s">
        <v>541</v>
      </c>
      <c r="C50" s="45" t="s">
        <v>541</v>
      </c>
      <c r="D50" s="45" t="s">
        <v>559</v>
      </c>
      <c r="E50" s="45" t="s">
        <v>543</v>
      </c>
      <c r="F50" s="45">
        <v>1.3</v>
      </c>
      <c r="G50" s="45" t="s">
        <v>544</v>
      </c>
      <c r="H50" s="45">
        <v>58</v>
      </c>
      <c r="I50" s="45" t="s">
        <v>548</v>
      </c>
      <c r="J50" s="142">
        <v>13.56</v>
      </c>
      <c r="K50" s="144">
        <v>0.90400000000000003</v>
      </c>
    </row>
    <row r="51" spans="1:11" ht="16.05" customHeight="1">
      <c r="A51" s="99" t="s">
        <v>599</v>
      </c>
      <c r="B51" s="45" t="s">
        <v>541</v>
      </c>
      <c r="C51" s="45" t="s">
        <v>541</v>
      </c>
      <c r="D51" s="45" t="s">
        <v>559</v>
      </c>
      <c r="E51" s="45" t="s">
        <v>564</v>
      </c>
      <c r="F51" s="45">
        <v>4.5999999999999996</v>
      </c>
      <c r="G51" s="45" t="s">
        <v>544</v>
      </c>
      <c r="H51" s="45">
        <v>50</v>
      </c>
      <c r="I51" s="45" t="s">
        <v>545</v>
      </c>
      <c r="J51" s="142">
        <v>19.350000000000001</v>
      </c>
      <c r="K51" s="144">
        <v>1.29</v>
      </c>
    </row>
    <row r="52" spans="1:11" ht="16.05" customHeight="1">
      <c r="A52" s="99" t="s">
        <v>600</v>
      </c>
      <c r="B52" s="45" t="s">
        <v>541</v>
      </c>
      <c r="C52" s="45" t="s">
        <v>541</v>
      </c>
      <c r="D52" s="45" t="s">
        <v>542</v>
      </c>
      <c r="E52" s="45" t="s">
        <v>543</v>
      </c>
      <c r="F52" s="45">
        <v>2.8</v>
      </c>
      <c r="G52" s="45" t="s">
        <v>544</v>
      </c>
      <c r="H52" s="45">
        <v>62</v>
      </c>
      <c r="I52" s="45" t="s">
        <v>548</v>
      </c>
      <c r="J52" s="142">
        <v>11.6</v>
      </c>
      <c r="K52" s="144">
        <v>0.77300000000000002</v>
      </c>
    </row>
    <row r="53" spans="1:11" ht="16.05" customHeight="1">
      <c r="A53" s="99" t="s">
        <v>601</v>
      </c>
      <c r="B53" s="45" t="s">
        <v>541</v>
      </c>
      <c r="C53" s="45" t="s">
        <v>541</v>
      </c>
      <c r="D53" s="45" t="s">
        <v>555</v>
      </c>
      <c r="E53" s="45" t="s">
        <v>543</v>
      </c>
      <c r="F53" s="45">
        <v>3.3</v>
      </c>
      <c r="G53" s="45" t="s">
        <v>544</v>
      </c>
      <c r="H53" s="45">
        <v>57</v>
      </c>
      <c r="I53" s="45" t="s">
        <v>545</v>
      </c>
      <c r="J53" s="142">
        <v>16.350000000000001</v>
      </c>
      <c r="K53" s="144">
        <v>1.0900000000000001</v>
      </c>
    </row>
    <row r="54" spans="1:11" ht="16.05" customHeight="1">
      <c r="A54" s="99" t="s">
        <v>602</v>
      </c>
      <c r="B54" s="45" t="s">
        <v>541</v>
      </c>
      <c r="C54" s="45" t="s">
        <v>541</v>
      </c>
      <c r="D54" s="45" t="s">
        <v>559</v>
      </c>
      <c r="E54" s="45" t="s">
        <v>564</v>
      </c>
      <c r="F54" s="45">
        <v>4.0999999999999996</v>
      </c>
      <c r="G54" s="45" t="s">
        <v>544</v>
      </c>
      <c r="H54" s="45">
        <v>78</v>
      </c>
      <c r="I54" s="45" t="s">
        <v>545</v>
      </c>
      <c r="J54" s="142">
        <v>30.9</v>
      </c>
      <c r="K54" s="144">
        <v>2.06</v>
      </c>
    </row>
    <row r="55" spans="1:11" ht="16.05" customHeight="1">
      <c r="A55" s="99" t="s">
        <v>603</v>
      </c>
      <c r="B55" s="45" t="s">
        <v>541</v>
      </c>
      <c r="C55" s="45" t="s">
        <v>541</v>
      </c>
      <c r="D55" s="45" t="s">
        <v>559</v>
      </c>
      <c r="E55" s="45" t="s">
        <v>552</v>
      </c>
      <c r="F55" s="45">
        <v>4</v>
      </c>
      <c r="G55" s="45" t="s">
        <v>544</v>
      </c>
      <c r="H55" s="45">
        <v>64</v>
      </c>
      <c r="I55" s="45" t="s">
        <v>545</v>
      </c>
      <c r="J55" s="142">
        <v>16.2</v>
      </c>
      <c r="K55" s="144">
        <v>1.08</v>
      </c>
    </row>
    <row r="56" spans="1:11" ht="16.05" customHeight="1">
      <c r="A56" s="99" t="s">
        <v>604</v>
      </c>
      <c r="B56" s="45" t="s">
        <v>541</v>
      </c>
      <c r="C56" s="45" t="s">
        <v>541</v>
      </c>
      <c r="D56" s="45" t="s">
        <v>555</v>
      </c>
      <c r="E56" s="45" t="s">
        <v>543</v>
      </c>
      <c r="F56" s="45">
        <v>4</v>
      </c>
      <c r="G56" s="45" t="s">
        <v>544</v>
      </c>
      <c r="H56" s="45">
        <v>59</v>
      </c>
      <c r="I56" s="45" t="s">
        <v>548</v>
      </c>
      <c r="J56" s="142">
        <v>12.6</v>
      </c>
      <c r="K56" s="144">
        <v>0.84</v>
      </c>
    </row>
    <row r="57" spans="1:11" ht="16.05" customHeight="1">
      <c r="A57" s="99" t="s">
        <v>605</v>
      </c>
      <c r="B57" s="45" t="s">
        <v>541</v>
      </c>
      <c r="C57" s="45" t="s">
        <v>541</v>
      </c>
      <c r="D57" s="45" t="s">
        <v>542</v>
      </c>
      <c r="E57" s="45" t="s">
        <v>543</v>
      </c>
      <c r="F57" s="45">
        <v>2.5</v>
      </c>
      <c r="G57" s="45" t="s">
        <v>544</v>
      </c>
      <c r="H57" s="45">
        <v>62</v>
      </c>
      <c r="I57" s="45" t="s">
        <v>548</v>
      </c>
      <c r="J57" s="142">
        <v>11.45</v>
      </c>
      <c r="K57" s="144">
        <v>0.76300000000000001</v>
      </c>
    </row>
    <row r="58" spans="1:11" ht="16.05" customHeight="1">
      <c r="A58" s="99" t="s">
        <v>606</v>
      </c>
      <c r="B58" s="45" t="s">
        <v>541</v>
      </c>
      <c r="C58" s="45" t="s">
        <v>541</v>
      </c>
      <c r="D58" s="45" t="s">
        <v>555</v>
      </c>
      <c r="E58" s="45" t="s">
        <v>552</v>
      </c>
      <c r="F58" s="45">
        <v>1.5</v>
      </c>
      <c r="G58" s="45" t="s">
        <v>544</v>
      </c>
      <c r="H58" s="45">
        <v>51</v>
      </c>
      <c r="I58" s="45" t="s">
        <v>548</v>
      </c>
      <c r="J58" s="142">
        <v>10.56</v>
      </c>
      <c r="K58" s="144">
        <v>0.70399999999999996</v>
      </c>
    </row>
    <row r="59" spans="1:11" ht="16.05" customHeight="1">
      <c r="A59" s="99" t="s">
        <v>607</v>
      </c>
      <c r="B59" s="45" t="s">
        <v>541</v>
      </c>
      <c r="C59" s="45" t="s">
        <v>541</v>
      </c>
      <c r="D59" s="45" t="s">
        <v>542</v>
      </c>
      <c r="E59" s="45" t="s">
        <v>543</v>
      </c>
      <c r="F59" s="45">
        <v>1.5</v>
      </c>
      <c r="G59" s="45" t="s">
        <v>544</v>
      </c>
      <c r="H59" s="45">
        <v>41</v>
      </c>
      <c r="I59" s="45" t="s">
        <v>548</v>
      </c>
      <c r="J59" s="142">
        <v>10.82</v>
      </c>
      <c r="K59" s="144">
        <v>0.72099999999999997</v>
      </c>
    </row>
    <row r="60" spans="1:11" ht="16.05" customHeight="1">
      <c r="A60" s="99" t="s">
        <v>608</v>
      </c>
      <c r="B60" s="45" t="s">
        <v>541</v>
      </c>
      <c r="C60" s="45" t="s">
        <v>541</v>
      </c>
      <c r="D60" s="45" t="s">
        <v>550</v>
      </c>
      <c r="E60" s="45" t="s">
        <v>564</v>
      </c>
      <c r="F60" s="45">
        <v>15</v>
      </c>
      <c r="G60" s="45" t="s">
        <v>544</v>
      </c>
      <c r="H60" s="45">
        <v>35</v>
      </c>
      <c r="I60" s="45" t="s">
        <v>548</v>
      </c>
      <c r="J60" s="142">
        <v>24</v>
      </c>
      <c r="K60" s="144">
        <v>1.6</v>
      </c>
    </row>
    <row r="61" spans="1:11" ht="16.05" customHeight="1">
      <c r="A61" s="99" t="s">
        <v>609</v>
      </c>
      <c r="B61" s="45" t="s">
        <v>541</v>
      </c>
      <c r="C61" s="45" t="s">
        <v>541</v>
      </c>
      <c r="D61" s="45" t="s">
        <v>559</v>
      </c>
      <c r="E61" s="45" t="s">
        <v>552</v>
      </c>
      <c r="F61" s="45">
        <v>6.5</v>
      </c>
      <c r="G61" s="45" t="s">
        <v>544</v>
      </c>
      <c r="H61" s="45">
        <v>63</v>
      </c>
      <c r="I61" s="45" t="s">
        <v>545</v>
      </c>
      <c r="J61" s="142">
        <v>17.55</v>
      </c>
      <c r="K61" s="144">
        <v>1.17</v>
      </c>
    </row>
    <row r="62" spans="1:11" ht="16.05" customHeight="1">
      <c r="A62" s="99" t="s">
        <v>610</v>
      </c>
      <c r="B62" s="45" t="s">
        <v>541</v>
      </c>
      <c r="C62" s="45" t="s">
        <v>541</v>
      </c>
      <c r="D62" s="45" t="s">
        <v>555</v>
      </c>
      <c r="E62" s="45" t="s">
        <v>552</v>
      </c>
      <c r="F62" s="45">
        <v>3.3</v>
      </c>
      <c r="G62" s="45" t="s">
        <v>544</v>
      </c>
      <c r="H62" s="45">
        <v>61</v>
      </c>
      <c r="I62" s="45" t="s">
        <v>545</v>
      </c>
      <c r="J62" s="142">
        <v>34.200000000000003</v>
      </c>
      <c r="K62" s="144">
        <v>2.2799999999999998</v>
      </c>
    </row>
    <row r="63" spans="1:11" ht="16.05" customHeight="1">
      <c r="A63" s="99" t="s">
        <v>611</v>
      </c>
      <c r="B63" s="45" t="s">
        <v>541</v>
      </c>
      <c r="C63" s="45" t="s">
        <v>541</v>
      </c>
      <c r="D63" s="45" t="s">
        <v>559</v>
      </c>
      <c r="E63" s="45" t="s">
        <v>543</v>
      </c>
      <c r="F63" s="45">
        <v>1.5</v>
      </c>
      <c r="G63" s="45" t="s">
        <v>544</v>
      </c>
      <c r="H63" s="45">
        <v>70</v>
      </c>
      <c r="I63" s="45" t="s">
        <v>548</v>
      </c>
      <c r="J63" s="142">
        <v>24.3</v>
      </c>
      <c r="K63" s="144">
        <v>1.62</v>
      </c>
    </row>
    <row r="64" spans="1:11" ht="16.05" customHeight="1">
      <c r="A64" s="99" t="s">
        <v>612</v>
      </c>
      <c r="B64" s="45" t="s">
        <v>541</v>
      </c>
      <c r="C64" s="45" t="s">
        <v>541</v>
      </c>
      <c r="D64" s="45" t="s">
        <v>542</v>
      </c>
      <c r="E64" s="45" t="s">
        <v>543</v>
      </c>
      <c r="F64" s="45">
        <v>2.2999999999999998</v>
      </c>
      <c r="G64" s="45" t="s">
        <v>544</v>
      </c>
      <c r="H64" s="45">
        <v>44</v>
      </c>
      <c r="I64" s="45" t="s">
        <v>545</v>
      </c>
      <c r="J64" s="142">
        <v>10.76</v>
      </c>
      <c r="K64" s="144">
        <v>0.71699999999999997</v>
      </c>
    </row>
    <row r="65" spans="1:11" ht="16.05" customHeight="1">
      <c r="A65" s="99" t="s">
        <v>613</v>
      </c>
      <c r="B65" s="45" t="s">
        <v>541</v>
      </c>
      <c r="C65" s="45" t="s">
        <v>541</v>
      </c>
      <c r="D65" s="45" t="s">
        <v>550</v>
      </c>
      <c r="E65" s="45" t="s">
        <v>543</v>
      </c>
      <c r="F65" s="45">
        <v>3.4</v>
      </c>
      <c r="G65" s="45" t="s">
        <v>544</v>
      </c>
      <c r="H65" s="45">
        <v>55</v>
      </c>
      <c r="I65" s="45" t="s">
        <v>545</v>
      </c>
      <c r="J65" s="142">
        <v>13.34</v>
      </c>
      <c r="K65" s="144">
        <v>0.88900000000000001</v>
      </c>
    </row>
    <row r="66" spans="1:11" ht="16.05" customHeight="1">
      <c r="A66" s="99" t="s">
        <v>614</v>
      </c>
      <c r="B66" s="45" t="s">
        <v>541</v>
      </c>
      <c r="C66" s="45" t="s">
        <v>541</v>
      </c>
      <c r="D66" s="45" t="s">
        <v>542</v>
      </c>
      <c r="E66" s="45" t="s">
        <v>543</v>
      </c>
      <c r="F66" s="45">
        <v>0.67</v>
      </c>
      <c r="G66" s="45" t="s">
        <v>544</v>
      </c>
      <c r="H66" s="45">
        <v>40</v>
      </c>
      <c r="I66" s="45" t="s">
        <v>548</v>
      </c>
      <c r="J66" s="142">
        <v>29.85</v>
      </c>
      <c r="K66" s="144">
        <v>1.99</v>
      </c>
    </row>
    <row r="67" spans="1:11" ht="16.05" customHeight="1">
      <c r="A67" s="99" t="s">
        <v>615</v>
      </c>
      <c r="B67" s="45" t="s">
        <v>541</v>
      </c>
      <c r="C67" s="45" t="s">
        <v>541</v>
      </c>
      <c r="D67" s="45" t="s">
        <v>559</v>
      </c>
      <c r="E67" s="45" t="s">
        <v>543</v>
      </c>
      <c r="F67" s="45">
        <v>4</v>
      </c>
      <c r="G67" s="45" t="s">
        <v>544</v>
      </c>
      <c r="H67" s="45">
        <v>75</v>
      </c>
      <c r="I67" s="45" t="s">
        <v>548</v>
      </c>
      <c r="J67" s="142">
        <v>15.75</v>
      </c>
      <c r="K67" s="144">
        <v>1.05</v>
      </c>
    </row>
    <row r="68" spans="1:11" ht="16.05" customHeight="1">
      <c r="A68" s="99" t="s">
        <v>616</v>
      </c>
      <c r="B68" s="45" t="s">
        <v>540</v>
      </c>
      <c r="C68" s="45" t="s">
        <v>541</v>
      </c>
      <c r="D68" s="45" t="s">
        <v>542</v>
      </c>
      <c r="E68" s="45" t="s">
        <v>543</v>
      </c>
      <c r="F68" s="45">
        <v>1.4</v>
      </c>
      <c r="G68" s="45" t="s">
        <v>544</v>
      </c>
      <c r="H68" s="45">
        <v>53</v>
      </c>
      <c r="I68" s="45" t="s">
        <v>548</v>
      </c>
      <c r="J68" s="142">
        <v>12.36</v>
      </c>
      <c r="K68" s="144">
        <v>1.54</v>
      </c>
    </row>
    <row r="69" spans="1:11" ht="16.05" customHeight="1">
      <c r="A69" s="99" t="s">
        <v>617</v>
      </c>
      <c r="B69" s="45" t="s">
        <v>541</v>
      </c>
      <c r="C69" s="45" t="s">
        <v>541</v>
      </c>
      <c r="D69" s="45" t="s">
        <v>542</v>
      </c>
      <c r="E69" s="45" t="s">
        <v>543</v>
      </c>
      <c r="F69" s="45">
        <v>1.3</v>
      </c>
      <c r="G69" s="45" t="s">
        <v>544</v>
      </c>
      <c r="H69" s="45">
        <v>53</v>
      </c>
      <c r="I69" s="45" t="s">
        <v>548</v>
      </c>
      <c r="J69" s="142">
        <v>12.42</v>
      </c>
      <c r="K69" s="144">
        <v>0.82399999999999995</v>
      </c>
    </row>
    <row r="70" spans="1:11" ht="16.05" customHeight="1">
      <c r="A70" s="99" t="s">
        <v>618</v>
      </c>
      <c r="B70" s="45" t="s">
        <v>541</v>
      </c>
      <c r="C70" s="45" t="s">
        <v>541</v>
      </c>
      <c r="D70" s="45" t="s">
        <v>542</v>
      </c>
      <c r="E70" s="45" t="s">
        <v>543</v>
      </c>
      <c r="F70" s="45">
        <v>2.1</v>
      </c>
      <c r="G70" s="45" t="s">
        <v>544</v>
      </c>
      <c r="H70" s="45">
        <v>50</v>
      </c>
      <c r="I70" s="45" t="s">
        <v>545</v>
      </c>
      <c r="J70" s="142">
        <v>14.52</v>
      </c>
      <c r="K70" s="144">
        <v>0.96799999999999997</v>
      </c>
    </row>
    <row r="71" spans="1:11" ht="16.05" customHeight="1">
      <c r="A71" s="99" t="s">
        <v>619</v>
      </c>
      <c r="B71" s="45" t="s">
        <v>541</v>
      </c>
      <c r="C71" s="45" t="s">
        <v>541</v>
      </c>
      <c r="D71" s="45" t="s">
        <v>559</v>
      </c>
      <c r="E71" s="45" t="s">
        <v>543</v>
      </c>
      <c r="F71" s="45">
        <v>4.2</v>
      </c>
      <c r="G71" s="45" t="s">
        <v>544</v>
      </c>
      <c r="H71" s="45">
        <v>71</v>
      </c>
      <c r="I71" s="45" t="s">
        <v>545</v>
      </c>
      <c r="J71" s="142">
        <v>15.3</v>
      </c>
      <c r="K71" s="144">
        <v>1.02</v>
      </c>
    </row>
    <row r="72" spans="1:11" ht="16.05" customHeight="1">
      <c r="A72" s="99" t="s">
        <v>620</v>
      </c>
      <c r="B72" s="45" t="s">
        <v>541</v>
      </c>
      <c r="C72" s="45" t="s">
        <v>541</v>
      </c>
      <c r="D72" s="45" t="s">
        <v>555</v>
      </c>
      <c r="E72" s="45" t="s">
        <v>543</v>
      </c>
      <c r="F72" s="45">
        <v>3</v>
      </c>
      <c r="G72" s="45" t="s">
        <v>544</v>
      </c>
      <c r="H72" s="45">
        <v>78</v>
      </c>
      <c r="I72" s="45" t="s">
        <v>545</v>
      </c>
      <c r="J72" s="142">
        <v>21</v>
      </c>
      <c r="K72" s="144">
        <v>1.4</v>
      </c>
    </row>
    <row r="73" spans="1:11" ht="16.05" customHeight="1">
      <c r="A73" s="99" t="s">
        <v>621</v>
      </c>
      <c r="B73" s="45" t="s">
        <v>541</v>
      </c>
      <c r="C73" s="45" t="s">
        <v>541</v>
      </c>
      <c r="D73" s="45" t="s">
        <v>542</v>
      </c>
      <c r="E73" s="45" t="s">
        <v>543</v>
      </c>
      <c r="F73" s="45">
        <v>1</v>
      </c>
      <c r="G73" s="45" t="s">
        <v>544</v>
      </c>
      <c r="H73" s="45">
        <v>52</v>
      </c>
      <c r="I73" s="45" t="s">
        <v>548</v>
      </c>
      <c r="J73" s="142">
        <v>13.07</v>
      </c>
      <c r="K73" s="144">
        <v>0.871</v>
      </c>
    </row>
    <row r="74" spans="1:11" ht="16.05" customHeight="1">
      <c r="A74" s="99" t="s">
        <v>622</v>
      </c>
      <c r="B74" s="45" t="s">
        <v>541</v>
      </c>
      <c r="C74" s="45" t="s">
        <v>541</v>
      </c>
      <c r="D74" s="45" t="s">
        <v>542</v>
      </c>
      <c r="E74" s="45" t="s">
        <v>543</v>
      </c>
      <c r="F74" s="45">
        <v>0.8</v>
      </c>
      <c r="G74" s="45" t="s">
        <v>544</v>
      </c>
      <c r="H74" s="45">
        <v>53</v>
      </c>
      <c r="I74" s="45" t="s">
        <v>548</v>
      </c>
      <c r="J74" s="142">
        <v>14.84</v>
      </c>
      <c r="K74" s="144">
        <v>0.98899999999999999</v>
      </c>
    </row>
    <row r="75" spans="1:11" ht="16.05" customHeight="1">
      <c r="A75" s="99" t="s">
        <v>623</v>
      </c>
      <c r="B75" s="45" t="s">
        <v>541</v>
      </c>
      <c r="C75" s="45" t="s">
        <v>541</v>
      </c>
      <c r="D75" s="45" t="s">
        <v>542</v>
      </c>
      <c r="E75" s="45" t="s">
        <v>543</v>
      </c>
      <c r="F75" s="45">
        <v>1.8</v>
      </c>
      <c r="G75" s="45" t="s">
        <v>544</v>
      </c>
      <c r="H75" s="45">
        <v>49</v>
      </c>
      <c r="I75" s="45" t="s">
        <v>548</v>
      </c>
      <c r="J75" s="142">
        <v>11.72</v>
      </c>
      <c r="K75" s="144">
        <v>0.78100000000000003</v>
      </c>
    </row>
    <row r="76" spans="1:11" ht="16.05" customHeight="1">
      <c r="A76" s="99" t="s">
        <v>624</v>
      </c>
      <c r="B76" s="45" t="s">
        <v>541</v>
      </c>
      <c r="C76" s="45" t="s">
        <v>541</v>
      </c>
      <c r="D76" s="45" t="s">
        <v>542</v>
      </c>
      <c r="E76" s="45" t="s">
        <v>552</v>
      </c>
      <c r="F76" s="45">
        <v>3</v>
      </c>
      <c r="G76" s="45" t="s">
        <v>544</v>
      </c>
      <c r="H76" s="45">
        <v>54</v>
      </c>
      <c r="I76" s="45" t="s">
        <v>545</v>
      </c>
      <c r="J76" s="142">
        <v>12.38</v>
      </c>
      <c r="K76" s="144">
        <v>0.82499999999999996</v>
      </c>
    </row>
    <row r="77" spans="1:11" ht="16.05" customHeight="1">
      <c r="A77" s="99" t="s">
        <v>625</v>
      </c>
      <c r="B77" s="45" t="s">
        <v>541</v>
      </c>
      <c r="C77" s="45" t="s">
        <v>541</v>
      </c>
      <c r="D77" s="45" t="s">
        <v>559</v>
      </c>
      <c r="E77" s="45" t="s">
        <v>543</v>
      </c>
      <c r="F77" s="45">
        <v>5.5</v>
      </c>
      <c r="G77" s="45" t="s">
        <v>544</v>
      </c>
      <c r="H77" s="45">
        <v>59</v>
      </c>
      <c r="I77" s="45" t="s">
        <v>545</v>
      </c>
      <c r="J77" s="142">
        <v>14.09</v>
      </c>
      <c r="K77" s="144">
        <v>0.93899999999999995</v>
      </c>
    </row>
    <row r="78" spans="1:11" ht="16.05" customHeight="1">
      <c r="A78" s="99" t="s">
        <v>626</v>
      </c>
      <c r="B78" s="45" t="s">
        <v>541</v>
      </c>
      <c r="C78" s="45" t="s">
        <v>541</v>
      </c>
      <c r="D78" s="45" t="s">
        <v>542</v>
      </c>
      <c r="E78" s="45" t="s">
        <v>543</v>
      </c>
      <c r="F78" s="45">
        <v>0.8</v>
      </c>
      <c r="G78" s="45" t="s">
        <v>544</v>
      </c>
      <c r="H78" s="45">
        <v>52</v>
      </c>
      <c r="I78" s="45" t="s">
        <v>548</v>
      </c>
      <c r="J78" s="142">
        <v>10.64</v>
      </c>
      <c r="K78" s="144">
        <v>0.70899999999999996</v>
      </c>
    </row>
    <row r="79" spans="1:11" ht="16.05" customHeight="1">
      <c r="A79" s="99" t="s">
        <v>627</v>
      </c>
      <c r="B79" s="45" t="s">
        <v>541</v>
      </c>
      <c r="C79" s="45" t="s">
        <v>541</v>
      </c>
      <c r="D79" s="45" t="s">
        <v>550</v>
      </c>
      <c r="E79" s="45" t="s">
        <v>543</v>
      </c>
      <c r="F79" s="45">
        <v>4.7</v>
      </c>
      <c r="G79" s="45" t="s">
        <v>544</v>
      </c>
      <c r="H79" s="45">
        <v>47</v>
      </c>
      <c r="I79" s="45" t="s">
        <v>548</v>
      </c>
      <c r="J79" s="142">
        <v>21.9</v>
      </c>
      <c r="K79" s="144">
        <v>1.46</v>
      </c>
    </row>
    <row r="80" spans="1:11" ht="16.05" customHeight="1">
      <c r="A80" s="99" t="s">
        <v>628</v>
      </c>
      <c r="B80" s="45" t="s">
        <v>541</v>
      </c>
      <c r="C80" s="45" t="s">
        <v>541</v>
      </c>
      <c r="D80" s="45" t="s">
        <v>542</v>
      </c>
      <c r="E80" s="45" t="s">
        <v>543</v>
      </c>
      <c r="F80" s="45">
        <v>1</v>
      </c>
      <c r="G80" s="45" t="s">
        <v>544</v>
      </c>
      <c r="H80" s="45">
        <v>51</v>
      </c>
      <c r="I80" s="45" t="s">
        <v>548</v>
      </c>
      <c r="J80" s="142">
        <v>15.6</v>
      </c>
      <c r="K80" s="144">
        <v>1.04</v>
      </c>
    </row>
    <row r="81" spans="1:11" ht="16.05" customHeight="1">
      <c r="A81" s="99" t="s">
        <v>629</v>
      </c>
      <c r="B81" s="45" t="s">
        <v>541</v>
      </c>
      <c r="C81" s="45" t="s">
        <v>541</v>
      </c>
      <c r="D81" s="45" t="s">
        <v>542</v>
      </c>
      <c r="E81" s="45" t="s">
        <v>543</v>
      </c>
      <c r="F81" s="45">
        <v>2.5</v>
      </c>
      <c r="G81" s="45" t="s">
        <v>544</v>
      </c>
      <c r="H81" s="45">
        <v>58</v>
      </c>
      <c r="I81" s="45" t="s">
        <v>545</v>
      </c>
      <c r="J81" s="142">
        <v>16.350000000000001</v>
      </c>
      <c r="K81" s="144">
        <v>1.0900000000000001</v>
      </c>
    </row>
    <row r="82" spans="1:11" ht="16.05" customHeight="1">
      <c r="A82" s="99" t="s">
        <v>630</v>
      </c>
      <c r="B82" s="45" t="s">
        <v>541</v>
      </c>
      <c r="C82" s="45" t="s">
        <v>541</v>
      </c>
      <c r="D82" s="45" t="s">
        <v>542</v>
      </c>
      <c r="E82" s="45" t="s">
        <v>543</v>
      </c>
      <c r="F82" s="45">
        <v>2.7</v>
      </c>
      <c r="G82" s="45" t="s">
        <v>544</v>
      </c>
      <c r="H82" s="45">
        <v>54</v>
      </c>
      <c r="I82" s="45" t="s">
        <v>548</v>
      </c>
      <c r="J82" s="142">
        <v>15.15</v>
      </c>
      <c r="K82" s="144">
        <v>1.01</v>
      </c>
    </row>
    <row r="83" spans="1:11" ht="16.05" customHeight="1">
      <c r="A83" s="99" t="s">
        <v>631</v>
      </c>
      <c r="B83" s="45" t="s">
        <v>540</v>
      </c>
      <c r="C83" s="45" t="s">
        <v>541</v>
      </c>
      <c r="D83" s="45" t="s">
        <v>542</v>
      </c>
      <c r="E83" s="45" t="s">
        <v>543</v>
      </c>
      <c r="F83" s="45">
        <v>2.1</v>
      </c>
      <c r="G83" s="45" t="s">
        <v>544</v>
      </c>
      <c r="H83" s="45">
        <v>45</v>
      </c>
      <c r="I83" s="45" t="s">
        <v>545</v>
      </c>
      <c r="J83" s="142">
        <v>10.8</v>
      </c>
      <c r="K83" s="144">
        <v>0.72</v>
      </c>
    </row>
    <row r="84" spans="1:11" ht="16.05" customHeight="1">
      <c r="A84" s="99" t="s">
        <v>632</v>
      </c>
      <c r="B84" s="45" t="s">
        <v>541</v>
      </c>
      <c r="C84" s="45" t="s">
        <v>541</v>
      </c>
      <c r="D84" s="45" t="s">
        <v>555</v>
      </c>
      <c r="E84" s="45" t="s">
        <v>543</v>
      </c>
      <c r="F84" s="45">
        <v>3</v>
      </c>
      <c r="G84" s="45" t="s">
        <v>544</v>
      </c>
      <c r="H84" s="45">
        <v>70</v>
      </c>
      <c r="I84" s="45" t="s">
        <v>548</v>
      </c>
      <c r="J84" s="142">
        <v>37.049999999999997</v>
      </c>
      <c r="K84" s="144">
        <v>2.4700000000000002</v>
      </c>
    </row>
    <row r="85" spans="1:11" ht="16.05" customHeight="1">
      <c r="A85" s="99" t="s">
        <v>633</v>
      </c>
      <c r="B85" s="45" t="s">
        <v>541</v>
      </c>
      <c r="C85" s="45" t="s">
        <v>541</v>
      </c>
      <c r="D85" s="45" t="s">
        <v>542</v>
      </c>
      <c r="E85" s="45" t="s">
        <v>543</v>
      </c>
      <c r="F85" s="45">
        <v>1</v>
      </c>
      <c r="G85" s="45" t="s">
        <v>544</v>
      </c>
      <c r="H85" s="45">
        <v>47</v>
      </c>
      <c r="I85" s="45" t="s">
        <v>548</v>
      </c>
      <c r="J85" s="142">
        <v>10.79</v>
      </c>
      <c r="K85" s="144">
        <v>0.71899999999999997</v>
      </c>
    </row>
    <row r="86" spans="1:11" ht="16.05" customHeight="1">
      <c r="A86" s="99" t="s">
        <v>634</v>
      </c>
      <c r="B86" s="45" t="s">
        <v>541</v>
      </c>
      <c r="C86" s="45" t="s">
        <v>541</v>
      </c>
      <c r="D86" s="45" t="s">
        <v>550</v>
      </c>
      <c r="E86" s="45" t="s">
        <v>552</v>
      </c>
      <c r="F86" s="45">
        <v>1.8</v>
      </c>
      <c r="G86" s="45" t="s">
        <v>544</v>
      </c>
      <c r="H86" s="45">
        <v>55</v>
      </c>
      <c r="I86" s="45" t="s">
        <v>545</v>
      </c>
      <c r="J86" s="142">
        <v>10.97</v>
      </c>
      <c r="K86" s="144">
        <v>0.73099999999999998</v>
      </c>
    </row>
    <row r="87" spans="1:11" ht="16.05" customHeight="1">
      <c r="A87" s="99" t="s">
        <v>635</v>
      </c>
      <c r="B87" s="45" t="s">
        <v>541</v>
      </c>
      <c r="C87" s="45" t="s">
        <v>541</v>
      </c>
      <c r="D87" s="45" t="s">
        <v>542</v>
      </c>
      <c r="E87" s="45" t="s">
        <v>543</v>
      </c>
      <c r="F87" s="45">
        <v>1.2</v>
      </c>
      <c r="G87" s="45" t="s">
        <v>544</v>
      </c>
      <c r="H87" s="45">
        <v>54</v>
      </c>
      <c r="I87" s="45" t="s">
        <v>548</v>
      </c>
      <c r="J87" s="142">
        <v>15.6</v>
      </c>
      <c r="K87" s="144">
        <v>1.04</v>
      </c>
    </row>
    <row r="88" spans="1:11" ht="16.05" customHeight="1">
      <c r="A88" s="99" t="s">
        <v>636</v>
      </c>
      <c r="B88" s="45" t="s">
        <v>541</v>
      </c>
      <c r="C88" s="45" t="s">
        <v>541</v>
      </c>
      <c r="D88" s="45" t="s">
        <v>559</v>
      </c>
      <c r="E88" s="45" t="s">
        <v>543</v>
      </c>
      <c r="F88" s="45">
        <v>3.4</v>
      </c>
      <c r="G88" s="45" t="s">
        <v>544</v>
      </c>
      <c r="H88" s="45">
        <v>77</v>
      </c>
      <c r="I88" s="45" t="s">
        <v>545</v>
      </c>
      <c r="J88" s="142">
        <v>28.65</v>
      </c>
      <c r="K88" s="144">
        <v>1.91</v>
      </c>
    </row>
    <row r="89" spans="1:11" ht="16.05" customHeight="1">
      <c r="A89" s="99" t="s">
        <v>637</v>
      </c>
      <c r="B89" s="45" t="s">
        <v>541</v>
      </c>
      <c r="C89" s="45" t="s">
        <v>541</v>
      </c>
      <c r="D89" s="45" t="s">
        <v>559</v>
      </c>
      <c r="E89" s="45" t="s">
        <v>543</v>
      </c>
      <c r="F89" s="45">
        <v>1.9</v>
      </c>
      <c r="G89" s="45" t="s">
        <v>544</v>
      </c>
      <c r="H89" s="45">
        <v>76</v>
      </c>
      <c r="I89" s="45" t="s">
        <v>548</v>
      </c>
      <c r="J89" s="142">
        <v>10.68</v>
      </c>
      <c r="K89" s="144">
        <v>0.71199999999999997</v>
      </c>
    </row>
    <row r="90" spans="1:11" ht="16.05" customHeight="1">
      <c r="A90" s="99" t="s">
        <v>638</v>
      </c>
      <c r="B90" s="45" t="s">
        <v>541</v>
      </c>
      <c r="C90" s="45" t="s">
        <v>541</v>
      </c>
      <c r="D90" s="45" t="s">
        <v>555</v>
      </c>
      <c r="E90" s="45" t="s">
        <v>543</v>
      </c>
      <c r="F90" s="45">
        <v>3.5</v>
      </c>
      <c r="G90" s="45" t="s">
        <v>544</v>
      </c>
      <c r="H90" s="45">
        <v>63</v>
      </c>
      <c r="I90" s="45" t="s">
        <v>548</v>
      </c>
      <c r="J90" s="142">
        <v>15.75</v>
      </c>
      <c r="K90" s="144">
        <v>1.05</v>
      </c>
    </row>
    <row r="91" spans="1:11" ht="16.05" customHeight="1">
      <c r="A91" s="99" t="s">
        <v>639</v>
      </c>
      <c r="B91" s="45" t="s">
        <v>541</v>
      </c>
      <c r="C91" s="45" t="s">
        <v>541</v>
      </c>
      <c r="D91" s="45" t="s">
        <v>555</v>
      </c>
      <c r="E91" s="45" t="s">
        <v>543</v>
      </c>
      <c r="F91" s="45">
        <v>3.1</v>
      </c>
      <c r="G91" s="45" t="s">
        <v>544</v>
      </c>
      <c r="H91" s="45">
        <v>48</v>
      </c>
      <c r="I91" s="45" t="s">
        <v>548</v>
      </c>
      <c r="J91" s="142">
        <v>17.850000000000001</v>
      </c>
      <c r="K91" s="144">
        <v>0.82799999999999996</v>
      </c>
    </row>
    <row r="92" spans="1:11" ht="16.05" customHeight="1">
      <c r="A92" s="99" t="s">
        <v>640</v>
      </c>
      <c r="B92" s="45" t="s">
        <v>540</v>
      </c>
      <c r="C92" s="45" t="s">
        <v>541</v>
      </c>
      <c r="D92" s="45" t="s">
        <v>555</v>
      </c>
      <c r="E92" s="45" t="s">
        <v>543</v>
      </c>
      <c r="F92" s="45">
        <v>3.6</v>
      </c>
      <c r="G92" s="45" t="s">
        <v>544</v>
      </c>
      <c r="H92" s="45">
        <v>52</v>
      </c>
      <c r="I92" s="45" t="s">
        <v>548</v>
      </c>
      <c r="J92" s="142">
        <v>23.25</v>
      </c>
      <c r="K92" s="144">
        <v>1.55</v>
      </c>
    </row>
    <row r="93" spans="1:11" ht="16.05" customHeight="1">
      <c r="A93" s="99" t="s">
        <v>641</v>
      </c>
      <c r="B93" s="45" t="s">
        <v>541</v>
      </c>
      <c r="C93" s="45" t="s">
        <v>541</v>
      </c>
      <c r="D93" s="45" t="s">
        <v>559</v>
      </c>
      <c r="E93" s="45" t="s">
        <v>543</v>
      </c>
      <c r="F93" s="45">
        <v>2.5</v>
      </c>
      <c r="G93" s="45" t="s">
        <v>544</v>
      </c>
      <c r="H93" s="45">
        <v>69</v>
      </c>
      <c r="I93" s="45" t="s">
        <v>548</v>
      </c>
      <c r="J93" s="142">
        <v>15.15</v>
      </c>
      <c r="K93" s="144">
        <v>1.01</v>
      </c>
    </row>
    <row r="94" spans="1:11" ht="16.05" customHeight="1">
      <c r="A94" s="99" t="s">
        <v>642</v>
      </c>
      <c r="B94" s="45" t="s">
        <v>540</v>
      </c>
      <c r="C94" s="45" t="s">
        <v>541</v>
      </c>
      <c r="D94" s="45" t="s">
        <v>559</v>
      </c>
      <c r="E94" s="45" t="s">
        <v>543</v>
      </c>
      <c r="F94" s="45">
        <v>2</v>
      </c>
      <c r="G94" s="45" t="s">
        <v>544</v>
      </c>
      <c r="H94" s="45">
        <v>55</v>
      </c>
      <c r="I94" s="45" t="s">
        <v>548</v>
      </c>
      <c r="J94" s="142">
        <v>14.79</v>
      </c>
      <c r="K94" s="144">
        <v>0.98599999999999999</v>
      </c>
    </row>
    <row r="95" spans="1:11" ht="16.05" customHeight="1">
      <c r="A95" s="99" t="s">
        <v>643</v>
      </c>
      <c r="B95" s="45" t="s">
        <v>540</v>
      </c>
      <c r="C95" s="45" t="s">
        <v>541</v>
      </c>
      <c r="D95" s="45" t="s">
        <v>542</v>
      </c>
      <c r="E95" s="45" t="s">
        <v>543</v>
      </c>
      <c r="F95" s="45">
        <v>1.2</v>
      </c>
      <c r="G95" s="45" t="s">
        <v>544</v>
      </c>
      <c r="H95" s="45">
        <v>55</v>
      </c>
      <c r="I95" s="45" t="s">
        <v>548</v>
      </c>
      <c r="J95" s="142">
        <v>11.88</v>
      </c>
      <c r="K95" s="144">
        <v>0.79200000000000004</v>
      </c>
    </row>
    <row r="96" spans="1:11" ht="16.05" customHeight="1">
      <c r="A96" s="99" t="s">
        <v>644</v>
      </c>
      <c r="B96" s="45" t="s">
        <v>541</v>
      </c>
      <c r="C96" s="45" t="s">
        <v>541</v>
      </c>
      <c r="D96" s="45" t="s">
        <v>542</v>
      </c>
      <c r="E96" s="45" t="s">
        <v>543</v>
      </c>
      <c r="F96" s="45">
        <v>0.3</v>
      </c>
      <c r="G96" s="45" t="s">
        <v>544</v>
      </c>
      <c r="H96" s="45">
        <v>43</v>
      </c>
      <c r="I96" s="45" t="s">
        <v>545</v>
      </c>
      <c r="J96" s="142">
        <v>15</v>
      </c>
      <c r="K96" s="144">
        <v>1</v>
      </c>
    </row>
    <row r="97" spans="1:11" ht="16.05" customHeight="1">
      <c r="A97" s="99" t="s">
        <v>645</v>
      </c>
      <c r="B97" s="45" t="s">
        <v>541</v>
      </c>
      <c r="C97" s="45" t="s">
        <v>541</v>
      </c>
      <c r="D97" s="45" t="s">
        <v>559</v>
      </c>
      <c r="E97" s="45" t="s">
        <v>543</v>
      </c>
      <c r="F97" s="45">
        <v>2.2000000000000002</v>
      </c>
      <c r="G97" s="45" t="s">
        <v>544</v>
      </c>
      <c r="H97" s="45">
        <v>69</v>
      </c>
      <c r="I97" s="45" t="s">
        <v>548</v>
      </c>
      <c r="J97" s="142">
        <v>20.100000000000001</v>
      </c>
      <c r="K97" s="144">
        <v>1.34</v>
      </c>
    </row>
    <row r="98" spans="1:11" ht="16.05" customHeight="1">
      <c r="A98" s="99" t="s">
        <v>646</v>
      </c>
      <c r="B98" s="45" t="s">
        <v>540</v>
      </c>
      <c r="C98" s="45" t="s">
        <v>541</v>
      </c>
      <c r="D98" s="45" t="s">
        <v>542</v>
      </c>
      <c r="E98" s="45" t="s">
        <v>543</v>
      </c>
      <c r="F98" s="45">
        <v>2.5</v>
      </c>
      <c r="G98" s="45" t="s">
        <v>544</v>
      </c>
      <c r="H98" s="45">
        <v>57</v>
      </c>
      <c r="I98" s="45" t="s">
        <v>548</v>
      </c>
      <c r="J98" s="142">
        <v>14.1</v>
      </c>
      <c r="K98" s="144">
        <v>0.94</v>
      </c>
    </row>
    <row r="99" spans="1:11" ht="16.05" customHeight="1">
      <c r="A99" s="99" t="s">
        <v>647</v>
      </c>
      <c r="B99" s="45" t="s">
        <v>540</v>
      </c>
      <c r="C99" s="45" t="s">
        <v>541</v>
      </c>
      <c r="D99" s="45" t="s">
        <v>542</v>
      </c>
      <c r="E99" s="45" t="s">
        <v>543</v>
      </c>
      <c r="F99" s="45">
        <v>1.3</v>
      </c>
      <c r="G99" s="45" t="s">
        <v>544</v>
      </c>
      <c r="H99" s="45">
        <v>42</v>
      </c>
      <c r="I99" s="45" t="s">
        <v>548</v>
      </c>
      <c r="J99" s="142">
        <v>16.05</v>
      </c>
      <c r="K99" s="144">
        <v>1.07</v>
      </c>
    </row>
    <row r="100" spans="1:11" ht="16.05" customHeight="1">
      <c r="A100" s="99" t="s">
        <v>648</v>
      </c>
      <c r="B100" s="45" t="s">
        <v>540</v>
      </c>
      <c r="C100" s="45" t="s">
        <v>541</v>
      </c>
      <c r="D100" s="45" t="s">
        <v>542</v>
      </c>
      <c r="E100" s="45" t="s">
        <v>543</v>
      </c>
      <c r="F100" s="45">
        <v>0.6</v>
      </c>
      <c r="G100" s="45" t="s">
        <v>544</v>
      </c>
      <c r="H100" s="45">
        <v>54</v>
      </c>
      <c r="I100" s="45" t="s">
        <v>548</v>
      </c>
      <c r="J100" s="142">
        <v>15.6</v>
      </c>
      <c r="K100" s="144">
        <v>1.04</v>
      </c>
    </row>
    <row r="101" spans="1:11" ht="16.05" customHeight="1">
      <c r="A101" s="99" t="s">
        <v>649</v>
      </c>
      <c r="B101" s="45" t="s">
        <v>540</v>
      </c>
      <c r="C101" s="45" t="s">
        <v>541</v>
      </c>
      <c r="D101" s="45" t="s">
        <v>542</v>
      </c>
      <c r="E101" s="45" t="s">
        <v>543</v>
      </c>
      <c r="F101" s="45">
        <v>1.1000000000000001</v>
      </c>
      <c r="G101" s="45" t="s">
        <v>544</v>
      </c>
      <c r="H101" s="45">
        <v>47</v>
      </c>
      <c r="I101" s="45" t="s">
        <v>548</v>
      </c>
      <c r="J101" s="142">
        <v>15.9</v>
      </c>
      <c r="K101" s="144">
        <v>1.06</v>
      </c>
    </row>
    <row r="102" spans="1:11" ht="16.05" customHeight="1">
      <c r="A102" s="99" t="s">
        <v>650</v>
      </c>
      <c r="B102" s="45" t="s">
        <v>540</v>
      </c>
      <c r="C102" s="45" t="s">
        <v>541</v>
      </c>
      <c r="D102" s="45" t="s">
        <v>542</v>
      </c>
      <c r="E102" s="45" t="s">
        <v>543</v>
      </c>
      <c r="F102" s="45">
        <v>2.8</v>
      </c>
      <c r="G102" s="45" t="s">
        <v>544</v>
      </c>
      <c r="H102" s="45">
        <v>49</v>
      </c>
      <c r="I102" s="45" t="s">
        <v>545</v>
      </c>
      <c r="J102" s="142">
        <v>23.85</v>
      </c>
      <c r="K102" s="144">
        <v>1.59</v>
      </c>
    </row>
    <row r="103" spans="1:11" ht="16.05" customHeight="1">
      <c r="A103" s="99" t="s">
        <v>651</v>
      </c>
      <c r="B103" s="45" t="s">
        <v>541</v>
      </c>
      <c r="C103" s="45" t="s">
        <v>541</v>
      </c>
      <c r="D103" s="45" t="s">
        <v>559</v>
      </c>
      <c r="E103" s="45" t="s">
        <v>552</v>
      </c>
      <c r="F103" s="45">
        <v>5</v>
      </c>
      <c r="G103" s="45" t="s">
        <v>544</v>
      </c>
      <c r="H103" s="45">
        <v>64</v>
      </c>
      <c r="I103" s="45" t="s">
        <v>545</v>
      </c>
      <c r="J103" s="142">
        <v>15.2</v>
      </c>
      <c r="K103" s="144">
        <v>1.01</v>
      </c>
    </row>
    <row r="104" spans="1:11" ht="16.05" customHeight="1">
      <c r="A104" s="99" t="s">
        <v>652</v>
      </c>
      <c r="B104" s="45" t="s">
        <v>540</v>
      </c>
      <c r="C104" s="45" t="s">
        <v>541</v>
      </c>
      <c r="D104" s="45" t="s">
        <v>542</v>
      </c>
      <c r="E104" s="45" t="s">
        <v>543</v>
      </c>
      <c r="F104" s="45">
        <v>1.5</v>
      </c>
      <c r="G104" s="45" t="s">
        <v>544</v>
      </c>
      <c r="H104" s="45">
        <v>52</v>
      </c>
      <c r="I104" s="45" t="s">
        <v>545</v>
      </c>
      <c r="J104" s="142">
        <v>29.1</v>
      </c>
      <c r="K104" s="144">
        <v>1.94</v>
      </c>
    </row>
    <row r="105" spans="1:11" ht="16.05" customHeight="1">
      <c r="A105" s="99" t="s">
        <v>653</v>
      </c>
      <c r="B105" s="45" t="s">
        <v>540</v>
      </c>
      <c r="C105" s="45" t="s">
        <v>541</v>
      </c>
      <c r="D105" s="45" t="s">
        <v>542</v>
      </c>
      <c r="E105" s="45" t="s">
        <v>543</v>
      </c>
      <c r="F105" s="45">
        <v>0.8</v>
      </c>
      <c r="G105" s="45" t="s">
        <v>544</v>
      </c>
      <c r="H105" s="45">
        <v>54</v>
      </c>
      <c r="I105" s="45" t="s">
        <v>548</v>
      </c>
      <c r="J105" s="142">
        <v>14.4</v>
      </c>
      <c r="K105" s="144">
        <v>0.95799999999999996</v>
      </c>
    </row>
    <row r="106" spans="1:11" ht="16.05" customHeight="1">
      <c r="A106" s="99" t="s">
        <v>654</v>
      </c>
      <c r="B106" s="45" t="s">
        <v>540</v>
      </c>
      <c r="C106" s="45" t="s">
        <v>541</v>
      </c>
      <c r="D106" s="45" t="s">
        <v>542</v>
      </c>
      <c r="E106" s="45" t="s">
        <v>543</v>
      </c>
      <c r="F106" s="45">
        <v>1.2</v>
      </c>
      <c r="G106" s="45" t="s">
        <v>544</v>
      </c>
      <c r="H106" s="45">
        <v>52</v>
      </c>
      <c r="I106" s="45" t="s">
        <v>548</v>
      </c>
      <c r="J106" s="142">
        <v>13.5</v>
      </c>
      <c r="K106" s="144">
        <v>0.89700000000000002</v>
      </c>
    </row>
    <row r="107" spans="1:11" ht="16.05" customHeight="1">
      <c r="A107" s="99" t="s">
        <v>655</v>
      </c>
      <c r="B107" s="45" t="s">
        <v>540</v>
      </c>
      <c r="C107" s="45" t="s">
        <v>541</v>
      </c>
      <c r="D107" s="45" t="s">
        <v>542</v>
      </c>
      <c r="E107" s="45" t="s">
        <v>543</v>
      </c>
      <c r="F107" s="45">
        <v>2</v>
      </c>
      <c r="G107" s="45" t="s">
        <v>544</v>
      </c>
      <c r="H107" s="45">
        <v>41</v>
      </c>
      <c r="I107" s="45" t="s">
        <v>545</v>
      </c>
      <c r="J107" s="142">
        <v>17.899999999999999</v>
      </c>
      <c r="K107" s="144">
        <v>1.19</v>
      </c>
    </row>
    <row r="108" spans="1:11" ht="16.05" customHeight="1">
      <c r="A108" s="99" t="s">
        <v>656</v>
      </c>
      <c r="B108" s="45" t="s">
        <v>540</v>
      </c>
      <c r="C108" s="45" t="s">
        <v>541</v>
      </c>
      <c r="D108" s="45" t="s">
        <v>542</v>
      </c>
      <c r="E108" s="45" t="s">
        <v>543</v>
      </c>
      <c r="F108" s="45">
        <v>1.3</v>
      </c>
      <c r="G108" s="45" t="s">
        <v>544</v>
      </c>
      <c r="H108" s="45">
        <v>54</v>
      </c>
      <c r="I108" s="45" t="s">
        <v>548</v>
      </c>
      <c r="J108" s="142">
        <v>24</v>
      </c>
      <c r="K108" s="144">
        <v>1.6</v>
      </c>
    </row>
    <row r="109" spans="1:11" ht="16.05" customHeight="1">
      <c r="A109" s="99" t="s">
        <v>657</v>
      </c>
      <c r="B109" s="45" t="s">
        <v>540</v>
      </c>
      <c r="C109" s="45" t="s">
        <v>541</v>
      </c>
      <c r="D109" s="45" t="s">
        <v>542</v>
      </c>
      <c r="E109" s="45" t="s">
        <v>543</v>
      </c>
      <c r="F109" s="45">
        <v>0.8</v>
      </c>
      <c r="G109" s="45" t="s">
        <v>544</v>
      </c>
      <c r="H109" s="45">
        <v>44</v>
      </c>
      <c r="I109" s="45" t="s">
        <v>548</v>
      </c>
      <c r="J109" s="142">
        <v>10.9</v>
      </c>
      <c r="K109" s="144">
        <v>0.72699999999999998</v>
      </c>
    </row>
    <row r="110" spans="1:11" ht="16.05" customHeight="1">
      <c r="A110" s="99" t="s">
        <v>658</v>
      </c>
      <c r="B110" s="45" t="s">
        <v>541</v>
      </c>
      <c r="C110" s="45" t="s">
        <v>541</v>
      </c>
      <c r="D110" s="45" t="s">
        <v>542</v>
      </c>
      <c r="E110" s="45" t="s">
        <v>543</v>
      </c>
      <c r="F110" s="45">
        <v>2.9</v>
      </c>
      <c r="G110" s="45" t="s">
        <v>544</v>
      </c>
      <c r="H110" s="45">
        <v>64</v>
      </c>
      <c r="I110" s="45" t="s">
        <v>548</v>
      </c>
      <c r="J110" s="142">
        <v>26.85</v>
      </c>
      <c r="K110" s="144">
        <v>1.79</v>
      </c>
    </row>
    <row r="111" spans="1:11" ht="16.05" customHeight="1">
      <c r="A111" s="99" t="s">
        <v>659</v>
      </c>
      <c r="B111" s="45" t="s">
        <v>540</v>
      </c>
      <c r="C111" s="45" t="s">
        <v>541</v>
      </c>
      <c r="D111" s="45" t="s">
        <v>555</v>
      </c>
      <c r="E111" s="45" t="s">
        <v>564</v>
      </c>
      <c r="F111" s="45">
        <v>3.5</v>
      </c>
      <c r="G111" s="45" t="s">
        <v>544</v>
      </c>
      <c r="H111" s="45">
        <v>75</v>
      </c>
      <c r="I111" s="45" t="s">
        <v>545</v>
      </c>
      <c r="J111" s="142">
        <v>13.65</v>
      </c>
      <c r="K111" s="144">
        <v>0.91</v>
      </c>
    </row>
    <row r="112" spans="1:11" ht="16.05" customHeight="1">
      <c r="A112" s="99" t="s">
        <v>660</v>
      </c>
      <c r="B112" s="45" t="s">
        <v>541</v>
      </c>
      <c r="C112" s="45" t="s">
        <v>541</v>
      </c>
      <c r="D112" s="45" t="s">
        <v>550</v>
      </c>
      <c r="E112" s="45" t="s">
        <v>543</v>
      </c>
      <c r="F112" s="45">
        <v>2.4</v>
      </c>
      <c r="G112" s="45" t="s">
        <v>544</v>
      </c>
      <c r="H112" s="45">
        <v>65</v>
      </c>
      <c r="I112" s="45" t="s">
        <v>545</v>
      </c>
      <c r="J112" s="142">
        <v>11.61</v>
      </c>
      <c r="K112" s="144">
        <v>0.77400000000000002</v>
      </c>
    </row>
    <row r="113" spans="1:11" ht="16.05" customHeight="1">
      <c r="A113" s="99" t="s">
        <v>661</v>
      </c>
      <c r="B113" s="45" t="s">
        <v>540</v>
      </c>
      <c r="C113" s="45" t="s">
        <v>541</v>
      </c>
      <c r="D113" s="45" t="s">
        <v>550</v>
      </c>
      <c r="E113" s="45" t="s">
        <v>543</v>
      </c>
      <c r="F113" s="45">
        <v>1.8</v>
      </c>
      <c r="G113" s="45" t="s">
        <v>544</v>
      </c>
      <c r="H113" s="45">
        <v>53</v>
      </c>
      <c r="I113" s="45" t="s">
        <v>545</v>
      </c>
      <c r="J113" s="142">
        <v>24.75</v>
      </c>
      <c r="K113" s="144">
        <v>1.65</v>
      </c>
    </row>
    <row r="114" spans="1:11" ht="16.05" customHeight="1">
      <c r="A114" s="99" t="s">
        <v>662</v>
      </c>
      <c r="B114" s="45" t="s">
        <v>541</v>
      </c>
      <c r="C114" s="45" t="s">
        <v>541</v>
      </c>
      <c r="D114" s="45" t="s">
        <v>559</v>
      </c>
      <c r="E114" s="45" t="s">
        <v>543</v>
      </c>
      <c r="F114" s="45">
        <v>3.3</v>
      </c>
      <c r="G114" s="45" t="s">
        <v>544</v>
      </c>
      <c r="H114" s="45">
        <v>67</v>
      </c>
      <c r="I114" s="45" t="s">
        <v>545</v>
      </c>
      <c r="J114" s="142">
        <v>30</v>
      </c>
      <c r="K114" s="144">
        <v>2.5099999999999998</v>
      </c>
    </row>
    <row r="115" spans="1:11" ht="16.05" customHeight="1">
      <c r="A115" s="99" t="s">
        <v>663</v>
      </c>
      <c r="B115" s="45" t="s">
        <v>540</v>
      </c>
      <c r="C115" s="45" t="s">
        <v>541</v>
      </c>
      <c r="D115" s="45" t="s">
        <v>542</v>
      </c>
      <c r="E115" s="45" t="s">
        <v>543</v>
      </c>
      <c r="F115" s="45">
        <v>2</v>
      </c>
      <c r="G115" s="45" t="s">
        <v>544</v>
      </c>
      <c r="H115" s="45">
        <v>54</v>
      </c>
      <c r="I115" s="45" t="s">
        <v>548</v>
      </c>
      <c r="J115" s="142">
        <v>13.74</v>
      </c>
      <c r="K115" s="144">
        <v>0.91600000000000004</v>
      </c>
    </row>
    <row r="116" spans="1:11" ht="16.05" customHeight="1">
      <c r="A116" s="99" t="s">
        <v>664</v>
      </c>
      <c r="B116" s="45" t="s">
        <v>541</v>
      </c>
      <c r="C116" s="45" t="s">
        <v>541</v>
      </c>
      <c r="D116" s="45" t="s">
        <v>559</v>
      </c>
      <c r="E116" s="45" t="s">
        <v>543</v>
      </c>
      <c r="F116" s="45">
        <v>5</v>
      </c>
      <c r="G116" s="45" t="s">
        <v>544</v>
      </c>
      <c r="H116" s="45">
        <v>67</v>
      </c>
      <c r="I116" s="45" t="s">
        <v>545</v>
      </c>
      <c r="J116" s="142">
        <v>17.850000000000001</v>
      </c>
      <c r="K116" s="144">
        <v>1.19</v>
      </c>
    </row>
    <row r="117" spans="1:11" ht="16.05" customHeight="1">
      <c r="A117" s="99" t="s">
        <v>665</v>
      </c>
      <c r="B117" s="45" t="s">
        <v>540</v>
      </c>
      <c r="C117" s="45" t="s">
        <v>541</v>
      </c>
      <c r="D117" s="45" t="s">
        <v>542</v>
      </c>
      <c r="E117" s="45" t="s">
        <v>543</v>
      </c>
      <c r="F117" s="45">
        <v>1.5</v>
      </c>
      <c r="G117" s="45" t="s">
        <v>544</v>
      </c>
      <c r="H117" s="45">
        <v>49</v>
      </c>
      <c r="I117" s="45" t="s">
        <v>548</v>
      </c>
      <c r="J117" s="142">
        <v>11.91</v>
      </c>
      <c r="K117" s="144">
        <v>0.79400000000000004</v>
      </c>
    </row>
    <row r="118" spans="1:11" ht="16.05" customHeight="1">
      <c r="A118" s="99" t="s">
        <v>666</v>
      </c>
      <c r="B118" s="45" t="s">
        <v>540</v>
      </c>
      <c r="C118" s="45" t="s">
        <v>541</v>
      </c>
      <c r="D118" s="45" t="s">
        <v>542</v>
      </c>
      <c r="E118" s="45" t="s">
        <v>543</v>
      </c>
      <c r="F118" s="45">
        <v>0.8</v>
      </c>
      <c r="G118" s="45" t="s">
        <v>544</v>
      </c>
      <c r="H118" s="45">
        <v>53</v>
      </c>
      <c r="I118" s="45" t="s">
        <v>548</v>
      </c>
      <c r="J118" s="142">
        <v>19.5</v>
      </c>
      <c r="K118" s="144">
        <v>1.3</v>
      </c>
    </row>
    <row r="119" spans="1:11" ht="16.05" customHeight="1">
      <c r="A119" s="99" t="s">
        <v>667</v>
      </c>
      <c r="B119" s="45" t="s">
        <v>541</v>
      </c>
      <c r="C119" s="45" t="s">
        <v>541</v>
      </c>
      <c r="D119" s="45" t="s">
        <v>542</v>
      </c>
      <c r="E119" s="45" t="s">
        <v>543</v>
      </c>
      <c r="F119" s="45">
        <v>2</v>
      </c>
      <c r="G119" s="45" t="s">
        <v>544</v>
      </c>
      <c r="H119" s="45">
        <v>53</v>
      </c>
      <c r="I119" s="45" t="s">
        <v>548</v>
      </c>
      <c r="J119" s="142">
        <v>14.49</v>
      </c>
      <c r="K119" s="144">
        <v>0.96599999999999997</v>
      </c>
    </row>
    <row r="120" spans="1:11" ht="16.05" customHeight="1">
      <c r="A120" s="99" t="s">
        <v>668</v>
      </c>
      <c r="B120" s="45" t="s">
        <v>540</v>
      </c>
      <c r="C120" s="45" t="s">
        <v>541</v>
      </c>
      <c r="D120" s="45" t="s">
        <v>542</v>
      </c>
      <c r="E120" s="45" t="s">
        <v>543</v>
      </c>
      <c r="F120" s="45">
        <v>2.1</v>
      </c>
      <c r="G120" s="45" t="s">
        <v>544</v>
      </c>
      <c r="H120" s="45">
        <v>54</v>
      </c>
      <c r="I120" s="45" t="s">
        <v>548</v>
      </c>
      <c r="J120" s="142">
        <v>15.45</v>
      </c>
      <c r="K120" s="144">
        <v>1.03</v>
      </c>
    </row>
    <row r="121" spans="1:11" ht="16.05" customHeight="1">
      <c r="A121" s="99" t="s">
        <v>669</v>
      </c>
      <c r="B121" s="45" t="s">
        <v>540</v>
      </c>
      <c r="C121" s="45" t="s">
        <v>541</v>
      </c>
      <c r="D121" s="45" t="s">
        <v>542</v>
      </c>
      <c r="E121" s="45" t="s">
        <v>543</v>
      </c>
      <c r="F121" s="45">
        <v>0.9</v>
      </c>
      <c r="G121" s="45" t="s">
        <v>544</v>
      </c>
      <c r="H121" s="45">
        <v>54</v>
      </c>
      <c r="I121" s="45" t="s">
        <v>545</v>
      </c>
      <c r="J121" s="142">
        <v>30</v>
      </c>
      <c r="K121" s="144">
        <v>2.0099999999999998</v>
      </c>
    </row>
    <row r="122" spans="1:11" ht="16.05" customHeight="1">
      <c r="A122" s="99" t="s">
        <v>670</v>
      </c>
      <c r="B122" s="45" t="s">
        <v>540</v>
      </c>
      <c r="C122" s="45" t="s">
        <v>541</v>
      </c>
      <c r="D122" s="45" t="s">
        <v>542</v>
      </c>
      <c r="E122" s="45" t="s">
        <v>543</v>
      </c>
      <c r="F122" s="45">
        <v>2.4</v>
      </c>
      <c r="G122" s="45" t="s">
        <v>544</v>
      </c>
      <c r="H122" s="45">
        <v>60</v>
      </c>
      <c r="I122" s="45" t="s">
        <v>548</v>
      </c>
      <c r="J122" s="142">
        <v>30</v>
      </c>
      <c r="K122" s="144">
        <v>2.12</v>
      </c>
    </row>
    <row r="123" spans="1:11" ht="16.05" customHeight="1">
      <c r="A123" s="99" t="s">
        <v>671</v>
      </c>
      <c r="B123" s="45" t="s">
        <v>540</v>
      </c>
      <c r="C123" s="45" t="s">
        <v>541</v>
      </c>
      <c r="D123" s="45" t="s">
        <v>542</v>
      </c>
      <c r="E123" s="45" t="s">
        <v>543</v>
      </c>
      <c r="F123" s="45">
        <v>1</v>
      </c>
      <c r="G123" s="45" t="s">
        <v>544</v>
      </c>
      <c r="H123" s="45">
        <v>54</v>
      </c>
      <c r="I123" s="45" t="s">
        <v>545</v>
      </c>
      <c r="J123" s="142">
        <v>12.56</v>
      </c>
      <c r="K123" s="144">
        <v>0.83699999999999997</v>
      </c>
    </row>
    <row r="124" spans="1:11" ht="16.05" customHeight="1">
      <c r="A124" s="99" t="s">
        <v>672</v>
      </c>
      <c r="B124" s="45" t="s">
        <v>540</v>
      </c>
      <c r="C124" s="45" t="s">
        <v>541</v>
      </c>
      <c r="D124" s="45" t="s">
        <v>542</v>
      </c>
      <c r="E124" s="45" t="s">
        <v>543</v>
      </c>
      <c r="F124" s="45">
        <v>0.9</v>
      </c>
      <c r="G124" s="45" t="s">
        <v>544</v>
      </c>
      <c r="H124" s="45">
        <v>51</v>
      </c>
      <c r="I124" s="45" t="s">
        <v>548</v>
      </c>
      <c r="J124" s="142">
        <v>13.58</v>
      </c>
      <c r="K124" s="144">
        <v>0.90500000000000003</v>
      </c>
    </row>
    <row r="125" spans="1:11" ht="16.05" customHeight="1">
      <c r="A125" s="99" t="s">
        <v>673</v>
      </c>
      <c r="B125" s="45" t="s">
        <v>541</v>
      </c>
      <c r="C125" s="45" t="s">
        <v>541</v>
      </c>
      <c r="D125" s="45" t="s">
        <v>542</v>
      </c>
      <c r="E125" s="45" t="s">
        <v>543</v>
      </c>
      <c r="F125" s="45">
        <v>0.7</v>
      </c>
      <c r="G125" s="45" t="s">
        <v>544</v>
      </c>
      <c r="H125" s="45">
        <v>54</v>
      </c>
      <c r="I125" s="45" t="s">
        <v>548</v>
      </c>
      <c r="J125" s="142">
        <v>18.149999999999999</v>
      </c>
      <c r="K125" s="144">
        <v>1.21</v>
      </c>
    </row>
    <row r="126" spans="1:11" ht="16.05" customHeight="1">
      <c r="A126" s="99" t="s">
        <v>674</v>
      </c>
      <c r="B126" s="45" t="s">
        <v>541</v>
      </c>
      <c r="C126" s="45" t="s">
        <v>541</v>
      </c>
      <c r="D126" s="45" t="s">
        <v>555</v>
      </c>
      <c r="E126" s="45" t="s">
        <v>543</v>
      </c>
      <c r="F126" s="45">
        <v>3.2</v>
      </c>
      <c r="G126" s="45" t="s">
        <v>544</v>
      </c>
      <c r="H126" s="45">
        <v>54</v>
      </c>
      <c r="I126" s="45" t="s">
        <v>548</v>
      </c>
      <c r="J126" s="142">
        <v>22.95</v>
      </c>
      <c r="K126" s="144">
        <v>1.53</v>
      </c>
    </row>
    <row r="127" spans="1:11" ht="16.05" customHeight="1">
      <c r="A127" s="99" t="s">
        <v>675</v>
      </c>
      <c r="B127" s="45" t="s">
        <v>541</v>
      </c>
      <c r="C127" s="45" t="s">
        <v>541</v>
      </c>
      <c r="D127" s="45" t="s">
        <v>559</v>
      </c>
      <c r="E127" s="45" t="s">
        <v>552</v>
      </c>
      <c r="F127" s="45">
        <v>4.2</v>
      </c>
      <c r="G127" s="45" t="s">
        <v>544</v>
      </c>
      <c r="H127" s="45">
        <v>59</v>
      </c>
      <c r="I127" s="45" t="s">
        <v>545</v>
      </c>
      <c r="J127" s="142">
        <v>11.28</v>
      </c>
      <c r="K127" s="144">
        <v>0.752</v>
      </c>
    </row>
    <row r="128" spans="1:11" ht="16.05" customHeight="1">
      <c r="A128" s="99" t="s">
        <v>676</v>
      </c>
      <c r="B128" s="45" t="s">
        <v>540</v>
      </c>
      <c r="C128" s="45" t="s">
        <v>541</v>
      </c>
      <c r="D128" s="45" t="s">
        <v>542</v>
      </c>
      <c r="E128" s="45" t="s">
        <v>543</v>
      </c>
      <c r="F128" s="45">
        <v>0.52</v>
      </c>
      <c r="G128" s="45" t="s">
        <v>544</v>
      </c>
      <c r="H128" s="45">
        <v>41</v>
      </c>
      <c r="I128" s="45" t="s">
        <v>548</v>
      </c>
      <c r="J128" s="142">
        <v>13.13</v>
      </c>
      <c r="K128" s="144">
        <v>0.875</v>
      </c>
    </row>
    <row r="129" spans="1:11" ht="16.05" customHeight="1">
      <c r="A129" s="99" t="s">
        <v>677</v>
      </c>
      <c r="B129" s="45" t="s">
        <v>540</v>
      </c>
      <c r="C129" s="45" t="s">
        <v>541</v>
      </c>
      <c r="D129" s="45" t="s">
        <v>542</v>
      </c>
      <c r="E129" s="45" t="s">
        <v>543</v>
      </c>
      <c r="F129" s="45">
        <v>1</v>
      </c>
      <c r="G129" s="45" t="s">
        <v>544</v>
      </c>
      <c r="H129" s="45">
        <v>54</v>
      </c>
      <c r="I129" s="45" t="s">
        <v>545</v>
      </c>
      <c r="J129" s="142">
        <v>18.45</v>
      </c>
      <c r="K129" s="144">
        <v>1.23</v>
      </c>
    </row>
    <row r="130" spans="1:11" ht="16.05" customHeight="1">
      <c r="A130" s="99" t="s">
        <v>678</v>
      </c>
      <c r="B130" s="45" t="s">
        <v>540</v>
      </c>
      <c r="C130" s="45" t="s">
        <v>541</v>
      </c>
      <c r="D130" s="45" t="s">
        <v>559</v>
      </c>
      <c r="E130" s="45" t="s">
        <v>552</v>
      </c>
      <c r="F130" s="45">
        <v>3.1</v>
      </c>
      <c r="G130" s="45" t="s">
        <v>544</v>
      </c>
      <c r="H130" s="45">
        <v>60</v>
      </c>
      <c r="I130" s="45" t="s">
        <v>545</v>
      </c>
      <c r="J130" s="142">
        <v>23.7</v>
      </c>
      <c r="K130" s="144">
        <v>1.58</v>
      </c>
    </row>
    <row r="131" spans="1:11" ht="16.05" customHeight="1">
      <c r="A131" s="99" t="s">
        <v>679</v>
      </c>
      <c r="B131" s="45" t="s">
        <v>541</v>
      </c>
      <c r="C131" s="45" t="s">
        <v>541</v>
      </c>
      <c r="D131" s="45" t="s">
        <v>550</v>
      </c>
      <c r="E131" s="45" t="s">
        <v>543</v>
      </c>
      <c r="F131" s="45">
        <v>12</v>
      </c>
      <c r="G131" s="45" t="s">
        <v>544</v>
      </c>
      <c r="H131" s="45">
        <v>54</v>
      </c>
      <c r="I131" s="45" t="s">
        <v>545</v>
      </c>
      <c r="J131" s="142">
        <v>10</v>
      </c>
      <c r="K131" s="144">
        <v>0.97199999999999998</v>
      </c>
    </row>
    <row r="132" spans="1:11" ht="16.05" customHeight="1">
      <c r="A132" s="99" t="s">
        <v>680</v>
      </c>
      <c r="B132" s="45" t="s">
        <v>541</v>
      </c>
      <c r="C132" s="45" t="s">
        <v>541</v>
      </c>
      <c r="D132" s="45" t="s">
        <v>550</v>
      </c>
      <c r="E132" s="45" t="s">
        <v>543</v>
      </c>
      <c r="F132" s="45">
        <v>9</v>
      </c>
      <c r="G132" s="45" t="s">
        <v>544</v>
      </c>
      <c r="H132" s="45">
        <v>66</v>
      </c>
      <c r="I132" s="45" t="s">
        <v>548</v>
      </c>
      <c r="J132" s="142">
        <v>10</v>
      </c>
      <c r="K132" s="144">
        <v>1.53</v>
      </c>
    </row>
    <row r="133" spans="1:11" ht="16.05" customHeight="1">
      <c r="A133" s="99" t="s">
        <v>681</v>
      </c>
      <c r="B133" s="45" t="s">
        <v>541</v>
      </c>
      <c r="C133" s="45" t="s">
        <v>541</v>
      </c>
      <c r="D133" s="45" t="s">
        <v>550</v>
      </c>
      <c r="E133" s="45" t="s">
        <v>552</v>
      </c>
      <c r="F133" s="45">
        <v>5</v>
      </c>
      <c r="G133" s="45" t="s">
        <v>544</v>
      </c>
      <c r="H133" s="45">
        <v>70</v>
      </c>
      <c r="I133" s="45" t="s">
        <v>545</v>
      </c>
      <c r="J133" s="142">
        <v>10</v>
      </c>
      <c r="K133" s="144">
        <v>1.18</v>
      </c>
    </row>
    <row r="134" spans="1:11" ht="16.05" customHeight="1">
      <c r="A134" s="99" t="s">
        <v>682</v>
      </c>
      <c r="B134" s="45" t="s">
        <v>541</v>
      </c>
      <c r="C134" s="45" t="s">
        <v>541</v>
      </c>
      <c r="D134" s="45" t="s">
        <v>559</v>
      </c>
      <c r="E134" s="45" t="s">
        <v>552</v>
      </c>
      <c r="F134" s="45">
        <v>6</v>
      </c>
      <c r="G134" s="45" t="s">
        <v>544</v>
      </c>
      <c r="H134" s="45">
        <v>72</v>
      </c>
      <c r="I134" s="45" t="s">
        <v>545</v>
      </c>
      <c r="J134" s="142">
        <v>10</v>
      </c>
      <c r="K134" s="144">
        <v>0.67500000000000004</v>
      </c>
    </row>
    <row r="135" spans="1:11" ht="16.05" customHeight="1">
      <c r="A135" s="99" t="s">
        <v>683</v>
      </c>
      <c r="B135" s="45" t="s">
        <v>541</v>
      </c>
      <c r="C135" s="45" t="s">
        <v>541</v>
      </c>
      <c r="D135" s="45" t="s">
        <v>550</v>
      </c>
      <c r="E135" s="45" t="s">
        <v>543</v>
      </c>
      <c r="F135" s="45">
        <v>6</v>
      </c>
      <c r="G135" s="45" t="s">
        <v>544</v>
      </c>
      <c r="H135" s="45">
        <v>55</v>
      </c>
      <c r="I135" s="45" t="s">
        <v>548</v>
      </c>
      <c r="J135" s="142">
        <v>10</v>
      </c>
      <c r="K135" s="144">
        <v>1.06</v>
      </c>
    </row>
    <row r="136" spans="1:11" ht="16.05" customHeight="1">
      <c r="A136" s="99" t="s">
        <v>684</v>
      </c>
      <c r="B136" s="45" t="s">
        <v>541</v>
      </c>
      <c r="C136" s="45" t="s">
        <v>541</v>
      </c>
      <c r="D136" s="45" t="s">
        <v>559</v>
      </c>
      <c r="E136" s="45" t="s">
        <v>543</v>
      </c>
      <c r="F136" s="45">
        <v>6</v>
      </c>
      <c r="G136" s="45" t="s">
        <v>544</v>
      </c>
      <c r="H136" s="45">
        <v>71</v>
      </c>
      <c r="I136" s="45" t="s">
        <v>548</v>
      </c>
      <c r="J136" s="142">
        <v>10</v>
      </c>
      <c r="K136" s="144">
        <v>1.19</v>
      </c>
    </row>
    <row r="137" spans="1:11" ht="16.05" customHeight="1">
      <c r="A137" s="99" t="s">
        <v>685</v>
      </c>
      <c r="B137" s="45" t="s">
        <v>541</v>
      </c>
      <c r="C137" s="45" t="s">
        <v>541</v>
      </c>
      <c r="D137" s="45" t="s">
        <v>559</v>
      </c>
      <c r="E137" s="45" t="s">
        <v>543</v>
      </c>
      <c r="F137" s="45">
        <v>4</v>
      </c>
      <c r="G137" s="45" t="s">
        <v>544</v>
      </c>
      <c r="H137" s="45">
        <v>62</v>
      </c>
      <c r="I137" s="45" t="s">
        <v>545</v>
      </c>
      <c r="J137" s="142">
        <v>10</v>
      </c>
      <c r="K137" s="144">
        <v>1.01</v>
      </c>
    </row>
    <row r="138" spans="1:11" ht="16.05" customHeight="1">
      <c r="A138" s="99" t="s">
        <v>686</v>
      </c>
      <c r="B138" s="45" t="s">
        <v>541</v>
      </c>
      <c r="C138" s="45" t="s">
        <v>541</v>
      </c>
      <c r="D138" s="45" t="s">
        <v>550</v>
      </c>
      <c r="E138" s="45" t="s">
        <v>543</v>
      </c>
      <c r="F138" s="45">
        <v>3</v>
      </c>
      <c r="G138" s="45" t="s">
        <v>544</v>
      </c>
      <c r="H138" s="45">
        <v>67</v>
      </c>
      <c r="I138" s="45" t="s">
        <v>548</v>
      </c>
      <c r="J138" s="142">
        <v>10</v>
      </c>
      <c r="K138" s="144">
        <v>0.84499999999999997</v>
      </c>
    </row>
    <row r="139" spans="1:11" ht="16.05" customHeight="1">
      <c r="A139" s="99" t="s">
        <v>687</v>
      </c>
      <c r="B139" s="45" t="s">
        <v>540</v>
      </c>
      <c r="C139" s="45" t="s">
        <v>541</v>
      </c>
      <c r="D139" s="45" t="s">
        <v>559</v>
      </c>
      <c r="E139" s="45" t="s">
        <v>543</v>
      </c>
      <c r="F139" s="45">
        <v>4.5</v>
      </c>
      <c r="G139" s="45" t="s">
        <v>544</v>
      </c>
      <c r="H139" s="45">
        <v>47</v>
      </c>
      <c r="I139" s="45" t="s">
        <v>545</v>
      </c>
      <c r="J139" s="142">
        <v>10</v>
      </c>
      <c r="K139" s="144">
        <v>0.81699999999999995</v>
      </c>
    </row>
    <row r="140" spans="1:11" ht="16.05" customHeight="1">
      <c r="A140" s="99" t="s">
        <v>688</v>
      </c>
      <c r="B140" s="45" t="s">
        <v>540</v>
      </c>
      <c r="C140" s="45" t="s">
        <v>541</v>
      </c>
      <c r="D140" s="45" t="s">
        <v>542</v>
      </c>
      <c r="E140" s="45" t="s">
        <v>552</v>
      </c>
      <c r="F140" s="45">
        <v>2.4</v>
      </c>
      <c r="G140" s="45" t="s">
        <v>544</v>
      </c>
      <c r="H140" s="45">
        <v>56</v>
      </c>
      <c r="I140" s="45" t="s">
        <v>545</v>
      </c>
      <c r="J140" s="142">
        <v>10</v>
      </c>
      <c r="K140" s="144">
        <v>0.61199999999999999</v>
      </c>
    </row>
    <row r="141" spans="1:11" ht="16.05" customHeight="1">
      <c r="A141" s="99" t="s">
        <v>689</v>
      </c>
      <c r="B141" s="45" t="s">
        <v>541</v>
      </c>
      <c r="C141" s="45" t="s">
        <v>541</v>
      </c>
      <c r="D141" s="45" t="s">
        <v>550</v>
      </c>
      <c r="E141" s="45" t="s">
        <v>552</v>
      </c>
      <c r="F141" s="45">
        <v>6.5</v>
      </c>
      <c r="G141" s="45" t="s">
        <v>544</v>
      </c>
      <c r="H141" s="45">
        <v>68</v>
      </c>
      <c r="I141" s="45" t="s">
        <v>545</v>
      </c>
      <c r="J141" s="142">
        <v>10</v>
      </c>
      <c r="K141" s="144">
        <v>1.1299999999999999</v>
      </c>
    </row>
    <row r="142" spans="1:11" ht="16.05" customHeight="1">
      <c r="A142" s="99" t="s">
        <v>690</v>
      </c>
      <c r="B142" s="45" t="s">
        <v>541</v>
      </c>
      <c r="C142" s="45" t="s">
        <v>541</v>
      </c>
      <c r="D142" s="45" t="s">
        <v>550</v>
      </c>
      <c r="E142" s="45" t="s">
        <v>564</v>
      </c>
      <c r="F142" s="45">
        <v>3.5</v>
      </c>
      <c r="G142" s="45" t="s">
        <v>544</v>
      </c>
      <c r="H142" s="45">
        <v>58</v>
      </c>
      <c r="I142" s="45" t="s">
        <v>545</v>
      </c>
      <c r="J142" s="142">
        <v>10</v>
      </c>
      <c r="K142" s="144">
        <v>0.77500000000000002</v>
      </c>
    </row>
    <row r="143" spans="1:11" ht="16.05" customHeight="1">
      <c r="A143" s="99" t="s">
        <v>691</v>
      </c>
      <c r="B143" s="45" t="s">
        <v>541</v>
      </c>
      <c r="C143" s="45" t="s">
        <v>541</v>
      </c>
      <c r="D143" s="45" t="s">
        <v>542</v>
      </c>
      <c r="E143" s="45" t="s">
        <v>543</v>
      </c>
      <c r="F143" s="45">
        <v>1</v>
      </c>
      <c r="G143" s="45" t="s">
        <v>692</v>
      </c>
      <c r="H143" s="45" t="s">
        <v>693</v>
      </c>
      <c r="I143" s="45" t="s">
        <v>548</v>
      </c>
      <c r="J143" s="142">
        <v>19</v>
      </c>
      <c r="K143" s="144">
        <v>1.9</v>
      </c>
    </row>
    <row r="144" spans="1:11" ht="16.05" customHeight="1">
      <c r="A144" s="99" t="s">
        <v>694</v>
      </c>
      <c r="B144" s="45" t="s">
        <v>540</v>
      </c>
      <c r="C144" s="45" t="s">
        <v>541</v>
      </c>
      <c r="D144" s="45" t="s">
        <v>542</v>
      </c>
      <c r="E144" s="45" t="s">
        <v>543</v>
      </c>
      <c r="F144" s="45">
        <v>2</v>
      </c>
      <c r="G144" s="45" t="s">
        <v>692</v>
      </c>
      <c r="H144" s="45">
        <v>58</v>
      </c>
      <c r="I144" s="45" t="s">
        <v>548</v>
      </c>
      <c r="J144" s="142">
        <v>10.5</v>
      </c>
      <c r="K144" s="144">
        <v>1.05</v>
      </c>
    </row>
    <row r="145" spans="1:11" ht="16.05" customHeight="1">
      <c r="A145" s="99" t="s">
        <v>695</v>
      </c>
      <c r="B145" s="45" t="s">
        <v>540</v>
      </c>
      <c r="C145" s="45" t="s">
        <v>541</v>
      </c>
      <c r="D145" s="45" t="s">
        <v>542</v>
      </c>
      <c r="E145" s="45" t="s">
        <v>543</v>
      </c>
      <c r="F145" s="45">
        <v>1.8</v>
      </c>
      <c r="G145" s="45" t="s">
        <v>692</v>
      </c>
      <c r="H145" s="45">
        <v>59</v>
      </c>
      <c r="I145" s="45" t="s">
        <v>548</v>
      </c>
      <c r="J145" s="142">
        <v>12.1</v>
      </c>
      <c r="K145" s="144">
        <v>1.21</v>
      </c>
    </row>
    <row r="146" spans="1:11" ht="16.05" customHeight="1">
      <c r="A146" s="99" t="s">
        <v>696</v>
      </c>
      <c r="B146" s="45" t="s">
        <v>540</v>
      </c>
      <c r="C146" s="45" t="s">
        <v>541</v>
      </c>
      <c r="D146" s="45" t="s">
        <v>542</v>
      </c>
      <c r="E146" s="45" t="s">
        <v>543</v>
      </c>
      <c r="F146" s="45">
        <v>1.7</v>
      </c>
      <c r="G146" s="45" t="s">
        <v>692</v>
      </c>
      <c r="H146" s="45">
        <v>58</v>
      </c>
      <c r="I146" s="45" t="s">
        <v>548</v>
      </c>
      <c r="J146" s="142">
        <v>12.5</v>
      </c>
      <c r="K146" s="144">
        <v>1.25</v>
      </c>
    </row>
    <row r="147" spans="1:11" ht="16.05" customHeight="1">
      <c r="A147" s="99" t="s">
        <v>697</v>
      </c>
      <c r="B147" s="45" t="s">
        <v>541</v>
      </c>
      <c r="C147" s="45" t="s">
        <v>541</v>
      </c>
      <c r="D147" s="45" t="s">
        <v>542</v>
      </c>
      <c r="E147" s="45" t="s">
        <v>543</v>
      </c>
      <c r="F147" s="45">
        <v>1.2</v>
      </c>
      <c r="G147" s="45" t="s">
        <v>692</v>
      </c>
      <c r="H147" s="45">
        <v>59</v>
      </c>
      <c r="I147" s="45" t="s">
        <v>548</v>
      </c>
      <c r="J147" s="142">
        <v>14</v>
      </c>
      <c r="K147" s="144">
        <v>1.4</v>
      </c>
    </row>
    <row r="148" spans="1:11" ht="16.05" customHeight="1">
      <c r="A148" s="99" t="s">
        <v>698</v>
      </c>
      <c r="B148" s="45" t="s">
        <v>541</v>
      </c>
      <c r="C148" s="45" t="s">
        <v>541</v>
      </c>
      <c r="D148" s="45" t="s">
        <v>542</v>
      </c>
      <c r="E148" s="45" t="s">
        <v>543</v>
      </c>
      <c r="F148" s="45">
        <v>1.7</v>
      </c>
      <c r="G148" s="45" t="s">
        <v>692</v>
      </c>
      <c r="H148" s="45">
        <v>59</v>
      </c>
      <c r="I148" s="45" t="s">
        <v>548</v>
      </c>
      <c r="J148" s="142">
        <v>10.199999999999999</v>
      </c>
      <c r="K148" s="144">
        <v>1.02</v>
      </c>
    </row>
    <row r="149" spans="1:11" ht="16.05" customHeight="1">
      <c r="A149" s="99" t="s">
        <v>699</v>
      </c>
      <c r="B149" s="45" t="s">
        <v>541</v>
      </c>
      <c r="C149" s="45" t="s">
        <v>541</v>
      </c>
      <c r="D149" s="45" t="s">
        <v>542</v>
      </c>
      <c r="E149" s="45" t="s">
        <v>543</v>
      </c>
      <c r="F149" s="45">
        <v>0.7</v>
      </c>
      <c r="G149" s="45" t="s">
        <v>692</v>
      </c>
      <c r="H149" s="45">
        <v>60</v>
      </c>
      <c r="I149" s="45" t="s">
        <v>548</v>
      </c>
      <c r="J149" s="142">
        <v>15.7</v>
      </c>
      <c r="K149" s="144">
        <v>1.57</v>
      </c>
    </row>
    <row r="150" spans="1:11" ht="16.05" customHeight="1">
      <c r="A150" s="99" t="s">
        <v>700</v>
      </c>
      <c r="B150" s="45" t="s">
        <v>540</v>
      </c>
      <c r="C150" s="45" t="s">
        <v>541</v>
      </c>
      <c r="D150" s="45" t="s">
        <v>542</v>
      </c>
      <c r="E150" s="45" t="s">
        <v>552</v>
      </c>
      <c r="F150" s="45">
        <v>1</v>
      </c>
      <c r="G150" s="45" t="s">
        <v>692</v>
      </c>
      <c r="H150" s="45">
        <v>60</v>
      </c>
      <c r="I150" s="45" t="s">
        <v>545</v>
      </c>
      <c r="J150" s="142">
        <v>21.6</v>
      </c>
      <c r="K150" s="144">
        <v>2.16</v>
      </c>
    </row>
    <row r="151" spans="1:11" ht="16.05" customHeight="1">
      <c r="A151" s="99" t="s">
        <v>701</v>
      </c>
      <c r="B151" s="45" t="s">
        <v>540</v>
      </c>
      <c r="C151" s="45" t="s">
        <v>541</v>
      </c>
      <c r="D151" s="45" t="s">
        <v>542</v>
      </c>
      <c r="E151" s="45" t="s">
        <v>543</v>
      </c>
      <c r="F151" s="45">
        <v>2</v>
      </c>
      <c r="G151" s="45" t="s">
        <v>692</v>
      </c>
      <c r="H151" s="45">
        <v>71</v>
      </c>
      <c r="I151" s="45" t="s">
        <v>548</v>
      </c>
      <c r="J151" s="142">
        <v>22.8</v>
      </c>
      <c r="K151" s="144">
        <v>2.2799999999999998</v>
      </c>
    </row>
    <row r="152" spans="1:11" ht="16.05" customHeight="1">
      <c r="A152" s="99" t="s">
        <v>702</v>
      </c>
      <c r="B152" s="45" t="s">
        <v>541</v>
      </c>
      <c r="C152" s="45" t="s">
        <v>541</v>
      </c>
      <c r="D152" s="45" t="s">
        <v>542</v>
      </c>
      <c r="E152" s="45" t="s">
        <v>543</v>
      </c>
      <c r="F152" s="45">
        <v>2.5</v>
      </c>
      <c r="G152" s="45" t="s">
        <v>692</v>
      </c>
      <c r="H152" s="45">
        <v>48</v>
      </c>
      <c r="I152" s="45" t="s">
        <v>545</v>
      </c>
      <c r="J152" s="142">
        <v>10.3</v>
      </c>
      <c r="K152" s="144">
        <v>1.03</v>
      </c>
    </row>
    <row r="153" spans="1:11" ht="16.05" customHeight="1">
      <c r="A153" s="99" t="s">
        <v>703</v>
      </c>
      <c r="B153" s="45" t="s">
        <v>541</v>
      </c>
      <c r="C153" s="45" t="s">
        <v>541</v>
      </c>
      <c r="D153" s="45" t="s">
        <v>542</v>
      </c>
      <c r="E153" s="45" t="s">
        <v>543</v>
      </c>
      <c r="F153" s="45">
        <v>1.1000000000000001</v>
      </c>
      <c r="G153" s="45" t="s">
        <v>692</v>
      </c>
      <c r="H153" s="45">
        <v>57</v>
      </c>
      <c r="I153" s="45" t="s">
        <v>548</v>
      </c>
      <c r="J153" s="142">
        <v>14.1</v>
      </c>
      <c r="K153" s="144">
        <v>1.41</v>
      </c>
    </row>
    <row r="154" spans="1:11" ht="16.05" customHeight="1">
      <c r="A154" s="99" t="s">
        <v>704</v>
      </c>
      <c r="B154" s="45" t="s">
        <v>541</v>
      </c>
      <c r="C154" s="45" t="s">
        <v>541</v>
      </c>
      <c r="D154" s="45" t="s">
        <v>542</v>
      </c>
      <c r="E154" s="45" t="s">
        <v>543</v>
      </c>
      <c r="F154" s="45">
        <v>1.1000000000000001</v>
      </c>
      <c r="G154" s="45" t="s">
        <v>692</v>
      </c>
      <c r="H154" s="45">
        <v>54</v>
      </c>
      <c r="I154" s="45" t="s">
        <v>548</v>
      </c>
      <c r="J154" s="142">
        <v>15.15</v>
      </c>
      <c r="K154" s="144">
        <v>1.01</v>
      </c>
    </row>
    <row r="155" spans="1:11" ht="16.05" customHeight="1">
      <c r="A155" s="99" t="s">
        <v>705</v>
      </c>
      <c r="B155" s="45" t="s">
        <v>541</v>
      </c>
      <c r="C155" s="45" t="s">
        <v>541</v>
      </c>
      <c r="D155" s="45" t="s">
        <v>542</v>
      </c>
      <c r="E155" s="45" t="s">
        <v>543</v>
      </c>
      <c r="F155" s="45">
        <v>2.6</v>
      </c>
      <c r="G155" s="45" t="s">
        <v>692</v>
      </c>
      <c r="H155" s="45">
        <v>48</v>
      </c>
      <c r="I155" s="45" t="s">
        <v>548</v>
      </c>
      <c r="J155" s="142">
        <v>11.46</v>
      </c>
      <c r="K155" s="144">
        <v>0.76400000000000001</v>
      </c>
    </row>
    <row r="156" spans="1:11" ht="16.05" customHeight="1">
      <c r="A156" s="99" t="s">
        <v>706</v>
      </c>
      <c r="B156" s="45" t="s">
        <v>540</v>
      </c>
      <c r="C156" s="45" t="s">
        <v>541</v>
      </c>
      <c r="D156" s="45" t="s">
        <v>559</v>
      </c>
      <c r="E156" s="45" t="s">
        <v>543</v>
      </c>
      <c r="F156" s="45">
        <v>2.5</v>
      </c>
      <c r="G156" s="45" t="s">
        <v>692</v>
      </c>
      <c r="H156" s="45">
        <v>47</v>
      </c>
      <c r="I156" s="45" t="s">
        <v>545</v>
      </c>
      <c r="J156" s="142">
        <v>10.53</v>
      </c>
      <c r="K156" s="144">
        <v>0.70199999999999996</v>
      </c>
    </row>
    <row r="157" spans="1:11" ht="16.05" customHeight="1">
      <c r="A157" s="99" t="s">
        <v>707</v>
      </c>
      <c r="B157" s="45" t="s">
        <v>541</v>
      </c>
      <c r="C157" s="45" t="s">
        <v>541</v>
      </c>
      <c r="D157" s="45" t="s">
        <v>542</v>
      </c>
      <c r="E157" s="45" t="s">
        <v>543</v>
      </c>
      <c r="F157" s="45">
        <v>0.6</v>
      </c>
      <c r="G157" s="45" t="s">
        <v>692</v>
      </c>
      <c r="H157" s="45">
        <v>60</v>
      </c>
      <c r="I157" s="45" t="s">
        <v>548</v>
      </c>
      <c r="J157" s="142">
        <v>10.26</v>
      </c>
      <c r="K157" s="144">
        <v>0.68400000000000005</v>
      </c>
    </row>
    <row r="158" spans="1:11" ht="16.05" customHeight="1">
      <c r="A158" s="99" t="s">
        <v>708</v>
      </c>
      <c r="B158" s="45" t="s">
        <v>541</v>
      </c>
      <c r="C158" s="45" t="s">
        <v>541</v>
      </c>
      <c r="D158" s="45" t="s">
        <v>542</v>
      </c>
      <c r="E158" s="45" t="s">
        <v>543</v>
      </c>
      <c r="F158" s="45">
        <v>3</v>
      </c>
      <c r="G158" s="45" t="s">
        <v>692</v>
      </c>
      <c r="H158" s="45">
        <v>57</v>
      </c>
      <c r="I158" s="45" t="s">
        <v>545</v>
      </c>
      <c r="J158" s="142">
        <v>24.3</v>
      </c>
      <c r="K158" s="144">
        <v>1.62</v>
      </c>
    </row>
    <row r="159" spans="1:11" ht="16.05" customHeight="1">
      <c r="A159" s="99" t="s">
        <v>709</v>
      </c>
      <c r="B159" s="45" t="s">
        <v>541</v>
      </c>
      <c r="C159" s="45" t="s">
        <v>541</v>
      </c>
      <c r="D159" s="45" t="s">
        <v>555</v>
      </c>
      <c r="E159" s="45" t="s">
        <v>552</v>
      </c>
      <c r="F159" s="45">
        <v>4</v>
      </c>
      <c r="G159" s="45" t="s">
        <v>692</v>
      </c>
      <c r="H159" s="45">
        <v>50</v>
      </c>
      <c r="I159" s="45" t="s">
        <v>545</v>
      </c>
      <c r="J159" s="142">
        <v>20.7</v>
      </c>
      <c r="K159" s="144">
        <v>1.38</v>
      </c>
    </row>
    <row r="160" spans="1:11" ht="16.05" customHeight="1">
      <c r="A160" s="99" t="s">
        <v>710</v>
      </c>
      <c r="B160" s="45" t="s">
        <v>540</v>
      </c>
      <c r="C160" s="45" t="s">
        <v>541</v>
      </c>
      <c r="D160" s="45" t="s">
        <v>542</v>
      </c>
      <c r="E160" s="45" t="s">
        <v>543</v>
      </c>
      <c r="F160" s="45">
        <v>1</v>
      </c>
      <c r="G160" s="45" t="s">
        <v>692</v>
      </c>
      <c r="H160" s="45">
        <v>50</v>
      </c>
      <c r="I160" s="45" t="s">
        <v>545</v>
      </c>
      <c r="J160" s="142">
        <v>14.3</v>
      </c>
      <c r="K160" s="144">
        <v>0.95299999999999996</v>
      </c>
    </row>
    <row r="161" spans="1:11" ht="16.05" customHeight="1">
      <c r="A161" s="99" t="s">
        <v>711</v>
      </c>
      <c r="B161" s="45" t="s">
        <v>541</v>
      </c>
      <c r="C161" s="45" t="s">
        <v>541</v>
      </c>
      <c r="D161" s="45" t="s">
        <v>542</v>
      </c>
      <c r="E161" s="45" t="s">
        <v>543</v>
      </c>
      <c r="F161" s="45">
        <v>0.9</v>
      </c>
      <c r="G161" s="45" t="s">
        <v>692</v>
      </c>
      <c r="H161" s="45">
        <v>53</v>
      </c>
      <c r="I161" s="45" t="s">
        <v>548</v>
      </c>
      <c r="J161" s="142">
        <v>10.64</v>
      </c>
      <c r="K161" s="144">
        <v>0.70899999999999996</v>
      </c>
    </row>
    <row r="162" spans="1:11" ht="16.05" customHeight="1">
      <c r="A162" s="99" t="s">
        <v>712</v>
      </c>
      <c r="B162" s="45" t="s">
        <v>541</v>
      </c>
      <c r="C162" s="45" t="s">
        <v>541</v>
      </c>
      <c r="D162" s="45" t="s">
        <v>542</v>
      </c>
      <c r="E162" s="45" t="s">
        <v>543</v>
      </c>
      <c r="F162" s="45">
        <v>0.6</v>
      </c>
      <c r="G162" s="45" t="s">
        <v>692</v>
      </c>
      <c r="H162" s="45">
        <v>54</v>
      </c>
      <c r="I162" s="45" t="s">
        <v>545</v>
      </c>
      <c r="J162" s="142">
        <v>21</v>
      </c>
      <c r="K162" s="144">
        <v>1.4</v>
      </c>
    </row>
    <row r="163" spans="1:11" ht="16.05" customHeight="1">
      <c r="A163" s="99" t="s">
        <v>713</v>
      </c>
      <c r="B163" s="45" t="s">
        <v>541</v>
      </c>
      <c r="C163" s="45" t="s">
        <v>541</v>
      </c>
      <c r="D163" s="45" t="s">
        <v>542</v>
      </c>
      <c r="E163" s="45" t="s">
        <v>543</v>
      </c>
      <c r="F163" s="45">
        <v>2</v>
      </c>
      <c r="G163" s="45" t="s">
        <v>692</v>
      </c>
      <c r="H163" s="45">
        <v>82</v>
      </c>
      <c r="I163" s="45" t="s">
        <v>548</v>
      </c>
      <c r="J163" s="142">
        <v>38.700000000000003</v>
      </c>
      <c r="K163" s="144">
        <v>2.58</v>
      </c>
    </row>
    <row r="164" spans="1:11" ht="16.05" customHeight="1">
      <c r="A164" s="99" t="s">
        <v>714</v>
      </c>
      <c r="B164" s="45" t="s">
        <v>541</v>
      </c>
      <c r="C164" s="45" t="s">
        <v>541</v>
      </c>
      <c r="D164" s="45" t="s">
        <v>542</v>
      </c>
      <c r="E164" s="45" t="s">
        <v>543</v>
      </c>
      <c r="F164" s="45">
        <v>0.9</v>
      </c>
      <c r="G164" s="45" t="s">
        <v>692</v>
      </c>
      <c r="H164" s="45">
        <v>66</v>
      </c>
      <c r="I164" s="45" t="s">
        <v>548</v>
      </c>
      <c r="J164" s="142">
        <v>31.2</v>
      </c>
      <c r="K164" s="144">
        <v>2.08</v>
      </c>
    </row>
    <row r="165" spans="1:11" ht="16.05" customHeight="1">
      <c r="A165" s="99" t="s">
        <v>715</v>
      </c>
      <c r="B165" s="45" t="s">
        <v>541</v>
      </c>
      <c r="C165" s="45" t="s">
        <v>541</v>
      </c>
      <c r="D165" s="45" t="s">
        <v>542</v>
      </c>
      <c r="E165" s="45" t="s">
        <v>543</v>
      </c>
      <c r="F165" s="45">
        <v>0.8</v>
      </c>
      <c r="G165" s="45" t="s">
        <v>692</v>
      </c>
      <c r="H165" s="45">
        <v>58</v>
      </c>
      <c r="I165" s="45" t="s">
        <v>545</v>
      </c>
      <c r="J165" s="142">
        <v>14.42</v>
      </c>
      <c r="K165" s="144">
        <v>0.96099999999999997</v>
      </c>
    </row>
    <row r="166" spans="1:11" ht="16.05" customHeight="1">
      <c r="A166" s="99" t="s">
        <v>716</v>
      </c>
      <c r="B166" s="45" t="s">
        <v>541</v>
      </c>
      <c r="C166" s="45" t="s">
        <v>541</v>
      </c>
      <c r="D166" s="45" t="s">
        <v>542</v>
      </c>
      <c r="E166" s="45" t="s">
        <v>543</v>
      </c>
      <c r="F166" s="45">
        <v>0.5</v>
      </c>
      <c r="G166" s="45" t="s">
        <v>692</v>
      </c>
      <c r="H166" s="45">
        <v>55</v>
      </c>
      <c r="I166" s="45" t="s">
        <v>545</v>
      </c>
      <c r="J166" s="142">
        <v>21.75</v>
      </c>
      <c r="K166" s="144">
        <v>1.45</v>
      </c>
    </row>
    <row r="167" spans="1:11" ht="16.05" customHeight="1">
      <c r="A167" s="99" t="s">
        <v>717</v>
      </c>
      <c r="B167" s="45" t="s">
        <v>540</v>
      </c>
      <c r="C167" s="45" t="s">
        <v>541</v>
      </c>
      <c r="D167" s="45" t="s">
        <v>550</v>
      </c>
      <c r="E167" s="45" t="s">
        <v>543</v>
      </c>
      <c r="F167" s="45">
        <v>1.7</v>
      </c>
      <c r="G167" s="45" t="s">
        <v>692</v>
      </c>
      <c r="H167" s="45">
        <v>44</v>
      </c>
      <c r="I167" s="45" t="s">
        <v>545</v>
      </c>
      <c r="J167" s="142">
        <v>14.75</v>
      </c>
      <c r="K167" s="144">
        <v>0.98299999999999998</v>
      </c>
    </row>
    <row r="168" spans="1:11" ht="16.05" customHeight="1">
      <c r="A168" s="99" t="s">
        <v>718</v>
      </c>
      <c r="B168" s="45" t="s">
        <v>541</v>
      </c>
      <c r="C168" s="45" t="s">
        <v>541</v>
      </c>
      <c r="D168" s="45" t="s">
        <v>542</v>
      </c>
      <c r="E168" s="45" t="s">
        <v>543</v>
      </c>
      <c r="F168" s="45">
        <v>1.5</v>
      </c>
      <c r="G168" s="45" t="s">
        <v>692</v>
      </c>
      <c r="H168" s="45">
        <v>57</v>
      </c>
      <c r="I168" s="45" t="s">
        <v>545</v>
      </c>
      <c r="J168" s="142">
        <v>15.6</v>
      </c>
      <c r="K168" s="144">
        <v>1.04</v>
      </c>
    </row>
    <row r="169" spans="1:11" ht="16.05" customHeight="1">
      <c r="A169" s="99" t="s">
        <v>719</v>
      </c>
      <c r="B169" s="45" t="s">
        <v>541</v>
      </c>
      <c r="C169" s="45" t="s">
        <v>541</v>
      </c>
      <c r="D169" s="45" t="s">
        <v>542</v>
      </c>
      <c r="E169" s="45" t="s">
        <v>543</v>
      </c>
      <c r="F169" s="45">
        <v>1.8</v>
      </c>
      <c r="G169" s="45" t="s">
        <v>692</v>
      </c>
      <c r="H169" s="45">
        <v>56</v>
      </c>
      <c r="I169" s="45" t="s">
        <v>548</v>
      </c>
      <c r="J169" s="142">
        <v>12.32</v>
      </c>
      <c r="K169" s="144">
        <v>0.82099999999999995</v>
      </c>
    </row>
    <row r="170" spans="1:11" ht="16.05" customHeight="1">
      <c r="A170" s="99" t="s">
        <v>720</v>
      </c>
      <c r="B170" s="45" t="s">
        <v>541</v>
      </c>
      <c r="C170" s="45" t="s">
        <v>541</v>
      </c>
      <c r="D170" s="45" t="s">
        <v>542</v>
      </c>
      <c r="E170" s="45" t="s">
        <v>543</v>
      </c>
      <c r="F170" s="45">
        <v>2.9</v>
      </c>
      <c r="G170" s="45" t="s">
        <v>692</v>
      </c>
      <c r="H170" s="45">
        <v>51</v>
      </c>
      <c r="I170" s="45" t="s">
        <v>545</v>
      </c>
      <c r="J170" s="142">
        <v>12.33</v>
      </c>
      <c r="K170" s="144">
        <v>0.82199999999999995</v>
      </c>
    </row>
    <row r="171" spans="1:11" ht="16.05" customHeight="1">
      <c r="A171" s="99" t="s">
        <v>721</v>
      </c>
      <c r="B171" s="45" t="s">
        <v>541</v>
      </c>
      <c r="C171" s="45" t="s">
        <v>541</v>
      </c>
      <c r="D171" s="45" t="s">
        <v>542</v>
      </c>
      <c r="E171" s="45" t="s">
        <v>543</v>
      </c>
      <c r="F171" s="45">
        <v>2</v>
      </c>
      <c r="G171" s="45" t="s">
        <v>692</v>
      </c>
      <c r="H171" s="45">
        <v>60</v>
      </c>
      <c r="I171" s="45" t="s">
        <v>545</v>
      </c>
      <c r="J171" s="142">
        <v>20.55</v>
      </c>
      <c r="K171" s="144">
        <v>1.37</v>
      </c>
    </row>
    <row r="172" spans="1:11" ht="16.05" customHeight="1">
      <c r="A172" s="99" t="s">
        <v>722</v>
      </c>
      <c r="B172" s="45" t="s">
        <v>540</v>
      </c>
      <c r="C172" s="45" t="s">
        <v>541</v>
      </c>
      <c r="D172" s="45" t="s">
        <v>555</v>
      </c>
      <c r="E172" s="45" t="s">
        <v>564</v>
      </c>
      <c r="F172" s="45">
        <v>3.1</v>
      </c>
      <c r="G172" s="45" t="s">
        <v>692</v>
      </c>
      <c r="H172" s="45">
        <v>63</v>
      </c>
      <c r="I172" s="45" t="s">
        <v>545</v>
      </c>
      <c r="J172" s="142">
        <v>13.65</v>
      </c>
      <c r="K172" s="144">
        <v>0.91</v>
      </c>
    </row>
    <row r="173" spans="1:11" ht="16.05" customHeight="1">
      <c r="A173" s="99" t="s">
        <v>723</v>
      </c>
      <c r="B173" s="45" t="s">
        <v>540</v>
      </c>
      <c r="C173" s="45" t="s">
        <v>541</v>
      </c>
      <c r="D173" s="45" t="s">
        <v>542</v>
      </c>
      <c r="E173" s="45" t="s">
        <v>543</v>
      </c>
      <c r="F173" s="45">
        <v>1.3</v>
      </c>
      <c r="G173" s="45" t="s">
        <v>692</v>
      </c>
      <c r="H173" s="45">
        <v>59</v>
      </c>
      <c r="I173" s="45" t="s">
        <v>545</v>
      </c>
      <c r="J173" s="142">
        <v>12.33</v>
      </c>
      <c r="K173" s="144">
        <v>0.82199999999999995</v>
      </c>
    </row>
    <row r="174" spans="1:11" ht="16.05" customHeight="1">
      <c r="A174" s="99" t="s">
        <v>724</v>
      </c>
      <c r="B174" s="45" t="s">
        <v>541</v>
      </c>
      <c r="C174" s="45" t="s">
        <v>541</v>
      </c>
      <c r="D174" s="45" t="s">
        <v>542</v>
      </c>
      <c r="E174" s="45" t="s">
        <v>543</v>
      </c>
      <c r="F174" s="45">
        <v>1.2</v>
      </c>
      <c r="G174" s="45" t="s">
        <v>692</v>
      </c>
      <c r="H174" s="45">
        <v>45</v>
      </c>
      <c r="I174" s="45" t="s">
        <v>545</v>
      </c>
      <c r="J174" s="142">
        <v>11.24</v>
      </c>
      <c r="K174" s="144">
        <v>0.749</v>
      </c>
    </row>
    <row r="175" spans="1:11" ht="16.05" customHeight="1">
      <c r="A175" s="99" t="s">
        <v>725</v>
      </c>
      <c r="B175" s="45" t="s">
        <v>541</v>
      </c>
      <c r="C175" s="45" t="s">
        <v>541</v>
      </c>
      <c r="D175" s="45" t="s">
        <v>542</v>
      </c>
      <c r="E175" s="45" t="s">
        <v>543</v>
      </c>
      <c r="F175" s="45">
        <v>0.7</v>
      </c>
      <c r="G175" s="45" t="s">
        <v>692</v>
      </c>
      <c r="H175" s="45">
        <v>50</v>
      </c>
      <c r="I175" s="45" t="s">
        <v>548</v>
      </c>
      <c r="J175" s="142">
        <v>18.75</v>
      </c>
      <c r="K175" s="144">
        <v>1.25</v>
      </c>
    </row>
    <row r="176" spans="1:11" ht="16.05" customHeight="1">
      <c r="A176" s="99" t="s">
        <v>726</v>
      </c>
      <c r="B176" s="45" t="s">
        <v>541</v>
      </c>
      <c r="C176" s="45" t="s">
        <v>541</v>
      </c>
      <c r="D176" s="45" t="s">
        <v>542</v>
      </c>
      <c r="E176" s="45" t="s">
        <v>543</v>
      </c>
      <c r="F176" s="45">
        <v>1.4</v>
      </c>
      <c r="G176" s="45" t="s">
        <v>692</v>
      </c>
      <c r="H176" s="45">
        <v>59</v>
      </c>
      <c r="I176" s="45" t="s">
        <v>548</v>
      </c>
      <c r="J176" s="142">
        <v>10.32</v>
      </c>
      <c r="K176" s="144">
        <v>0.68799999999999994</v>
      </c>
    </row>
    <row r="177" spans="1:11" ht="16.05" customHeight="1">
      <c r="A177" s="99" t="s">
        <v>727</v>
      </c>
      <c r="B177" s="45" t="s">
        <v>541</v>
      </c>
      <c r="C177" s="45" t="s">
        <v>541</v>
      </c>
      <c r="D177" s="45" t="s">
        <v>542</v>
      </c>
      <c r="E177" s="45" t="s">
        <v>543</v>
      </c>
      <c r="F177" s="45">
        <v>1.5</v>
      </c>
      <c r="G177" s="45" t="s">
        <v>692</v>
      </c>
      <c r="H177" s="45">
        <v>56</v>
      </c>
      <c r="I177" s="45" t="s">
        <v>545</v>
      </c>
      <c r="J177" s="142">
        <v>16.5</v>
      </c>
      <c r="K177" s="144">
        <v>1.1000000000000001</v>
      </c>
    </row>
    <row r="178" spans="1:11" ht="16.05" customHeight="1">
      <c r="A178" s="99" t="s">
        <v>728</v>
      </c>
      <c r="B178" s="45" t="s">
        <v>541</v>
      </c>
      <c r="C178" s="45" t="s">
        <v>541</v>
      </c>
      <c r="D178" s="45" t="s">
        <v>542</v>
      </c>
      <c r="E178" s="45" t="s">
        <v>543</v>
      </c>
      <c r="F178" s="45">
        <v>1.1000000000000001</v>
      </c>
      <c r="G178" s="45" t="s">
        <v>692</v>
      </c>
      <c r="H178" s="45">
        <v>58</v>
      </c>
      <c r="I178" s="45" t="s">
        <v>548</v>
      </c>
      <c r="J178" s="142">
        <v>12.83</v>
      </c>
      <c r="K178" s="144">
        <v>0.85499999999999998</v>
      </c>
    </row>
    <row r="179" spans="1:11" ht="16.05" customHeight="1">
      <c r="A179" s="99" t="s">
        <v>729</v>
      </c>
      <c r="B179" s="45" t="s">
        <v>540</v>
      </c>
      <c r="C179" s="45" t="s">
        <v>541</v>
      </c>
      <c r="D179" s="45" t="s">
        <v>555</v>
      </c>
      <c r="E179" s="45" t="s">
        <v>552</v>
      </c>
      <c r="F179" s="45">
        <v>1</v>
      </c>
      <c r="G179" s="45" t="s">
        <v>692</v>
      </c>
      <c r="H179" s="45">
        <v>67</v>
      </c>
      <c r="I179" s="45" t="s">
        <v>545</v>
      </c>
      <c r="J179" s="142">
        <v>16.95</v>
      </c>
      <c r="K179" s="144">
        <v>1.1299999999999999</v>
      </c>
    </row>
    <row r="180" spans="1:11" ht="16.05" customHeight="1">
      <c r="A180" s="99" t="s">
        <v>730</v>
      </c>
      <c r="B180" s="45" t="s">
        <v>541</v>
      </c>
      <c r="C180" s="45" t="s">
        <v>541</v>
      </c>
      <c r="D180" s="45" t="s">
        <v>542</v>
      </c>
      <c r="E180" s="45" t="s">
        <v>543</v>
      </c>
      <c r="F180" s="45">
        <v>0.4</v>
      </c>
      <c r="G180" s="45" t="s">
        <v>692</v>
      </c>
      <c r="H180" s="45">
        <v>49</v>
      </c>
      <c r="I180" s="45" t="s">
        <v>548</v>
      </c>
      <c r="J180" s="142">
        <v>14.93</v>
      </c>
      <c r="K180" s="144">
        <v>0.995</v>
      </c>
    </row>
    <row r="181" spans="1:11" ht="16.05" customHeight="1">
      <c r="A181" s="99" t="s">
        <v>731</v>
      </c>
      <c r="B181" s="45" t="s">
        <v>540</v>
      </c>
      <c r="C181" s="45" t="s">
        <v>541</v>
      </c>
      <c r="D181" s="45" t="s">
        <v>542</v>
      </c>
      <c r="E181" s="45" t="s">
        <v>543</v>
      </c>
      <c r="F181" s="45">
        <v>0.7</v>
      </c>
      <c r="G181" s="45" t="s">
        <v>692</v>
      </c>
      <c r="H181" s="45">
        <v>73</v>
      </c>
      <c r="I181" s="45" t="s">
        <v>545</v>
      </c>
      <c r="J181" s="142">
        <v>37.68</v>
      </c>
      <c r="K181" s="144">
        <v>4.71</v>
      </c>
    </row>
    <row r="182" spans="1:11" ht="16.05" customHeight="1">
      <c r="A182" s="99" t="s">
        <v>732</v>
      </c>
      <c r="B182" s="45" t="s">
        <v>541</v>
      </c>
      <c r="C182" s="45" t="s">
        <v>541</v>
      </c>
      <c r="D182" s="45" t="s">
        <v>555</v>
      </c>
      <c r="E182" s="45" t="s">
        <v>543</v>
      </c>
      <c r="F182" s="45">
        <v>0.8</v>
      </c>
      <c r="G182" s="45" t="s">
        <v>692</v>
      </c>
      <c r="H182" s="45">
        <v>59</v>
      </c>
      <c r="I182" s="45" t="s">
        <v>545</v>
      </c>
      <c r="J182" s="142">
        <v>17.850000000000001</v>
      </c>
      <c r="K182" s="144">
        <v>1.19</v>
      </c>
    </row>
    <row r="183" spans="1:11" ht="16.05" customHeight="1">
      <c r="A183" s="99" t="s">
        <v>733</v>
      </c>
      <c r="B183" s="45" t="s">
        <v>540</v>
      </c>
      <c r="C183" s="45" t="s">
        <v>541</v>
      </c>
      <c r="D183" s="45" t="s">
        <v>542</v>
      </c>
      <c r="E183" s="45" t="s">
        <v>543</v>
      </c>
      <c r="F183" s="45">
        <v>0.5</v>
      </c>
      <c r="G183" s="45" t="s">
        <v>692</v>
      </c>
      <c r="H183" s="45">
        <v>56</v>
      </c>
      <c r="I183" s="45" t="s">
        <v>548</v>
      </c>
      <c r="J183" s="142">
        <v>16.649999999999999</v>
      </c>
      <c r="K183" s="144">
        <v>1.1100000000000001</v>
      </c>
    </row>
    <row r="184" spans="1:11" ht="16.05" customHeight="1">
      <c r="A184" s="99" t="s">
        <v>734</v>
      </c>
      <c r="B184" s="45" t="s">
        <v>540</v>
      </c>
      <c r="C184" s="45" t="s">
        <v>541</v>
      </c>
      <c r="D184" s="45" t="s">
        <v>542</v>
      </c>
      <c r="E184" s="45" t="s">
        <v>543</v>
      </c>
      <c r="F184" s="45">
        <v>0.6</v>
      </c>
      <c r="G184" s="45" t="s">
        <v>692</v>
      </c>
      <c r="H184" s="45">
        <v>40</v>
      </c>
      <c r="I184" s="45" t="s">
        <v>548</v>
      </c>
      <c r="J184" s="142">
        <v>22.65</v>
      </c>
      <c r="K184" s="144">
        <v>1.51</v>
      </c>
    </row>
    <row r="185" spans="1:11" ht="16.05" customHeight="1">
      <c r="A185" s="99" t="s">
        <v>735</v>
      </c>
      <c r="B185" s="45" t="s">
        <v>541</v>
      </c>
      <c r="C185" s="45" t="s">
        <v>541</v>
      </c>
      <c r="D185" s="45" t="s">
        <v>542</v>
      </c>
      <c r="E185" s="45" t="s">
        <v>543</v>
      </c>
      <c r="F185" s="45">
        <v>1</v>
      </c>
      <c r="G185" s="45" t="s">
        <v>692</v>
      </c>
      <c r="H185" s="45">
        <v>59</v>
      </c>
      <c r="I185" s="45" t="s">
        <v>548</v>
      </c>
      <c r="J185" s="142">
        <v>14.18</v>
      </c>
      <c r="K185" s="144">
        <v>0.94499999999999995</v>
      </c>
    </row>
    <row r="186" spans="1:11" ht="16.05" customHeight="1">
      <c r="A186" s="99" t="s">
        <v>736</v>
      </c>
      <c r="B186" s="45" t="s">
        <v>541</v>
      </c>
      <c r="C186" s="45" t="s">
        <v>541</v>
      </c>
      <c r="D186" s="45" t="s">
        <v>550</v>
      </c>
      <c r="E186" s="45" t="s">
        <v>543</v>
      </c>
      <c r="F186" s="45">
        <v>1.1000000000000001</v>
      </c>
      <c r="G186" s="45" t="s">
        <v>692</v>
      </c>
      <c r="H186" s="45">
        <v>56</v>
      </c>
      <c r="I186" s="45" t="s">
        <v>545</v>
      </c>
      <c r="J186" s="142">
        <v>13.07</v>
      </c>
      <c r="K186" s="144">
        <v>0.871</v>
      </c>
    </row>
    <row r="187" spans="1:11" ht="16.05" customHeight="1">
      <c r="A187" s="99" t="s">
        <v>737</v>
      </c>
      <c r="B187" s="45" t="s">
        <v>540</v>
      </c>
      <c r="C187" s="45" t="s">
        <v>541</v>
      </c>
      <c r="D187" s="45" t="s">
        <v>559</v>
      </c>
      <c r="E187" s="45" t="s">
        <v>543</v>
      </c>
      <c r="F187" s="45">
        <v>3</v>
      </c>
      <c r="G187" s="45" t="s">
        <v>692</v>
      </c>
      <c r="H187" s="45">
        <v>49</v>
      </c>
      <c r="I187" s="45" t="s">
        <v>548</v>
      </c>
      <c r="J187" s="142">
        <v>26.25</v>
      </c>
      <c r="K187" s="144">
        <v>1.75</v>
      </c>
    </row>
    <row r="188" spans="1:11" ht="16.05" customHeight="1">
      <c r="A188" s="99" t="s">
        <v>738</v>
      </c>
      <c r="B188" s="45" t="s">
        <v>540</v>
      </c>
      <c r="C188" s="45" t="s">
        <v>541</v>
      </c>
      <c r="D188" s="45" t="s">
        <v>542</v>
      </c>
      <c r="E188" s="45" t="s">
        <v>543</v>
      </c>
      <c r="F188" s="45">
        <v>1.5</v>
      </c>
      <c r="G188" s="45" t="s">
        <v>692</v>
      </c>
      <c r="H188" s="45">
        <v>46</v>
      </c>
      <c r="I188" s="45" t="s">
        <v>545</v>
      </c>
      <c r="J188" s="142">
        <v>14.85</v>
      </c>
      <c r="K188" s="144">
        <v>0.99</v>
      </c>
    </row>
    <row r="189" spans="1:11" ht="16.05" customHeight="1">
      <c r="A189" s="99" t="s">
        <v>739</v>
      </c>
      <c r="B189" s="45" t="s">
        <v>541</v>
      </c>
      <c r="C189" s="45" t="s">
        <v>541</v>
      </c>
      <c r="D189" s="45" t="s">
        <v>550</v>
      </c>
      <c r="E189" s="45" t="s">
        <v>543</v>
      </c>
      <c r="F189" s="45">
        <v>5.0999999999999996</v>
      </c>
      <c r="G189" s="45" t="s">
        <v>692</v>
      </c>
      <c r="H189" s="45">
        <v>68</v>
      </c>
      <c r="I189" s="45" t="s">
        <v>548</v>
      </c>
      <c r="J189" s="142">
        <v>17.100000000000001</v>
      </c>
      <c r="K189" s="144">
        <v>1.1399999999999999</v>
      </c>
    </row>
    <row r="190" spans="1:11" ht="16.05" customHeight="1">
      <c r="A190" s="99" t="s">
        <v>740</v>
      </c>
      <c r="B190" s="45" t="s">
        <v>540</v>
      </c>
      <c r="C190" s="45" t="s">
        <v>541</v>
      </c>
      <c r="D190" s="45" t="s">
        <v>542</v>
      </c>
      <c r="E190" s="45" t="s">
        <v>543</v>
      </c>
      <c r="F190" s="45">
        <v>1.8</v>
      </c>
      <c r="G190" s="45" t="s">
        <v>692</v>
      </c>
      <c r="H190" s="45">
        <v>60</v>
      </c>
      <c r="I190" s="45" t="s">
        <v>545</v>
      </c>
      <c r="J190" s="142">
        <v>16.2</v>
      </c>
      <c r="K190" s="144">
        <v>1.08</v>
      </c>
    </row>
    <row r="191" spans="1:11" ht="16.05" customHeight="1">
      <c r="A191" s="99" t="s">
        <v>741</v>
      </c>
      <c r="B191" s="45" t="s">
        <v>541</v>
      </c>
      <c r="C191" s="45" t="s">
        <v>541</v>
      </c>
      <c r="D191" s="45" t="s">
        <v>555</v>
      </c>
      <c r="E191" s="45" t="s">
        <v>552</v>
      </c>
      <c r="F191" s="45">
        <v>3.5</v>
      </c>
      <c r="G191" s="45" t="s">
        <v>692</v>
      </c>
      <c r="H191" s="45">
        <v>75</v>
      </c>
      <c r="I191" s="45" t="s">
        <v>545</v>
      </c>
      <c r="J191" s="142">
        <v>16.95</v>
      </c>
      <c r="K191" s="144">
        <v>1.1299999999999999</v>
      </c>
    </row>
    <row r="192" spans="1:11" ht="16.05" customHeight="1">
      <c r="A192" s="99" t="s">
        <v>742</v>
      </c>
      <c r="B192" s="45" t="s">
        <v>541</v>
      </c>
      <c r="C192" s="45" t="s">
        <v>541</v>
      </c>
      <c r="D192" s="45" t="s">
        <v>559</v>
      </c>
      <c r="E192" s="45" t="s">
        <v>543</v>
      </c>
      <c r="F192" s="45">
        <v>0.8</v>
      </c>
      <c r="G192" s="45" t="s">
        <v>692</v>
      </c>
      <c r="H192" s="45">
        <v>62</v>
      </c>
      <c r="I192" s="45" t="s">
        <v>548</v>
      </c>
      <c r="J192" s="142" t="s">
        <v>349</v>
      </c>
      <c r="K192" s="144">
        <v>1.96</v>
      </c>
    </row>
    <row r="193" spans="1:11" ht="16.05" customHeight="1">
      <c r="A193" s="99" t="s">
        <v>743</v>
      </c>
      <c r="B193" s="45" t="s">
        <v>541</v>
      </c>
      <c r="C193" s="45" t="s">
        <v>541</v>
      </c>
      <c r="D193" s="45" t="s">
        <v>542</v>
      </c>
      <c r="E193" s="45" t="s">
        <v>543</v>
      </c>
      <c r="F193" s="45">
        <v>1</v>
      </c>
      <c r="G193" s="45" t="s">
        <v>692</v>
      </c>
      <c r="H193" s="45">
        <v>55</v>
      </c>
      <c r="I193" s="45" t="s">
        <v>548</v>
      </c>
      <c r="J193" s="142">
        <v>10.1</v>
      </c>
      <c r="K193" s="144">
        <v>0.67400000000000004</v>
      </c>
    </row>
    <row r="194" spans="1:11" ht="16.05" customHeight="1">
      <c r="A194" s="99" t="s">
        <v>744</v>
      </c>
      <c r="B194" s="45" t="s">
        <v>540</v>
      </c>
      <c r="C194" s="45" t="s">
        <v>541</v>
      </c>
      <c r="D194" s="45" t="s">
        <v>542</v>
      </c>
      <c r="E194" s="45" t="s">
        <v>543</v>
      </c>
      <c r="F194" s="45">
        <v>1.2</v>
      </c>
      <c r="G194" s="45" t="s">
        <v>692</v>
      </c>
      <c r="H194" s="45">
        <v>50</v>
      </c>
      <c r="I194" s="45" t="s">
        <v>545</v>
      </c>
      <c r="J194" s="142">
        <v>25.1</v>
      </c>
      <c r="K194" s="144">
        <v>1.67</v>
      </c>
    </row>
    <row r="195" spans="1:11" ht="16.05" customHeight="1">
      <c r="A195" s="99" t="s">
        <v>745</v>
      </c>
      <c r="B195" s="45" t="s">
        <v>540</v>
      </c>
      <c r="C195" s="45" t="s">
        <v>541</v>
      </c>
      <c r="D195" s="45" t="s">
        <v>559</v>
      </c>
      <c r="E195" s="45" t="s">
        <v>543</v>
      </c>
      <c r="F195" s="45">
        <v>1</v>
      </c>
      <c r="G195" s="45" t="s">
        <v>692</v>
      </c>
      <c r="H195" s="45">
        <v>41</v>
      </c>
      <c r="I195" s="45" t="s">
        <v>548</v>
      </c>
      <c r="J195" s="142">
        <v>16.8</v>
      </c>
      <c r="K195" s="144">
        <v>1.1200000000000001</v>
      </c>
    </row>
    <row r="196" spans="1:11" ht="16.05" customHeight="1">
      <c r="A196" s="99" t="s">
        <v>746</v>
      </c>
      <c r="B196" s="45" t="s">
        <v>540</v>
      </c>
      <c r="C196" s="45" t="s">
        <v>541</v>
      </c>
      <c r="D196" s="45" t="s">
        <v>542</v>
      </c>
      <c r="E196" s="45" t="s">
        <v>543</v>
      </c>
      <c r="F196" s="45">
        <v>0.7</v>
      </c>
      <c r="G196" s="45" t="s">
        <v>692</v>
      </c>
      <c r="H196" s="45">
        <v>57</v>
      </c>
      <c r="I196" s="45" t="s">
        <v>548</v>
      </c>
      <c r="J196" s="142">
        <v>27.8</v>
      </c>
      <c r="K196" s="144">
        <v>1.85</v>
      </c>
    </row>
    <row r="197" spans="1:11" ht="16.05" customHeight="1">
      <c r="A197" s="99" t="s">
        <v>747</v>
      </c>
      <c r="B197" s="45" t="s">
        <v>540</v>
      </c>
      <c r="C197" s="45" t="s">
        <v>541</v>
      </c>
      <c r="D197" s="45" t="s">
        <v>542</v>
      </c>
      <c r="E197" s="45" t="s">
        <v>543</v>
      </c>
      <c r="F197" s="45">
        <v>1.1000000000000001</v>
      </c>
      <c r="G197" s="45" t="s">
        <v>692</v>
      </c>
      <c r="H197" s="45">
        <v>45</v>
      </c>
      <c r="I197" s="45" t="s">
        <v>548</v>
      </c>
      <c r="J197" s="142">
        <v>12.1</v>
      </c>
      <c r="K197" s="144">
        <v>0.80700000000000005</v>
      </c>
    </row>
    <row r="198" spans="1:11" ht="16.05" customHeight="1">
      <c r="A198" s="99" t="s">
        <v>748</v>
      </c>
      <c r="B198" s="45" t="s">
        <v>541</v>
      </c>
      <c r="C198" s="45" t="s">
        <v>541</v>
      </c>
      <c r="D198" s="45" t="s">
        <v>559</v>
      </c>
      <c r="E198" s="45" t="s">
        <v>543</v>
      </c>
      <c r="F198" s="45">
        <v>3.9</v>
      </c>
      <c r="G198" s="45" t="s">
        <v>692</v>
      </c>
      <c r="H198" s="45">
        <v>46</v>
      </c>
      <c r="I198" s="45" t="s">
        <v>548</v>
      </c>
      <c r="J198" s="142">
        <v>22.4</v>
      </c>
      <c r="K198" s="144">
        <v>1.49</v>
      </c>
    </row>
    <row r="199" spans="1:11" ht="16.05" customHeight="1">
      <c r="A199" s="99" t="s">
        <v>749</v>
      </c>
      <c r="B199" s="45" t="s">
        <v>541</v>
      </c>
      <c r="C199" s="45" t="s">
        <v>541</v>
      </c>
      <c r="D199" s="45" t="s">
        <v>542</v>
      </c>
      <c r="E199" s="45" t="s">
        <v>543</v>
      </c>
      <c r="F199" s="45">
        <v>2.2000000000000002</v>
      </c>
      <c r="G199" s="45" t="s">
        <v>692</v>
      </c>
      <c r="H199" s="45">
        <v>54</v>
      </c>
      <c r="I199" s="45" t="s">
        <v>548</v>
      </c>
      <c r="J199" s="142">
        <v>22.4</v>
      </c>
      <c r="K199" s="144">
        <v>1.49</v>
      </c>
    </row>
    <row r="200" spans="1:11" ht="16.05" customHeight="1">
      <c r="A200" s="99" t="s">
        <v>750</v>
      </c>
      <c r="B200" s="45" t="s">
        <v>541</v>
      </c>
      <c r="C200" s="45" t="s">
        <v>541</v>
      </c>
      <c r="D200" s="45" t="s">
        <v>542</v>
      </c>
      <c r="E200" s="45" t="s">
        <v>543</v>
      </c>
      <c r="F200" s="45">
        <v>1.2</v>
      </c>
      <c r="G200" s="45" t="s">
        <v>692</v>
      </c>
      <c r="H200" s="45">
        <v>57</v>
      </c>
      <c r="I200" s="45" t="s">
        <v>545</v>
      </c>
      <c r="J200" s="142">
        <v>30</v>
      </c>
      <c r="K200" s="144">
        <v>4.07</v>
      </c>
    </row>
    <row r="201" spans="1:11" ht="16.05" customHeight="1">
      <c r="A201" s="99" t="s">
        <v>751</v>
      </c>
      <c r="B201" s="45" t="s">
        <v>541</v>
      </c>
      <c r="C201" s="45" t="s">
        <v>541</v>
      </c>
      <c r="D201" s="45" t="s">
        <v>550</v>
      </c>
      <c r="E201" s="45" t="s">
        <v>543</v>
      </c>
      <c r="F201" s="45">
        <v>8.5</v>
      </c>
      <c r="G201" s="45" t="s">
        <v>692</v>
      </c>
      <c r="H201" s="45">
        <v>75</v>
      </c>
      <c r="I201" s="45" t="s">
        <v>545</v>
      </c>
      <c r="J201" s="142">
        <v>14.7</v>
      </c>
      <c r="K201" s="144">
        <v>0.97899999999999998</v>
      </c>
    </row>
    <row r="202" spans="1:11" ht="16.05" customHeight="1">
      <c r="A202" s="99" t="s">
        <v>752</v>
      </c>
      <c r="B202" s="45" t="s">
        <v>540</v>
      </c>
      <c r="C202" s="45" t="s">
        <v>541</v>
      </c>
      <c r="D202" s="45" t="s">
        <v>559</v>
      </c>
      <c r="E202" s="45" t="s">
        <v>543</v>
      </c>
      <c r="F202" s="45">
        <v>3</v>
      </c>
      <c r="G202" s="45" t="s">
        <v>692</v>
      </c>
      <c r="H202" s="45">
        <v>47</v>
      </c>
      <c r="I202" s="45" t="s">
        <v>545</v>
      </c>
      <c r="J202" s="142">
        <v>12.26</v>
      </c>
      <c r="K202" s="144">
        <v>0.81699999999999995</v>
      </c>
    </row>
    <row r="203" spans="1:11" ht="16.05" customHeight="1">
      <c r="A203" s="99" t="s">
        <v>753</v>
      </c>
      <c r="B203" s="45" t="s">
        <v>540</v>
      </c>
      <c r="C203" s="45" t="s">
        <v>541</v>
      </c>
      <c r="D203" s="45" t="s">
        <v>542</v>
      </c>
      <c r="E203" s="45" t="s">
        <v>543</v>
      </c>
      <c r="F203" s="45">
        <v>1.1000000000000001</v>
      </c>
      <c r="G203" s="45" t="s">
        <v>692</v>
      </c>
      <c r="H203" s="45">
        <v>56</v>
      </c>
      <c r="I203" s="45" t="s">
        <v>548</v>
      </c>
      <c r="J203" s="142">
        <v>30</v>
      </c>
      <c r="K203" s="144">
        <v>2.37</v>
      </c>
    </row>
    <row r="204" spans="1:11" ht="16.05" customHeight="1">
      <c r="A204" s="99" t="s">
        <v>754</v>
      </c>
      <c r="B204" s="45" t="s">
        <v>541</v>
      </c>
      <c r="C204" s="45" t="s">
        <v>541</v>
      </c>
      <c r="D204" s="45" t="s">
        <v>542</v>
      </c>
      <c r="E204" s="45" t="s">
        <v>543</v>
      </c>
      <c r="F204" s="45">
        <v>1</v>
      </c>
      <c r="G204" s="45" t="s">
        <v>692</v>
      </c>
      <c r="H204" s="45">
        <v>58</v>
      </c>
      <c r="I204" s="45" t="s">
        <v>548</v>
      </c>
      <c r="J204" s="142">
        <v>17.850000000000001</v>
      </c>
      <c r="K204" s="144">
        <v>1.19</v>
      </c>
    </row>
    <row r="205" spans="1:11" ht="16.05" customHeight="1">
      <c r="A205" s="99" t="s">
        <v>755</v>
      </c>
      <c r="B205" s="45" t="s">
        <v>541</v>
      </c>
      <c r="C205" s="45" t="s">
        <v>541</v>
      </c>
      <c r="D205" s="45" t="s">
        <v>559</v>
      </c>
      <c r="E205" s="45" t="s">
        <v>552</v>
      </c>
      <c r="F205" s="45">
        <v>4.5</v>
      </c>
      <c r="G205" s="45" t="s">
        <v>692</v>
      </c>
      <c r="H205" s="45">
        <v>57</v>
      </c>
      <c r="I205" s="45" t="s">
        <v>548</v>
      </c>
      <c r="J205" s="142">
        <v>24.45</v>
      </c>
      <c r="K205" s="144">
        <v>1.63</v>
      </c>
    </row>
    <row r="206" spans="1:11" ht="16.05" customHeight="1">
      <c r="A206" s="99" t="s">
        <v>756</v>
      </c>
      <c r="B206" s="45" t="s">
        <v>540</v>
      </c>
      <c r="C206" s="45" t="s">
        <v>541</v>
      </c>
      <c r="D206" s="45" t="s">
        <v>555</v>
      </c>
      <c r="E206" s="45" t="s">
        <v>543</v>
      </c>
      <c r="F206" s="45">
        <v>3.7</v>
      </c>
      <c r="G206" s="45" t="s">
        <v>692</v>
      </c>
      <c r="H206" s="45">
        <v>68</v>
      </c>
      <c r="I206" s="45" t="s">
        <v>545</v>
      </c>
      <c r="J206" s="142">
        <v>15.29</v>
      </c>
      <c r="K206" s="144">
        <v>1.39</v>
      </c>
    </row>
    <row r="207" spans="1:11" ht="16.05" customHeight="1">
      <c r="A207" s="99" t="s">
        <v>757</v>
      </c>
      <c r="B207" s="45" t="s">
        <v>541</v>
      </c>
      <c r="C207" s="45" t="s">
        <v>541</v>
      </c>
      <c r="D207" s="45" t="s">
        <v>550</v>
      </c>
      <c r="E207" s="45" t="s">
        <v>564</v>
      </c>
      <c r="F207" s="45">
        <v>10</v>
      </c>
      <c r="G207" s="45" t="s">
        <v>692</v>
      </c>
      <c r="H207" s="45">
        <v>43</v>
      </c>
      <c r="I207" s="45" t="s">
        <v>548</v>
      </c>
      <c r="J207" s="142">
        <v>30</v>
      </c>
      <c r="K207" s="144">
        <v>2.2599999999999998</v>
      </c>
    </row>
    <row r="208" spans="1:11" ht="16.05" customHeight="1">
      <c r="A208" s="99" t="s">
        <v>758</v>
      </c>
      <c r="B208" s="45" t="s">
        <v>541</v>
      </c>
      <c r="C208" s="45" t="s">
        <v>541</v>
      </c>
      <c r="D208" s="45" t="s">
        <v>550</v>
      </c>
      <c r="E208" s="45" t="s">
        <v>543</v>
      </c>
      <c r="F208" s="45">
        <v>2.4</v>
      </c>
      <c r="G208" s="45" t="s">
        <v>692</v>
      </c>
      <c r="H208" s="45">
        <v>58</v>
      </c>
      <c r="I208" s="45" t="s">
        <v>545</v>
      </c>
      <c r="J208" s="142">
        <v>21.45</v>
      </c>
      <c r="K208" s="144">
        <v>1.43</v>
      </c>
    </row>
    <row r="209" spans="1:11" ht="16.05" customHeight="1">
      <c r="A209" s="99" t="s">
        <v>759</v>
      </c>
      <c r="B209" s="45" t="s">
        <v>541</v>
      </c>
      <c r="C209" s="45" t="s">
        <v>541</v>
      </c>
      <c r="D209" s="45" t="s">
        <v>555</v>
      </c>
      <c r="E209" s="45" t="s">
        <v>543</v>
      </c>
      <c r="F209" s="45">
        <v>2.8</v>
      </c>
      <c r="G209" s="45" t="s">
        <v>692</v>
      </c>
      <c r="H209" s="45">
        <v>72</v>
      </c>
      <c r="I209" s="45" t="s">
        <v>548</v>
      </c>
      <c r="J209" s="142">
        <v>30</v>
      </c>
      <c r="K209" s="144">
        <v>3.36</v>
      </c>
    </row>
    <row r="210" spans="1:11" ht="16.05" customHeight="1">
      <c r="A210" s="99" t="s">
        <v>760</v>
      </c>
      <c r="B210" s="45" t="s">
        <v>541</v>
      </c>
      <c r="C210" s="45" t="s">
        <v>541</v>
      </c>
      <c r="D210" s="45" t="s">
        <v>559</v>
      </c>
      <c r="E210" s="45" t="s">
        <v>552</v>
      </c>
      <c r="F210" s="45">
        <v>3.5</v>
      </c>
      <c r="G210" s="45" t="s">
        <v>692</v>
      </c>
      <c r="H210" s="45">
        <v>60</v>
      </c>
      <c r="I210" s="45" t="s">
        <v>545</v>
      </c>
      <c r="J210" s="142">
        <v>30</v>
      </c>
      <c r="K210" s="144">
        <v>5.36</v>
      </c>
    </row>
    <row r="211" spans="1:11" ht="16.05" customHeight="1">
      <c r="A211" s="99" t="s">
        <v>761</v>
      </c>
      <c r="B211" s="45" t="s">
        <v>541</v>
      </c>
      <c r="C211" s="45" t="s">
        <v>541</v>
      </c>
      <c r="D211" s="45" t="s">
        <v>555</v>
      </c>
      <c r="E211" s="45" t="s">
        <v>543</v>
      </c>
      <c r="F211" s="45">
        <v>4.5</v>
      </c>
      <c r="G211" s="45" t="s">
        <v>692</v>
      </c>
      <c r="H211" s="45">
        <v>71</v>
      </c>
      <c r="I211" s="45" t="s">
        <v>545</v>
      </c>
      <c r="J211" s="142">
        <v>30</v>
      </c>
      <c r="K211" s="144">
        <v>3.04</v>
      </c>
    </row>
    <row r="212" spans="1:11" ht="16.05" customHeight="1">
      <c r="A212" s="99" t="s">
        <v>762</v>
      </c>
      <c r="B212" s="45" t="s">
        <v>541</v>
      </c>
      <c r="C212" s="45" t="s">
        <v>541</v>
      </c>
      <c r="D212" s="45" t="s">
        <v>559</v>
      </c>
      <c r="E212" s="45" t="s">
        <v>543</v>
      </c>
      <c r="F212" s="45">
        <v>6</v>
      </c>
      <c r="G212" s="45" t="s">
        <v>692</v>
      </c>
      <c r="H212" s="45">
        <v>64</v>
      </c>
      <c r="I212" s="45" t="s">
        <v>548</v>
      </c>
      <c r="J212" s="142">
        <v>30</v>
      </c>
      <c r="K212" s="144">
        <v>2.13</v>
      </c>
    </row>
    <row r="213" spans="1:11" ht="16.05" customHeight="1">
      <c r="A213" s="99" t="s">
        <v>763</v>
      </c>
      <c r="B213" s="45" t="s">
        <v>541</v>
      </c>
      <c r="C213" s="45" t="s">
        <v>541</v>
      </c>
      <c r="D213" s="45" t="s">
        <v>555</v>
      </c>
      <c r="E213" s="45" t="s">
        <v>543</v>
      </c>
      <c r="F213" s="45">
        <v>4.5</v>
      </c>
      <c r="G213" s="45" t="s">
        <v>692</v>
      </c>
      <c r="H213" s="45">
        <v>78</v>
      </c>
      <c r="I213" s="45" t="s">
        <v>548</v>
      </c>
      <c r="J213" s="142">
        <v>30</v>
      </c>
      <c r="K213" s="144">
        <v>4.82</v>
      </c>
    </row>
    <row r="214" spans="1:11" ht="16.05" customHeight="1">
      <c r="A214" s="99" t="s">
        <v>764</v>
      </c>
      <c r="B214" s="45" t="s">
        <v>541</v>
      </c>
      <c r="C214" s="45" t="s">
        <v>541</v>
      </c>
      <c r="D214" s="45" t="s">
        <v>559</v>
      </c>
      <c r="E214" s="45" t="s">
        <v>552</v>
      </c>
      <c r="F214" s="45">
        <v>6</v>
      </c>
      <c r="G214" s="45" t="s">
        <v>692</v>
      </c>
      <c r="H214" s="45">
        <v>54</v>
      </c>
      <c r="I214" s="45" t="s">
        <v>545</v>
      </c>
      <c r="J214" s="142">
        <v>30</v>
      </c>
      <c r="K214" s="144">
        <v>5.04</v>
      </c>
    </row>
    <row r="215" spans="1:11" ht="16.05" customHeight="1">
      <c r="A215" s="99" t="s">
        <v>765</v>
      </c>
      <c r="B215" s="45" t="s">
        <v>540</v>
      </c>
      <c r="C215" s="45" t="s">
        <v>541</v>
      </c>
      <c r="D215" s="45" t="s">
        <v>542</v>
      </c>
      <c r="E215" s="45" t="s">
        <v>543</v>
      </c>
      <c r="F215" s="45">
        <v>3</v>
      </c>
      <c r="G215" s="45" t="s">
        <v>692</v>
      </c>
      <c r="H215" s="45">
        <v>61</v>
      </c>
      <c r="I215" s="45" t="s">
        <v>548</v>
      </c>
      <c r="J215" s="142">
        <v>30</v>
      </c>
      <c r="K215" s="144">
        <v>4.18</v>
      </c>
    </row>
    <row r="216" spans="1:11" ht="16.05" customHeight="1">
      <c r="A216" s="99" t="s">
        <v>766</v>
      </c>
      <c r="B216" s="45" t="s">
        <v>541</v>
      </c>
      <c r="C216" s="45" t="s">
        <v>541</v>
      </c>
      <c r="D216" s="45" t="s">
        <v>559</v>
      </c>
      <c r="E216" s="45" t="s">
        <v>564</v>
      </c>
      <c r="F216" s="45">
        <v>7</v>
      </c>
      <c r="G216" s="45" t="s">
        <v>692</v>
      </c>
      <c r="H216" s="45">
        <v>64</v>
      </c>
      <c r="I216" s="45" t="s">
        <v>545</v>
      </c>
      <c r="J216" s="142">
        <v>30</v>
      </c>
      <c r="K216" s="144">
        <v>4.9800000000000004</v>
      </c>
    </row>
    <row r="217" spans="1:11" ht="16.05" customHeight="1">
      <c r="A217" s="99" t="s">
        <v>767</v>
      </c>
      <c r="B217" s="45" t="s">
        <v>541</v>
      </c>
      <c r="C217" s="45" t="s">
        <v>541</v>
      </c>
      <c r="D217" s="45" t="s">
        <v>550</v>
      </c>
      <c r="E217" s="45" t="s">
        <v>564</v>
      </c>
      <c r="F217" s="45">
        <v>4.5</v>
      </c>
      <c r="G217" s="45" t="s">
        <v>692</v>
      </c>
      <c r="H217" s="45">
        <v>64</v>
      </c>
      <c r="I217" s="45" t="s">
        <v>545</v>
      </c>
      <c r="J217" s="142">
        <v>30</v>
      </c>
      <c r="K217" s="144">
        <v>5.66</v>
      </c>
    </row>
    <row r="218" spans="1:11" ht="16.05" customHeight="1">
      <c r="A218" s="99" t="s">
        <v>768</v>
      </c>
      <c r="B218" s="45" t="s">
        <v>541</v>
      </c>
      <c r="C218" s="45" t="s">
        <v>541</v>
      </c>
      <c r="D218" s="45" t="s">
        <v>555</v>
      </c>
      <c r="E218" s="45" t="s">
        <v>552</v>
      </c>
      <c r="F218" s="45">
        <v>4</v>
      </c>
      <c r="G218" s="45" t="s">
        <v>692</v>
      </c>
      <c r="H218" s="45">
        <v>65</v>
      </c>
      <c r="I218" s="45" t="s">
        <v>545</v>
      </c>
      <c r="J218" s="142">
        <v>30</v>
      </c>
      <c r="K218" s="144">
        <v>2.64</v>
      </c>
    </row>
    <row r="219" spans="1:11" ht="16.05" customHeight="1">
      <c r="A219" s="99" t="s">
        <v>769</v>
      </c>
      <c r="B219" s="45" t="s">
        <v>541</v>
      </c>
      <c r="C219" s="45" t="s">
        <v>541</v>
      </c>
      <c r="D219" s="45" t="s">
        <v>542</v>
      </c>
      <c r="E219" s="45" t="s">
        <v>552</v>
      </c>
      <c r="F219" s="45">
        <v>3</v>
      </c>
      <c r="G219" s="45" t="s">
        <v>692</v>
      </c>
      <c r="H219" s="45">
        <v>69</v>
      </c>
      <c r="I219" s="45" t="s">
        <v>545</v>
      </c>
      <c r="J219" s="142">
        <v>30</v>
      </c>
      <c r="K219" s="144">
        <v>2.4700000000000002</v>
      </c>
    </row>
    <row r="220" spans="1:11" ht="16.05" customHeight="1">
      <c r="A220" s="99" t="s">
        <v>770</v>
      </c>
      <c r="B220" s="45" t="s">
        <v>540</v>
      </c>
      <c r="C220" s="45" t="s">
        <v>541</v>
      </c>
      <c r="D220" s="45" t="s">
        <v>555</v>
      </c>
      <c r="E220" s="45" t="s">
        <v>543</v>
      </c>
      <c r="F220" s="45">
        <v>3</v>
      </c>
      <c r="G220" s="45" t="s">
        <v>692</v>
      </c>
      <c r="H220" s="45">
        <v>62</v>
      </c>
      <c r="I220" s="45" t="s">
        <v>548</v>
      </c>
      <c r="J220" s="142">
        <v>30</v>
      </c>
      <c r="K220" s="144">
        <v>3.38</v>
      </c>
    </row>
    <row r="221" spans="1:11" ht="16.05" customHeight="1">
      <c r="A221" s="99" t="s">
        <v>771</v>
      </c>
      <c r="B221" s="45" t="s">
        <v>541</v>
      </c>
      <c r="C221" s="45" t="s">
        <v>541</v>
      </c>
      <c r="D221" s="45" t="s">
        <v>550</v>
      </c>
      <c r="E221" s="45" t="s">
        <v>552</v>
      </c>
      <c r="F221" s="45">
        <v>6.5</v>
      </c>
      <c r="G221" s="45" t="s">
        <v>692</v>
      </c>
      <c r="H221" s="45">
        <v>68</v>
      </c>
      <c r="I221" s="45" t="s">
        <v>545</v>
      </c>
      <c r="J221" s="142">
        <v>30</v>
      </c>
      <c r="K221" s="144">
        <v>3.66</v>
      </c>
    </row>
    <row r="222" spans="1:11" ht="16.05" customHeight="1">
      <c r="A222" s="99" t="s">
        <v>772</v>
      </c>
      <c r="B222" s="45" t="s">
        <v>541</v>
      </c>
      <c r="C222" s="45" t="s">
        <v>541</v>
      </c>
      <c r="D222" s="45" t="s">
        <v>550</v>
      </c>
      <c r="E222" s="45" t="s">
        <v>543</v>
      </c>
      <c r="F222" s="45">
        <v>2.5</v>
      </c>
      <c r="G222" s="45" t="s">
        <v>692</v>
      </c>
      <c r="H222" s="45">
        <v>65</v>
      </c>
      <c r="I222" s="45" t="s">
        <v>548</v>
      </c>
      <c r="J222" s="142">
        <v>30</v>
      </c>
      <c r="K222" s="144">
        <v>2.2400000000000002</v>
      </c>
    </row>
    <row r="223" spans="1:11" ht="16.05" customHeight="1">
      <c r="A223" s="99" t="s">
        <v>773</v>
      </c>
      <c r="B223" s="45" t="s">
        <v>540</v>
      </c>
      <c r="C223" s="45" t="s">
        <v>541</v>
      </c>
      <c r="D223" s="45" t="s">
        <v>550</v>
      </c>
      <c r="E223" s="45" t="s">
        <v>543</v>
      </c>
      <c r="F223" s="45">
        <v>5</v>
      </c>
      <c r="G223" s="45" t="s">
        <v>692</v>
      </c>
      <c r="H223" s="45">
        <v>39</v>
      </c>
      <c r="I223" s="45" t="s">
        <v>545</v>
      </c>
      <c r="J223" s="142">
        <v>20</v>
      </c>
      <c r="K223" s="144">
        <v>2.06</v>
      </c>
    </row>
    <row r="224" spans="1:11" ht="16.05" customHeight="1">
      <c r="A224" s="99" t="s">
        <v>774</v>
      </c>
      <c r="B224" s="45" t="s">
        <v>541</v>
      </c>
      <c r="C224" s="45" t="s">
        <v>541</v>
      </c>
      <c r="D224" s="45" t="s">
        <v>555</v>
      </c>
      <c r="E224" s="45" t="s">
        <v>543</v>
      </c>
      <c r="F224" s="45">
        <v>4</v>
      </c>
      <c r="G224" s="45" t="s">
        <v>692</v>
      </c>
      <c r="H224" s="45">
        <v>67</v>
      </c>
      <c r="I224" s="45" t="s">
        <v>548</v>
      </c>
      <c r="J224" s="142">
        <v>30</v>
      </c>
      <c r="K224" s="144">
        <v>6.12</v>
      </c>
    </row>
    <row r="225" spans="1:11" ht="16.05" customHeight="1">
      <c r="A225" s="99" t="s">
        <v>775</v>
      </c>
      <c r="B225" s="45" t="s">
        <v>541</v>
      </c>
      <c r="C225" s="45" t="s">
        <v>541</v>
      </c>
      <c r="D225" s="45" t="s">
        <v>555</v>
      </c>
      <c r="E225" s="45" t="s">
        <v>543</v>
      </c>
      <c r="F225" s="45">
        <v>4</v>
      </c>
      <c r="G225" s="45" t="s">
        <v>692</v>
      </c>
      <c r="H225" s="45">
        <v>79</v>
      </c>
      <c r="I225" s="45" t="s">
        <v>545</v>
      </c>
      <c r="J225" s="142">
        <v>30</v>
      </c>
      <c r="K225" s="144">
        <v>3.62</v>
      </c>
    </row>
    <row r="226" spans="1:11" ht="16.05" customHeight="1">
      <c r="A226" s="99" t="s">
        <v>776</v>
      </c>
      <c r="B226" s="45" t="s">
        <v>541</v>
      </c>
      <c r="C226" s="45" t="s">
        <v>541</v>
      </c>
      <c r="D226" s="45" t="s">
        <v>550</v>
      </c>
      <c r="E226" s="45" t="s">
        <v>543</v>
      </c>
      <c r="F226" s="45">
        <v>5.5</v>
      </c>
      <c r="G226" s="45" t="s">
        <v>692</v>
      </c>
      <c r="H226" s="45">
        <v>56</v>
      </c>
      <c r="I226" s="45" t="s">
        <v>548</v>
      </c>
      <c r="J226" s="142">
        <v>30</v>
      </c>
      <c r="K226" s="144">
        <v>2.77</v>
      </c>
    </row>
    <row r="227" spans="1:11" ht="16.05" customHeight="1">
      <c r="A227" s="99" t="s">
        <v>777</v>
      </c>
      <c r="B227" s="45" t="s">
        <v>541</v>
      </c>
      <c r="C227" s="45" t="s">
        <v>541</v>
      </c>
      <c r="D227" s="45" t="s">
        <v>559</v>
      </c>
      <c r="E227" s="45" t="s">
        <v>543</v>
      </c>
      <c r="F227" s="45">
        <v>6</v>
      </c>
      <c r="G227" s="45" t="s">
        <v>692</v>
      </c>
      <c r="H227" s="45">
        <v>44</v>
      </c>
      <c r="I227" s="45" t="s">
        <v>545</v>
      </c>
      <c r="J227" s="142">
        <v>30</v>
      </c>
      <c r="K227" s="144">
        <v>2.2000000000000002</v>
      </c>
    </row>
    <row r="228" spans="1:11" ht="16.05" customHeight="1">
      <c r="A228" s="99" t="s">
        <v>778</v>
      </c>
      <c r="B228" s="45" t="s">
        <v>541</v>
      </c>
      <c r="C228" s="45" t="s">
        <v>541</v>
      </c>
      <c r="D228" s="45" t="s">
        <v>559</v>
      </c>
      <c r="E228" s="45" t="s">
        <v>552</v>
      </c>
      <c r="F228" s="45">
        <v>5</v>
      </c>
      <c r="G228" s="45" t="s">
        <v>692</v>
      </c>
      <c r="H228" s="45">
        <v>51</v>
      </c>
      <c r="I228" s="45" t="s">
        <v>545</v>
      </c>
      <c r="J228" s="142">
        <v>30</v>
      </c>
      <c r="K228" s="144">
        <v>4.17</v>
      </c>
    </row>
    <row r="229" spans="1:11" ht="16.05" customHeight="1">
      <c r="A229" s="99" t="s">
        <v>779</v>
      </c>
      <c r="B229" s="45" t="s">
        <v>541</v>
      </c>
      <c r="C229" s="45" t="s">
        <v>541</v>
      </c>
      <c r="D229" s="45" t="s">
        <v>559</v>
      </c>
      <c r="E229" s="45" t="s">
        <v>552</v>
      </c>
      <c r="F229" s="45">
        <v>3.5</v>
      </c>
      <c r="G229" s="45" t="s">
        <v>692</v>
      </c>
      <c r="H229" s="45">
        <v>65</v>
      </c>
      <c r="I229" s="45" t="s">
        <v>545</v>
      </c>
      <c r="J229" s="142">
        <v>30</v>
      </c>
      <c r="K229" s="144">
        <v>5.61</v>
      </c>
    </row>
    <row r="230" spans="1:11" ht="16.05" customHeight="1">
      <c r="A230" s="99" t="s">
        <v>780</v>
      </c>
      <c r="B230" s="45" t="s">
        <v>541</v>
      </c>
      <c r="C230" s="45" t="s">
        <v>541</v>
      </c>
      <c r="D230" s="45" t="s">
        <v>550</v>
      </c>
      <c r="E230" s="45" t="s">
        <v>552</v>
      </c>
      <c r="F230" s="45">
        <v>3</v>
      </c>
      <c r="G230" s="45" t="s">
        <v>692</v>
      </c>
      <c r="H230" s="45">
        <v>71</v>
      </c>
      <c r="I230" s="45" t="s">
        <v>545</v>
      </c>
      <c r="J230" s="142">
        <v>30</v>
      </c>
      <c r="K230" s="144">
        <v>3.12</v>
      </c>
    </row>
    <row r="231" spans="1:11" ht="16.05" customHeight="1">
      <c r="A231" s="99" t="s">
        <v>781</v>
      </c>
      <c r="B231" s="45" t="s">
        <v>541</v>
      </c>
      <c r="C231" s="45" t="s">
        <v>541</v>
      </c>
      <c r="D231" s="45" t="s">
        <v>559</v>
      </c>
      <c r="E231" s="45" t="s">
        <v>552</v>
      </c>
      <c r="F231" s="45">
        <v>2.6</v>
      </c>
      <c r="G231" s="45" t="s">
        <v>692</v>
      </c>
      <c r="H231" s="45">
        <v>56</v>
      </c>
      <c r="I231" s="45" t="s">
        <v>545</v>
      </c>
      <c r="J231" s="142">
        <v>30</v>
      </c>
      <c r="K231" s="144">
        <v>3</v>
      </c>
    </row>
    <row r="232" spans="1:11" ht="16.05" customHeight="1">
      <c r="A232" s="99" t="s">
        <v>782</v>
      </c>
      <c r="B232" s="45" t="s">
        <v>541</v>
      </c>
      <c r="C232" s="45" t="s">
        <v>541</v>
      </c>
      <c r="D232" s="45" t="s">
        <v>550</v>
      </c>
      <c r="E232" s="45" t="s">
        <v>564</v>
      </c>
      <c r="F232" s="45">
        <v>5.5</v>
      </c>
      <c r="G232" s="45" t="s">
        <v>692</v>
      </c>
      <c r="H232" s="45">
        <v>60</v>
      </c>
      <c r="I232" s="45" t="s">
        <v>545</v>
      </c>
      <c r="J232" s="142">
        <v>26.13</v>
      </c>
      <c r="K232" s="144">
        <v>2.0099999999999998</v>
      </c>
    </row>
    <row r="233" spans="1:11" ht="16.05" customHeight="1">
      <c r="A233" s="99" t="s">
        <v>783</v>
      </c>
      <c r="B233" s="45" t="s">
        <v>540</v>
      </c>
      <c r="C233" s="45" t="s">
        <v>541</v>
      </c>
      <c r="D233" s="45" t="s">
        <v>550</v>
      </c>
      <c r="E233" s="45" t="s">
        <v>543</v>
      </c>
      <c r="F233" s="45">
        <v>6</v>
      </c>
      <c r="G233" s="45" t="s">
        <v>692</v>
      </c>
      <c r="H233" s="45">
        <v>54</v>
      </c>
      <c r="I233" s="45" t="s">
        <v>545</v>
      </c>
      <c r="J233" s="142">
        <v>16.47</v>
      </c>
      <c r="K233" s="144">
        <v>1.83</v>
      </c>
    </row>
    <row r="234" spans="1:11" ht="16.05" customHeight="1">
      <c r="A234" s="99" t="s">
        <v>784</v>
      </c>
      <c r="B234" s="45" t="s">
        <v>540</v>
      </c>
      <c r="C234" s="45" t="s">
        <v>541</v>
      </c>
      <c r="D234" s="45" t="s">
        <v>542</v>
      </c>
      <c r="E234" s="45" t="s">
        <v>543</v>
      </c>
      <c r="F234" s="45">
        <v>1.4</v>
      </c>
      <c r="G234" s="45" t="s">
        <v>692</v>
      </c>
      <c r="H234" s="45">
        <v>47</v>
      </c>
      <c r="I234" s="45" t="s">
        <v>545</v>
      </c>
      <c r="J234" s="142">
        <v>16.8</v>
      </c>
      <c r="K234" s="144">
        <v>1.1200000000000001</v>
      </c>
    </row>
    <row r="235" spans="1:11" ht="16.05" customHeight="1">
      <c r="A235" s="99" t="s">
        <v>785</v>
      </c>
      <c r="B235" s="45" t="s">
        <v>541</v>
      </c>
      <c r="C235" s="45" t="s">
        <v>541</v>
      </c>
      <c r="D235" s="45" t="s">
        <v>542</v>
      </c>
      <c r="E235" s="45" t="s">
        <v>543</v>
      </c>
      <c r="F235" s="45">
        <v>1.5</v>
      </c>
      <c r="G235" s="45" t="s">
        <v>692</v>
      </c>
      <c r="H235" s="45">
        <v>59</v>
      </c>
      <c r="I235" s="45" t="s">
        <v>548</v>
      </c>
      <c r="J235" s="142">
        <v>12.08</v>
      </c>
      <c r="K235" s="144">
        <v>0.80500000000000005</v>
      </c>
    </row>
    <row r="236" spans="1:11" ht="16.05" customHeight="1">
      <c r="A236" s="99" t="s">
        <v>786</v>
      </c>
      <c r="B236" s="45" t="s">
        <v>540</v>
      </c>
      <c r="C236" s="45" t="s">
        <v>541</v>
      </c>
      <c r="D236" s="45" t="s">
        <v>542</v>
      </c>
      <c r="E236" s="45" t="s">
        <v>543</v>
      </c>
      <c r="F236" s="45">
        <v>1.4</v>
      </c>
      <c r="G236" s="45" t="s">
        <v>692</v>
      </c>
      <c r="H236" s="45">
        <v>60</v>
      </c>
      <c r="I236" s="45" t="s">
        <v>545</v>
      </c>
      <c r="J236" s="142">
        <v>10.79</v>
      </c>
      <c r="K236" s="144">
        <v>0.71899999999999997</v>
      </c>
    </row>
    <row r="237" spans="1:11" ht="16.05" customHeight="1">
      <c r="A237" s="99" t="s">
        <v>787</v>
      </c>
      <c r="B237" s="45" t="s">
        <v>541</v>
      </c>
      <c r="C237" s="45" t="s">
        <v>541</v>
      </c>
      <c r="D237" s="45" t="s">
        <v>542</v>
      </c>
      <c r="E237" s="45" t="s">
        <v>543</v>
      </c>
      <c r="F237" s="45">
        <v>1.5</v>
      </c>
      <c r="G237" s="45" t="s">
        <v>692</v>
      </c>
      <c r="H237" s="45">
        <v>60</v>
      </c>
      <c r="I237" s="45" t="s">
        <v>548</v>
      </c>
      <c r="J237" s="142">
        <v>28.35</v>
      </c>
      <c r="K237" s="144">
        <v>1.89</v>
      </c>
    </row>
    <row r="238" spans="1:11" ht="16.05" customHeight="1">
      <c r="A238" s="99" t="s">
        <v>788</v>
      </c>
      <c r="B238" s="45" t="s">
        <v>540</v>
      </c>
      <c r="C238" s="45" t="s">
        <v>541</v>
      </c>
      <c r="D238" s="45" t="s">
        <v>542</v>
      </c>
      <c r="E238" s="45" t="s">
        <v>543</v>
      </c>
      <c r="F238" s="45">
        <v>0.6</v>
      </c>
      <c r="G238" s="45" t="s">
        <v>692</v>
      </c>
      <c r="H238" s="45">
        <v>45</v>
      </c>
      <c r="I238" s="45" t="s">
        <v>548</v>
      </c>
      <c r="J238" s="142">
        <v>10.95</v>
      </c>
      <c r="K238" s="144">
        <v>0.73</v>
      </c>
    </row>
    <row r="239" spans="1:11" ht="16.05" customHeight="1">
      <c r="A239" s="99" t="s">
        <v>789</v>
      </c>
      <c r="B239" s="45" t="s">
        <v>541</v>
      </c>
      <c r="C239" s="45" t="s">
        <v>541</v>
      </c>
      <c r="D239" s="45" t="s">
        <v>555</v>
      </c>
      <c r="E239" s="45" t="s">
        <v>564</v>
      </c>
      <c r="F239" s="45">
        <v>3.35</v>
      </c>
      <c r="G239" s="45" t="s">
        <v>692</v>
      </c>
      <c r="H239" s="45">
        <v>41</v>
      </c>
      <c r="I239" s="45" t="s">
        <v>548</v>
      </c>
      <c r="J239" s="142">
        <v>10.16</v>
      </c>
      <c r="K239" s="144">
        <v>0.67700000000000005</v>
      </c>
    </row>
    <row r="240" spans="1:11" ht="16.05" customHeight="1">
      <c r="A240" s="99" t="s">
        <v>790</v>
      </c>
      <c r="B240" s="45" t="s">
        <v>540</v>
      </c>
      <c r="C240" s="45" t="s">
        <v>541</v>
      </c>
      <c r="D240" s="45" t="s">
        <v>559</v>
      </c>
      <c r="E240" s="45" t="s">
        <v>543</v>
      </c>
      <c r="F240" s="45">
        <v>4</v>
      </c>
      <c r="G240" s="45" t="s">
        <v>692</v>
      </c>
      <c r="H240" s="45">
        <v>54</v>
      </c>
      <c r="I240" s="45" t="s">
        <v>545</v>
      </c>
      <c r="J240" s="142">
        <v>17.399999999999999</v>
      </c>
      <c r="K240" s="144">
        <v>1.1599999999999999</v>
      </c>
    </row>
    <row r="241" spans="1:11" ht="16.05" customHeight="1">
      <c r="A241" s="99" t="s">
        <v>791</v>
      </c>
      <c r="B241" s="45" t="s">
        <v>541</v>
      </c>
      <c r="C241" s="45" t="s">
        <v>541</v>
      </c>
      <c r="D241" s="45" t="s">
        <v>542</v>
      </c>
      <c r="E241" s="45" t="s">
        <v>543</v>
      </c>
      <c r="F241" s="45">
        <v>1</v>
      </c>
      <c r="G241" s="45" t="s">
        <v>692</v>
      </c>
      <c r="H241" s="45">
        <v>50</v>
      </c>
      <c r="I241" s="45" t="s">
        <v>548</v>
      </c>
      <c r="J241" s="142">
        <v>10.25</v>
      </c>
      <c r="K241" s="144">
        <v>0.68300000000000005</v>
      </c>
    </row>
    <row r="242" spans="1:11" ht="16.05" customHeight="1">
      <c r="A242" s="99" t="s">
        <v>792</v>
      </c>
      <c r="B242" s="45" t="s">
        <v>541</v>
      </c>
      <c r="C242" s="45" t="s">
        <v>541</v>
      </c>
      <c r="D242" s="45" t="s">
        <v>559</v>
      </c>
      <c r="E242" s="45" t="s">
        <v>552</v>
      </c>
      <c r="F242" s="45">
        <v>5.5</v>
      </c>
      <c r="G242" s="45" t="s">
        <v>692</v>
      </c>
      <c r="H242" s="45">
        <v>69</v>
      </c>
      <c r="I242" s="45" t="s">
        <v>545</v>
      </c>
      <c r="J242" s="142">
        <v>27.9</v>
      </c>
      <c r="K242" s="144">
        <v>1.86</v>
      </c>
    </row>
    <row r="243" spans="1:11" ht="16.05" customHeight="1">
      <c r="A243" s="99" t="s">
        <v>793</v>
      </c>
      <c r="B243" s="45" t="s">
        <v>541</v>
      </c>
      <c r="C243" s="45" t="s">
        <v>541</v>
      </c>
      <c r="D243" s="45" t="s">
        <v>559</v>
      </c>
      <c r="E243" s="45" t="s">
        <v>552</v>
      </c>
      <c r="F243" s="45">
        <v>4</v>
      </c>
      <c r="G243" s="45" t="s">
        <v>692</v>
      </c>
      <c r="H243" s="45">
        <v>58</v>
      </c>
      <c r="I243" s="45" t="s">
        <v>545</v>
      </c>
      <c r="J243" s="142">
        <v>24.75</v>
      </c>
      <c r="K243" s="144">
        <v>1.65</v>
      </c>
    </row>
    <row r="244" spans="1:11" ht="16.05" customHeight="1">
      <c r="A244" s="99" t="s">
        <v>794</v>
      </c>
      <c r="B244" s="45" t="s">
        <v>541</v>
      </c>
      <c r="C244" s="45" t="s">
        <v>541</v>
      </c>
      <c r="D244" s="45" t="s">
        <v>550</v>
      </c>
      <c r="E244" s="45" t="s">
        <v>552</v>
      </c>
      <c r="F244" s="45">
        <v>2.5</v>
      </c>
      <c r="G244" s="45" t="s">
        <v>692</v>
      </c>
      <c r="H244" s="45">
        <v>75</v>
      </c>
      <c r="I244" s="45" t="s">
        <v>545</v>
      </c>
      <c r="J244" s="142">
        <v>28.05</v>
      </c>
      <c r="K244" s="144">
        <v>1.87</v>
      </c>
    </row>
    <row r="245" spans="1:11" ht="16.05" customHeight="1">
      <c r="A245" s="99" t="s">
        <v>795</v>
      </c>
      <c r="B245" s="45" t="s">
        <v>541</v>
      </c>
      <c r="C245" s="45" t="s">
        <v>541</v>
      </c>
      <c r="D245" s="45" t="s">
        <v>550</v>
      </c>
      <c r="E245" s="45" t="s">
        <v>552</v>
      </c>
      <c r="F245" s="45">
        <v>2.4</v>
      </c>
      <c r="G245" s="45" t="s">
        <v>692</v>
      </c>
      <c r="H245" s="45">
        <v>64</v>
      </c>
      <c r="I245" s="45" t="s">
        <v>548</v>
      </c>
      <c r="J245" s="142">
        <v>30</v>
      </c>
      <c r="K245" s="144">
        <v>2.4</v>
      </c>
    </row>
    <row r="246" spans="1:11" ht="16.05" customHeight="1">
      <c r="A246" s="99" t="s">
        <v>796</v>
      </c>
      <c r="B246" s="45" t="s">
        <v>541</v>
      </c>
      <c r="C246" s="45" t="s">
        <v>541</v>
      </c>
      <c r="D246" s="45" t="s">
        <v>550</v>
      </c>
      <c r="E246" s="45" t="s">
        <v>552</v>
      </c>
      <c r="F246" s="45">
        <v>2.8</v>
      </c>
      <c r="G246" s="45" t="s">
        <v>692</v>
      </c>
      <c r="H246" s="45">
        <v>75</v>
      </c>
      <c r="I246" s="45" t="s">
        <v>548</v>
      </c>
      <c r="J246" s="142">
        <v>13.7</v>
      </c>
      <c r="K246" s="144">
        <v>1.37</v>
      </c>
    </row>
    <row r="247" spans="1:11" ht="16.05" customHeight="1">
      <c r="A247" s="99" t="s">
        <v>797</v>
      </c>
      <c r="B247" s="45" t="s">
        <v>540</v>
      </c>
      <c r="C247" s="45" t="s">
        <v>541</v>
      </c>
      <c r="D247" s="45" t="s">
        <v>542</v>
      </c>
      <c r="E247" s="45" t="s">
        <v>543</v>
      </c>
      <c r="F247" s="45">
        <v>0.3</v>
      </c>
      <c r="G247" s="45" t="s">
        <v>692</v>
      </c>
      <c r="H247" s="45">
        <v>47</v>
      </c>
      <c r="I247" s="45" t="s">
        <v>548</v>
      </c>
      <c r="J247" s="142">
        <v>14.36</v>
      </c>
      <c r="K247" s="144">
        <v>0.95699999999999996</v>
      </c>
    </row>
    <row r="248" spans="1:11" ht="16.05" customHeight="1">
      <c r="A248" s="99" t="s">
        <v>798</v>
      </c>
      <c r="B248" s="45" t="s">
        <v>541</v>
      </c>
      <c r="C248" s="45" t="s">
        <v>541</v>
      </c>
      <c r="D248" s="45" t="s">
        <v>542</v>
      </c>
      <c r="E248" s="45" t="s">
        <v>543</v>
      </c>
      <c r="F248" s="45">
        <v>1.2</v>
      </c>
      <c r="G248" s="45" t="s">
        <v>692</v>
      </c>
      <c r="H248" s="45">
        <v>60</v>
      </c>
      <c r="I248" s="45" t="s">
        <v>548</v>
      </c>
      <c r="J248" s="142">
        <v>30</v>
      </c>
      <c r="K248" s="144">
        <v>6.7</v>
      </c>
    </row>
    <row r="249" spans="1:11" ht="16.05" customHeight="1">
      <c r="A249" s="99" t="s">
        <v>799</v>
      </c>
      <c r="B249" s="45" t="s">
        <v>540</v>
      </c>
      <c r="C249" s="45" t="s">
        <v>541</v>
      </c>
      <c r="D249" s="45" t="s">
        <v>542</v>
      </c>
      <c r="E249" s="45" t="s">
        <v>543</v>
      </c>
      <c r="F249" s="45">
        <v>1</v>
      </c>
      <c r="G249" s="45" t="s">
        <v>692</v>
      </c>
      <c r="H249" s="45">
        <v>60</v>
      </c>
      <c r="I249" s="45" t="s">
        <v>545</v>
      </c>
      <c r="J249" s="142">
        <v>13</v>
      </c>
      <c r="K249" s="144">
        <v>0.86099999999999999</v>
      </c>
    </row>
    <row r="250" spans="1:11" ht="16.05" customHeight="1">
      <c r="A250" s="99" t="s">
        <v>800</v>
      </c>
      <c r="B250" s="45" t="s">
        <v>541</v>
      </c>
      <c r="C250" s="45" t="s">
        <v>541</v>
      </c>
      <c r="D250" s="45" t="s">
        <v>559</v>
      </c>
      <c r="E250" s="45" t="s">
        <v>552</v>
      </c>
      <c r="F250" s="45">
        <v>1</v>
      </c>
      <c r="G250" s="45" t="s">
        <v>692</v>
      </c>
      <c r="H250" s="45">
        <v>61</v>
      </c>
      <c r="I250" s="45" t="s">
        <v>545</v>
      </c>
      <c r="J250" s="142">
        <v>19</v>
      </c>
      <c r="K250" s="144">
        <v>1.29</v>
      </c>
    </row>
    <row r="251" spans="1:11" ht="16.05" customHeight="1">
      <c r="A251" s="99" t="s">
        <v>801</v>
      </c>
      <c r="B251" s="45" t="s">
        <v>541</v>
      </c>
      <c r="C251" s="45" t="s">
        <v>541</v>
      </c>
      <c r="D251" s="45" t="s">
        <v>550</v>
      </c>
      <c r="E251" s="45" t="s">
        <v>543</v>
      </c>
      <c r="F251" s="45">
        <v>1</v>
      </c>
      <c r="G251" s="45" t="s">
        <v>692</v>
      </c>
      <c r="H251" s="45">
        <v>54</v>
      </c>
      <c r="I251" s="45" t="s">
        <v>548</v>
      </c>
      <c r="J251" s="142">
        <v>22</v>
      </c>
      <c r="K251" s="144">
        <v>1.48</v>
      </c>
    </row>
    <row r="252" spans="1:11" ht="16.05" customHeight="1">
      <c r="A252" s="99" t="s">
        <v>802</v>
      </c>
      <c r="B252" s="45" t="s">
        <v>541</v>
      </c>
      <c r="C252" s="45" t="s">
        <v>541</v>
      </c>
      <c r="D252" s="45" t="s">
        <v>550</v>
      </c>
      <c r="E252" s="45" t="s">
        <v>543</v>
      </c>
      <c r="F252" s="45">
        <v>2.5</v>
      </c>
      <c r="G252" s="45" t="s">
        <v>692</v>
      </c>
      <c r="H252" s="45">
        <v>69</v>
      </c>
      <c r="I252" s="45" t="s">
        <v>548</v>
      </c>
      <c r="J252" s="142">
        <v>17</v>
      </c>
      <c r="K252" s="144">
        <v>1.1000000000000001</v>
      </c>
    </row>
    <row r="253" spans="1:11" ht="16.05" customHeight="1">
      <c r="A253" s="99" t="s">
        <v>803</v>
      </c>
      <c r="B253" s="45" t="s">
        <v>540</v>
      </c>
      <c r="C253" s="45" t="s">
        <v>541</v>
      </c>
      <c r="D253" s="45" t="s">
        <v>555</v>
      </c>
      <c r="E253" s="45" t="s">
        <v>552</v>
      </c>
      <c r="F253" s="45">
        <v>1.2</v>
      </c>
      <c r="G253" s="45" t="s">
        <v>692</v>
      </c>
      <c r="H253" s="45">
        <v>57</v>
      </c>
      <c r="I253" s="45" t="s">
        <v>545</v>
      </c>
      <c r="J253" s="142">
        <v>18</v>
      </c>
      <c r="K253" s="144">
        <v>1.19</v>
      </c>
    </row>
    <row r="254" spans="1:11" ht="16.05" customHeight="1">
      <c r="A254" s="99" t="s">
        <v>804</v>
      </c>
      <c r="B254" s="45" t="s">
        <v>541</v>
      </c>
      <c r="C254" s="45" t="s">
        <v>541</v>
      </c>
      <c r="D254" s="45" t="s">
        <v>559</v>
      </c>
      <c r="E254" s="45" t="s">
        <v>543</v>
      </c>
      <c r="F254" s="45">
        <v>0.6</v>
      </c>
      <c r="G254" s="45" t="s">
        <v>692</v>
      </c>
      <c r="H254" s="45">
        <v>63</v>
      </c>
      <c r="I254" s="45" t="s">
        <v>545</v>
      </c>
      <c r="J254" s="142">
        <v>28</v>
      </c>
      <c r="K254" s="144">
        <v>1.87</v>
      </c>
    </row>
    <row r="255" spans="1:11" ht="16.05" customHeight="1">
      <c r="A255" s="99" t="s">
        <v>805</v>
      </c>
      <c r="B255" s="45" t="s">
        <v>541</v>
      </c>
      <c r="C255" s="45" t="s">
        <v>541</v>
      </c>
      <c r="D255" s="45" t="s">
        <v>559</v>
      </c>
      <c r="E255" s="45" t="s">
        <v>552</v>
      </c>
      <c r="F255" s="45">
        <v>2.1</v>
      </c>
      <c r="G255" s="45" t="s">
        <v>692</v>
      </c>
      <c r="H255" s="45">
        <v>58</v>
      </c>
      <c r="I255" s="45" t="s">
        <v>545</v>
      </c>
      <c r="J255" s="142">
        <v>14</v>
      </c>
      <c r="K255" s="144">
        <v>0.90200000000000002</v>
      </c>
    </row>
    <row r="256" spans="1:11" ht="16.05" customHeight="1">
      <c r="A256" s="99" t="s">
        <v>806</v>
      </c>
      <c r="B256" s="45" t="s">
        <v>540</v>
      </c>
      <c r="C256" s="45" t="s">
        <v>541</v>
      </c>
      <c r="D256" s="45" t="s">
        <v>542</v>
      </c>
      <c r="E256" s="45" t="s">
        <v>552</v>
      </c>
      <c r="F256" s="45">
        <v>1</v>
      </c>
      <c r="G256" s="45" t="s">
        <v>692</v>
      </c>
      <c r="H256" s="45">
        <v>55</v>
      </c>
      <c r="I256" s="45" t="s">
        <v>545</v>
      </c>
      <c r="J256" s="142">
        <v>26</v>
      </c>
      <c r="K256" s="144">
        <v>1.74</v>
      </c>
    </row>
    <row r="257" spans="1:11" ht="16.05" customHeight="1">
      <c r="A257" s="99" t="s">
        <v>807</v>
      </c>
      <c r="B257" s="45" t="s">
        <v>541</v>
      </c>
      <c r="C257" s="45" t="s">
        <v>541</v>
      </c>
      <c r="D257" s="45" t="s">
        <v>550</v>
      </c>
      <c r="E257" s="45" t="s">
        <v>552</v>
      </c>
      <c r="F257" s="45">
        <v>2.8</v>
      </c>
      <c r="G257" s="45" t="s">
        <v>692</v>
      </c>
      <c r="H257" s="45">
        <v>60</v>
      </c>
      <c r="I257" s="45" t="s">
        <v>545</v>
      </c>
      <c r="J257" s="142">
        <v>13</v>
      </c>
      <c r="K257" s="144">
        <v>0.875</v>
      </c>
    </row>
    <row r="258" spans="1:11" ht="16.05" customHeight="1">
      <c r="A258" s="99" t="s">
        <v>808</v>
      </c>
      <c r="B258" s="45" t="s">
        <v>540</v>
      </c>
      <c r="C258" s="45" t="s">
        <v>541</v>
      </c>
      <c r="D258" s="45" t="s">
        <v>555</v>
      </c>
      <c r="E258" s="45" t="s">
        <v>543</v>
      </c>
      <c r="F258" s="45">
        <v>3.4</v>
      </c>
      <c r="G258" s="45" t="s">
        <v>692</v>
      </c>
      <c r="H258" s="45">
        <v>50</v>
      </c>
      <c r="I258" s="45" t="s">
        <v>545</v>
      </c>
      <c r="J258" s="142">
        <v>17</v>
      </c>
      <c r="K258" s="144">
        <v>1.1499999999999999</v>
      </c>
    </row>
    <row r="259" spans="1:11" ht="16.05" customHeight="1">
      <c r="A259" s="99" t="s">
        <v>809</v>
      </c>
      <c r="B259" s="45" t="s">
        <v>541</v>
      </c>
      <c r="C259" s="45" t="s">
        <v>541</v>
      </c>
      <c r="D259" s="45" t="s">
        <v>559</v>
      </c>
      <c r="E259" s="45" t="s">
        <v>543</v>
      </c>
      <c r="F259" s="45">
        <v>2.4</v>
      </c>
      <c r="G259" s="45" t="s">
        <v>692</v>
      </c>
      <c r="H259" s="45">
        <v>58</v>
      </c>
      <c r="I259" s="45" t="s">
        <v>545</v>
      </c>
      <c r="J259" s="142">
        <v>11</v>
      </c>
      <c r="K259" s="144">
        <v>0.72399999999999998</v>
      </c>
    </row>
    <row r="260" spans="1:11" ht="16.05" customHeight="1">
      <c r="A260" s="99" t="s">
        <v>810</v>
      </c>
      <c r="B260" s="45" t="s">
        <v>540</v>
      </c>
      <c r="C260" s="45" t="s">
        <v>541</v>
      </c>
      <c r="D260" s="45" t="s">
        <v>542</v>
      </c>
      <c r="E260" s="45" t="s">
        <v>552</v>
      </c>
      <c r="F260" s="45">
        <v>2.7</v>
      </c>
      <c r="G260" s="45" t="s">
        <v>692</v>
      </c>
      <c r="H260" s="45">
        <v>60</v>
      </c>
      <c r="I260" s="45" t="s">
        <v>545</v>
      </c>
      <c r="J260" s="142">
        <v>11</v>
      </c>
      <c r="K260" s="144">
        <v>0.753</v>
      </c>
    </row>
    <row r="261" spans="1:11" ht="16.05" customHeight="1">
      <c r="A261" s="99" t="s">
        <v>811</v>
      </c>
      <c r="B261" s="45" t="s">
        <v>540</v>
      </c>
      <c r="C261" s="45" t="s">
        <v>541</v>
      </c>
      <c r="D261" s="45" t="s">
        <v>542</v>
      </c>
      <c r="E261" s="45" t="s">
        <v>543</v>
      </c>
      <c r="F261" s="45">
        <v>0.8</v>
      </c>
      <c r="G261" s="45" t="s">
        <v>692</v>
      </c>
      <c r="H261" s="45">
        <v>51</v>
      </c>
      <c r="I261" s="45" t="s">
        <v>548</v>
      </c>
      <c r="J261" s="142">
        <v>20</v>
      </c>
      <c r="K261" s="144">
        <v>1.32</v>
      </c>
    </row>
    <row r="262" spans="1:11" ht="16.05" customHeight="1">
      <c r="A262" s="99" t="s">
        <v>812</v>
      </c>
      <c r="B262" s="45" t="s">
        <v>540</v>
      </c>
      <c r="C262" s="45" t="s">
        <v>541</v>
      </c>
      <c r="D262" s="45" t="s">
        <v>542</v>
      </c>
      <c r="E262" s="45" t="s">
        <v>543</v>
      </c>
      <c r="F262" s="45">
        <v>0.9</v>
      </c>
      <c r="G262" s="45" t="s">
        <v>692</v>
      </c>
      <c r="H262" s="45">
        <v>60</v>
      </c>
      <c r="I262" s="45" t="s">
        <v>545</v>
      </c>
      <c r="J262" s="142">
        <v>16</v>
      </c>
      <c r="K262" s="144">
        <v>1.05</v>
      </c>
    </row>
    <row r="263" spans="1:11" ht="16.05" customHeight="1">
      <c r="A263" s="99" t="s">
        <v>813</v>
      </c>
      <c r="B263" s="45" t="s">
        <v>540</v>
      </c>
      <c r="C263" s="45" t="s">
        <v>541</v>
      </c>
      <c r="D263" s="45" t="s">
        <v>555</v>
      </c>
      <c r="E263" s="45" t="s">
        <v>543</v>
      </c>
      <c r="F263" s="45">
        <v>1</v>
      </c>
      <c r="G263" s="45" t="s">
        <v>692</v>
      </c>
      <c r="H263" s="45">
        <v>54</v>
      </c>
      <c r="I263" s="45" t="s">
        <v>548</v>
      </c>
      <c r="J263" s="142">
        <v>21</v>
      </c>
      <c r="K263" s="144">
        <v>1.4</v>
      </c>
    </row>
    <row r="264" spans="1:11" ht="16.05" customHeight="1">
      <c r="A264" s="99" t="s">
        <v>814</v>
      </c>
      <c r="B264" s="45" t="s">
        <v>541</v>
      </c>
      <c r="C264" s="45" t="s">
        <v>541</v>
      </c>
      <c r="D264" s="45" t="s">
        <v>555</v>
      </c>
      <c r="E264" s="45" t="s">
        <v>552</v>
      </c>
      <c r="F264" s="45">
        <v>1.5</v>
      </c>
      <c r="G264" s="45" t="s">
        <v>692</v>
      </c>
      <c r="H264" s="45">
        <v>66</v>
      </c>
      <c r="I264" s="45" t="s">
        <v>545</v>
      </c>
      <c r="J264" s="142">
        <v>24</v>
      </c>
      <c r="K264" s="144">
        <v>1.59</v>
      </c>
    </row>
    <row r="265" spans="1:11" ht="16.05" customHeight="1">
      <c r="A265" s="99" t="s">
        <v>815</v>
      </c>
      <c r="B265" s="45" t="s">
        <v>540</v>
      </c>
      <c r="C265" s="45" t="s">
        <v>541</v>
      </c>
      <c r="D265" s="45" t="s">
        <v>542</v>
      </c>
      <c r="E265" s="45" t="s">
        <v>552</v>
      </c>
      <c r="F265" s="45">
        <v>1.3</v>
      </c>
      <c r="G265" s="45" t="s">
        <v>692</v>
      </c>
      <c r="H265" s="45">
        <v>56</v>
      </c>
      <c r="I265" s="45" t="s">
        <v>545</v>
      </c>
      <c r="J265" s="142">
        <v>17</v>
      </c>
      <c r="K265" s="144">
        <v>1.1299999999999999</v>
      </c>
    </row>
    <row r="266" spans="1:11" ht="16.05" customHeight="1">
      <c r="A266" s="99" t="s">
        <v>816</v>
      </c>
      <c r="B266" s="45" t="s">
        <v>540</v>
      </c>
      <c r="C266" s="45" t="s">
        <v>541</v>
      </c>
      <c r="D266" s="45" t="s">
        <v>542</v>
      </c>
      <c r="E266" s="45" t="s">
        <v>543</v>
      </c>
      <c r="F266" s="45">
        <v>1.2</v>
      </c>
      <c r="G266" s="45" t="s">
        <v>692</v>
      </c>
      <c r="H266" s="45">
        <v>46</v>
      </c>
      <c r="I266" s="45" t="s">
        <v>545</v>
      </c>
      <c r="J266" s="142">
        <v>14</v>
      </c>
      <c r="K266" s="144">
        <v>0.96399999999999997</v>
      </c>
    </row>
    <row r="267" spans="1:11" ht="16.05" customHeight="1">
      <c r="A267" s="99" t="s">
        <v>817</v>
      </c>
      <c r="B267" s="45" t="s">
        <v>540</v>
      </c>
      <c r="C267" s="45" t="s">
        <v>541</v>
      </c>
      <c r="D267" s="45" t="s">
        <v>542</v>
      </c>
      <c r="E267" s="45" t="s">
        <v>543</v>
      </c>
      <c r="F267" s="45">
        <v>1.5</v>
      </c>
      <c r="G267" s="45" t="s">
        <v>692</v>
      </c>
      <c r="H267" s="45">
        <v>60</v>
      </c>
      <c r="I267" s="45" t="s">
        <v>545</v>
      </c>
      <c r="J267" s="142">
        <v>11</v>
      </c>
      <c r="K267" s="144">
        <v>0.70799999999999996</v>
      </c>
    </row>
    <row r="268" spans="1:11" ht="16.05" customHeight="1">
      <c r="A268" s="99" t="s">
        <v>818</v>
      </c>
      <c r="B268" s="45" t="s">
        <v>541</v>
      </c>
      <c r="C268" s="45" t="s">
        <v>541</v>
      </c>
      <c r="D268" s="45" t="s">
        <v>555</v>
      </c>
      <c r="E268" s="45" t="s">
        <v>552</v>
      </c>
      <c r="F268" s="45">
        <v>2.1</v>
      </c>
      <c r="G268" s="45" t="s">
        <v>692</v>
      </c>
      <c r="H268" s="45">
        <v>56</v>
      </c>
      <c r="I268" s="45" t="s">
        <v>545</v>
      </c>
      <c r="J268" s="142">
        <v>10</v>
      </c>
      <c r="K268" s="144">
        <v>0.69499999999999995</v>
      </c>
    </row>
    <row r="269" spans="1:11" ht="16.05" customHeight="1">
      <c r="A269" s="99" t="s">
        <v>819</v>
      </c>
      <c r="B269" s="45" t="s">
        <v>540</v>
      </c>
      <c r="C269" s="45" t="s">
        <v>541</v>
      </c>
      <c r="D269" s="45" t="s">
        <v>555</v>
      </c>
      <c r="E269" s="45" t="s">
        <v>543</v>
      </c>
      <c r="F269" s="45">
        <v>1.4</v>
      </c>
      <c r="G269" s="45" t="s">
        <v>692</v>
      </c>
      <c r="H269" s="45">
        <v>50</v>
      </c>
      <c r="I269" s="45" t="s">
        <v>548</v>
      </c>
      <c r="J269" s="142">
        <v>18</v>
      </c>
      <c r="K269" s="144">
        <v>1.18</v>
      </c>
    </row>
    <row r="270" spans="1:11" ht="16.05" customHeight="1">
      <c r="A270" s="99" t="s">
        <v>820</v>
      </c>
      <c r="B270" s="45" t="s">
        <v>540</v>
      </c>
      <c r="C270" s="45" t="s">
        <v>541</v>
      </c>
      <c r="D270" s="45" t="s">
        <v>555</v>
      </c>
      <c r="E270" s="45" t="s">
        <v>543</v>
      </c>
      <c r="F270" s="45">
        <v>0.5</v>
      </c>
      <c r="G270" s="45" t="s">
        <v>692</v>
      </c>
      <c r="H270" s="45">
        <v>63</v>
      </c>
      <c r="I270" s="45" t="s">
        <v>548</v>
      </c>
      <c r="J270" s="142">
        <v>25</v>
      </c>
      <c r="K270" s="144">
        <v>1.64</v>
      </c>
    </row>
    <row r="271" spans="1:11" ht="16.05" customHeight="1">
      <c r="A271" s="99" t="s">
        <v>821</v>
      </c>
      <c r="B271" s="45" t="s">
        <v>541</v>
      </c>
      <c r="C271" s="45" t="s">
        <v>541</v>
      </c>
      <c r="D271" s="45" t="s">
        <v>555</v>
      </c>
      <c r="E271" s="45" t="s">
        <v>543</v>
      </c>
      <c r="F271" s="45">
        <v>3.3</v>
      </c>
      <c r="G271" s="45" t="s">
        <v>692</v>
      </c>
      <c r="H271" s="45">
        <v>74</v>
      </c>
      <c r="I271" s="45" t="s">
        <v>545</v>
      </c>
      <c r="J271" s="142">
        <v>20</v>
      </c>
      <c r="K271" s="144">
        <v>1.36</v>
      </c>
    </row>
    <row r="272" spans="1:11" ht="16.05" customHeight="1">
      <c r="A272" s="99" t="s">
        <v>822</v>
      </c>
      <c r="B272" s="45" t="s">
        <v>540</v>
      </c>
      <c r="C272" s="45" t="s">
        <v>541</v>
      </c>
      <c r="D272" s="45" t="s">
        <v>559</v>
      </c>
      <c r="E272" s="45" t="s">
        <v>543</v>
      </c>
      <c r="F272" s="45">
        <v>4.7</v>
      </c>
      <c r="G272" s="45" t="s">
        <v>692</v>
      </c>
      <c r="H272" s="45">
        <v>55</v>
      </c>
      <c r="I272" s="45" t="s">
        <v>548</v>
      </c>
      <c r="J272" s="142">
        <v>30</v>
      </c>
      <c r="K272" s="144">
        <v>12.6</v>
      </c>
    </row>
    <row r="273" spans="1:11" ht="16.05" customHeight="1">
      <c r="A273" s="99" t="s">
        <v>823</v>
      </c>
      <c r="B273" s="45" t="s">
        <v>541</v>
      </c>
      <c r="C273" s="45" t="s">
        <v>541</v>
      </c>
      <c r="D273" s="45" t="s">
        <v>555</v>
      </c>
      <c r="E273" s="45" t="s">
        <v>543</v>
      </c>
      <c r="F273" s="45">
        <v>3.9</v>
      </c>
      <c r="G273" s="45" t="s">
        <v>692</v>
      </c>
      <c r="H273" s="45">
        <v>54</v>
      </c>
      <c r="I273" s="45" t="s">
        <v>545</v>
      </c>
      <c r="J273" s="142">
        <v>21</v>
      </c>
      <c r="K273" s="144">
        <v>1.4</v>
      </c>
    </row>
    <row r="274" spans="1:11" ht="16.05" customHeight="1">
      <c r="A274" s="99" t="s">
        <v>824</v>
      </c>
      <c r="B274" s="45" t="s">
        <v>541</v>
      </c>
      <c r="C274" s="45" t="s">
        <v>541</v>
      </c>
      <c r="D274" s="45" t="s">
        <v>559</v>
      </c>
      <c r="E274" s="45" t="s">
        <v>552</v>
      </c>
      <c r="F274" s="45">
        <v>3.5</v>
      </c>
      <c r="G274" s="45" t="s">
        <v>692</v>
      </c>
      <c r="H274" s="45">
        <v>59</v>
      </c>
      <c r="I274" s="45" t="s">
        <v>545</v>
      </c>
      <c r="J274" s="142">
        <v>20</v>
      </c>
      <c r="K274" s="144">
        <v>1.34</v>
      </c>
    </row>
    <row r="275" spans="1:11" ht="16.05" customHeight="1">
      <c r="A275" s="99" t="s">
        <v>825</v>
      </c>
      <c r="B275" s="45" t="s">
        <v>540</v>
      </c>
      <c r="C275" s="45" t="s">
        <v>541</v>
      </c>
      <c r="D275" s="45" t="s">
        <v>542</v>
      </c>
      <c r="E275" s="45" t="s">
        <v>543</v>
      </c>
      <c r="F275" s="45">
        <v>1.3</v>
      </c>
      <c r="G275" s="45" t="s">
        <v>692</v>
      </c>
      <c r="H275" s="45">
        <v>57</v>
      </c>
      <c r="I275" s="45" t="s">
        <v>548</v>
      </c>
      <c r="J275" s="142">
        <v>17</v>
      </c>
      <c r="K275" s="144">
        <v>1.1100000000000001</v>
      </c>
    </row>
    <row r="276" spans="1:11" ht="16.05" customHeight="1">
      <c r="A276" s="99" t="s">
        <v>826</v>
      </c>
      <c r="B276" s="45" t="s">
        <v>541</v>
      </c>
      <c r="C276" s="45" t="s">
        <v>541</v>
      </c>
      <c r="D276" s="45" t="s">
        <v>559</v>
      </c>
      <c r="E276" s="45" t="s">
        <v>543</v>
      </c>
      <c r="F276" s="45">
        <v>3</v>
      </c>
      <c r="G276" s="45" t="s">
        <v>692</v>
      </c>
      <c r="H276" s="45">
        <v>64</v>
      </c>
      <c r="I276" s="45" t="s">
        <v>545</v>
      </c>
      <c r="J276" s="142">
        <v>30</v>
      </c>
      <c r="K276" s="144">
        <v>2</v>
      </c>
    </row>
    <row r="277" spans="1:11" ht="16.05" customHeight="1">
      <c r="A277" s="99" t="s">
        <v>827</v>
      </c>
      <c r="B277" s="45" t="s">
        <v>540</v>
      </c>
      <c r="C277" s="45" t="s">
        <v>541</v>
      </c>
      <c r="D277" s="45" t="s">
        <v>542</v>
      </c>
      <c r="E277" s="45" t="s">
        <v>543</v>
      </c>
      <c r="F277" s="45">
        <v>1.8</v>
      </c>
      <c r="G277" s="45" t="s">
        <v>692</v>
      </c>
      <c r="H277" s="45">
        <v>53</v>
      </c>
      <c r="I277" s="45" t="s">
        <v>545</v>
      </c>
      <c r="J277" s="142">
        <v>12</v>
      </c>
      <c r="K277" s="144">
        <v>0.76800000000000002</v>
      </c>
    </row>
    <row r="278" spans="1:11" ht="16.05" customHeight="1">
      <c r="A278" s="99" t="s">
        <v>828</v>
      </c>
      <c r="B278" s="45" t="s">
        <v>541</v>
      </c>
      <c r="C278" s="45" t="s">
        <v>541</v>
      </c>
      <c r="D278" s="45" t="s">
        <v>542</v>
      </c>
      <c r="E278" s="45" t="s">
        <v>543</v>
      </c>
      <c r="F278" s="45">
        <v>1</v>
      </c>
      <c r="G278" s="45" t="s">
        <v>692</v>
      </c>
      <c r="H278" s="45">
        <v>53</v>
      </c>
      <c r="I278" s="45" t="s">
        <v>548</v>
      </c>
      <c r="J278" s="142">
        <v>18</v>
      </c>
      <c r="K278" s="144">
        <v>1.22</v>
      </c>
    </row>
    <row r="279" spans="1:11" ht="16.05" customHeight="1">
      <c r="A279" s="99" t="s">
        <v>829</v>
      </c>
      <c r="B279" s="45" t="s">
        <v>540</v>
      </c>
      <c r="C279" s="45" t="s">
        <v>541</v>
      </c>
      <c r="D279" s="45" t="s">
        <v>550</v>
      </c>
      <c r="E279" s="45" t="s">
        <v>543</v>
      </c>
      <c r="F279" s="45">
        <v>0.5</v>
      </c>
      <c r="G279" s="45" t="s">
        <v>692</v>
      </c>
      <c r="H279" s="45">
        <v>49</v>
      </c>
      <c r="I279" s="45" t="s">
        <v>548</v>
      </c>
      <c r="J279" s="142">
        <v>13.77</v>
      </c>
      <c r="K279" s="144">
        <v>0.91800000000000004</v>
      </c>
    </row>
    <row r="280" spans="1:11" ht="16.05" customHeight="1">
      <c r="A280" s="99" t="s">
        <v>830</v>
      </c>
      <c r="B280" s="45" t="s">
        <v>540</v>
      </c>
      <c r="C280" s="45" t="s">
        <v>541</v>
      </c>
      <c r="D280" s="45" t="s">
        <v>542</v>
      </c>
      <c r="E280" s="45" t="s">
        <v>543</v>
      </c>
      <c r="F280" s="45">
        <v>0.9</v>
      </c>
      <c r="G280" s="45" t="s">
        <v>692</v>
      </c>
      <c r="H280" s="45">
        <v>50</v>
      </c>
      <c r="I280" s="45" t="s">
        <v>548</v>
      </c>
      <c r="J280" s="142">
        <v>16.5</v>
      </c>
      <c r="K280" s="144">
        <v>1.1000000000000001</v>
      </c>
    </row>
    <row r="281" spans="1:11" ht="16.05" customHeight="1">
      <c r="A281" s="99" t="s">
        <v>831</v>
      </c>
      <c r="B281" s="45" t="s">
        <v>540</v>
      </c>
      <c r="C281" s="45" t="s">
        <v>541</v>
      </c>
      <c r="D281" s="45" t="s">
        <v>542</v>
      </c>
      <c r="E281" s="45" t="s">
        <v>543</v>
      </c>
      <c r="F281" s="45">
        <v>0.8</v>
      </c>
      <c r="G281" s="45" t="s">
        <v>692</v>
      </c>
      <c r="H281" s="45">
        <v>49</v>
      </c>
      <c r="I281" s="45" t="s">
        <v>545</v>
      </c>
      <c r="J281" s="142">
        <v>23.1</v>
      </c>
      <c r="K281" s="144">
        <v>1.54</v>
      </c>
    </row>
    <row r="282" spans="1:11" ht="16.05" customHeight="1">
      <c r="A282" s="99" t="s">
        <v>832</v>
      </c>
      <c r="B282" s="45" t="s">
        <v>540</v>
      </c>
      <c r="C282" s="45" t="s">
        <v>541</v>
      </c>
      <c r="D282" s="45" t="s">
        <v>542</v>
      </c>
      <c r="E282" s="45" t="s">
        <v>543</v>
      </c>
      <c r="F282" s="45">
        <v>1.5</v>
      </c>
      <c r="G282" s="45" t="s">
        <v>692</v>
      </c>
      <c r="H282" s="45">
        <v>59</v>
      </c>
      <c r="I282" s="45" t="s">
        <v>548</v>
      </c>
      <c r="J282" s="142">
        <v>11.54</v>
      </c>
      <c r="K282" s="144">
        <v>0.76900000000000002</v>
      </c>
    </row>
    <row r="283" spans="1:11" ht="16.05" customHeight="1">
      <c r="A283" s="99" t="s">
        <v>833</v>
      </c>
      <c r="B283" s="45" t="s">
        <v>540</v>
      </c>
      <c r="C283" s="45" t="s">
        <v>541</v>
      </c>
      <c r="D283" s="45" t="s">
        <v>542</v>
      </c>
      <c r="E283" s="45" t="s">
        <v>543</v>
      </c>
      <c r="F283" s="45">
        <v>0.7</v>
      </c>
      <c r="G283" s="45" t="s">
        <v>692</v>
      </c>
      <c r="H283" s="45">
        <v>52</v>
      </c>
      <c r="I283" s="45" t="s">
        <v>545</v>
      </c>
      <c r="J283" s="142">
        <v>14</v>
      </c>
      <c r="K283" s="144">
        <v>0.93300000000000005</v>
      </c>
    </row>
    <row r="284" spans="1:11" ht="16.05" customHeight="1">
      <c r="A284" s="99" t="s">
        <v>834</v>
      </c>
      <c r="B284" s="45" t="s">
        <v>541</v>
      </c>
      <c r="C284" s="45" t="s">
        <v>541</v>
      </c>
      <c r="D284" s="45" t="s">
        <v>542</v>
      </c>
      <c r="E284" s="45" t="s">
        <v>552</v>
      </c>
      <c r="F284" s="45">
        <v>2.5</v>
      </c>
      <c r="G284" s="45" t="s">
        <v>692</v>
      </c>
      <c r="H284" s="45">
        <v>56</v>
      </c>
      <c r="I284" s="45" t="s">
        <v>545</v>
      </c>
      <c r="J284" s="142">
        <v>30</v>
      </c>
      <c r="K284" s="144">
        <v>2.73</v>
      </c>
    </row>
    <row r="285" spans="1:11" ht="16.05" customHeight="1">
      <c r="A285" s="99" t="s">
        <v>835</v>
      </c>
      <c r="B285" s="45" t="s">
        <v>540</v>
      </c>
      <c r="C285" s="45" t="s">
        <v>541</v>
      </c>
      <c r="D285" s="45" t="s">
        <v>542</v>
      </c>
      <c r="E285" s="45" t="s">
        <v>552</v>
      </c>
      <c r="F285" s="45">
        <v>3</v>
      </c>
      <c r="G285" s="45" t="s">
        <v>692</v>
      </c>
      <c r="H285" s="45">
        <v>55</v>
      </c>
      <c r="I285" s="45" t="s">
        <v>545</v>
      </c>
      <c r="J285" s="142">
        <v>13.32</v>
      </c>
      <c r="K285" s="144">
        <v>0.88800000000000001</v>
      </c>
    </row>
    <row r="286" spans="1:11" ht="16.05" customHeight="1">
      <c r="A286" s="99" t="s">
        <v>836</v>
      </c>
      <c r="B286" s="45" t="s">
        <v>540</v>
      </c>
      <c r="C286" s="45" t="s">
        <v>541</v>
      </c>
      <c r="D286" s="45" t="s">
        <v>542</v>
      </c>
      <c r="E286" s="45" t="s">
        <v>543</v>
      </c>
      <c r="F286" s="45">
        <v>0.7</v>
      </c>
      <c r="G286" s="45" t="s">
        <v>692</v>
      </c>
      <c r="H286" s="45">
        <v>41</v>
      </c>
      <c r="I286" s="45" t="s">
        <v>548</v>
      </c>
      <c r="J286" s="142">
        <v>17.7</v>
      </c>
      <c r="K286" s="144">
        <v>1.18</v>
      </c>
    </row>
    <row r="287" spans="1:11" ht="16.05" customHeight="1">
      <c r="A287" s="99" t="s">
        <v>837</v>
      </c>
      <c r="B287" s="45" t="s">
        <v>541</v>
      </c>
      <c r="C287" s="45" t="s">
        <v>541</v>
      </c>
      <c r="D287" s="45" t="s">
        <v>559</v>
      </c>
      <c r="E287" s="45" t="s">
        <v>564</v>
      </c>
      <c r="F287" s="45">
        <v>2</v>
      </c>
      <c r="G287" s="45" t="s">
        <v>692</v>
      </c>
      <c r="H287" s="45">
        <v>64</v>
      </c>
      <c r="I287" s="45" t="s">
        <v>545</v>
      </c>
      <c r="J287" s="142">
        <v>15.6</v>
      </c>
      <c r="K287" s="144">
        <v>1.04</v>
      </c>
    </row>
    <row r="288" spans="1:11" ht="16.05" customHeight="1">
      <c r="A288" s="99" t="s">
        <v>838</v>
      </c>
      <c r="B288" s="45" t="s">
        <v>541</v>
      </c>
      <c r="C288" s="45" t="s">
        <v>541</v>
      </c>
      <c r="D288" s="45" t="s">
        <v>559</v>
      </c>
      <c r="E288" s="45" t="s">
        <v>543</v>
      </c>
      <c r="F288" s="45">
        <v>5.5</v>
      </c>
      <c r="G288" s="45" t="s">
        <v>692</v>
      </c>
      <c r="H288" s="45">
        <v>63</v>
      </c>
      <c r="I288" s="45" t="s">
        <v>545</v>
      </c>
      <c r="J288" s="142">
        <v>22.8</v>
      </c>
      <c r="K288" s="144">
        <v>1.52</v>
      </c>
    </row>
    <row r="289" spans="1:11" ht="16.05" customHeight="1">
      <c r="A289" s="99" t="s">
        <v>839</v>
      </c>
      <c r="B289" s="45" t="s">
        <v>540</v>
      </c>
      <c r="C289" s="45" t="s">
        <v>541</v>
      </c>
      <c r="D289" s="45" t="s">
        <v>542</v>
      </c>
      <c r="E289" s="45" t="s">
        <v>543</v>
      </c>
      <c r="F289" s="45">
        <v>1.2</v>
      </c>
      <c r="G289" s="45" t="s">
        <v>692</v>
      </c>
      <c r="H289" s="45">
        <v>44</v>
      </c>
      <c r="I289" s="45" t="s">
        <v>548</v>
      </c>
      <c r="J289" s="142">
        <v>16.2</v>
      </c>
      <c r="K289" s="144">
        <v>1.08</v>
      </c>
    </row>
    <row r="290" spans="1:11" ht="16.05" customHeight="1">
      <c r="A290" s="99" t="s">
        <v>840</v>
      </c>
      <c r="B290" s="45" t="s">
        <v>540</v>
      </c>
      <c r="C290" s="45" t="s">
        <v>541</v>
      </c>
      <c r="D290" s="45" t="s">
        <v>555</v>
      </c>
      <c r="E290" s="45" t="s">
        <v>543</v>
      </c>
      <c r="F290" s="45">
        <v>4</v>
      </c>
      <c r="G290" s="45" t="s">
        <v>692</v>
      </c>
      <c r="H290" s="45">
        <v>53</v>
      </c>
      <c r="I290" s="45" t="s">
        <v>545</v>
      </c>
      <c r="J290" s="142">
        <v>27.3</v>
      </c>
      <c r="K290" s="144">
        <v>1.82</v>
      </c>
    </row>
    <row r="291" spans="1:11" ht="16.05" customHeight="1">
      <c r="A291" s="99" t="s">
        <v>841</v>
      </c>
      <c r="B291" s="45" t="s">
        <v>540</v>
      </c>
      <c r="C291" s="45" t="s">
        <v>541</v>
      </c>
      <c r="D291" s="45" t="s">
        <v>542</v>
      </c>
      <c r="E291" s="45" t="s">
        <v>543</v>
      </c>
      <c r="F291" s="45">
        <v>0.9</v>
      </c>
      <c r="G291" s="45" t="s">
        <v>692</v>
      </c>
      <c r="H291" s="45">
        <v>46</v>
      </c>
      <c r="I291" s="45" t="s">
        <v>548</v>
      </c>
      <c r="J291" s="142">
        <v>19.350000000000001</v>
      </c>
      <c r="K291" s="144">
        <v>1.29</v>
      </c>
    </row>
    <row r="292" spans="1:11" ht="16.05" customHeight="1">
      <c r="A292" s="99" t="s">
        <v>842</v>
      </c>
      <c r="B292" s="45" t="s">
        <v>540</v>
      </c>
      <c r="C292" s="45" t="s">
        <v>541</v>
      </c>
      <c r="D292" s="45" t="s">
        <v>542</v>
      </c>
      <c r="E292" s="45" t="s">
        <v>543</v>
      </c>
      <c r="F292" s="45">
        <v>1.1000000000000001</v>
      </c>
      <c r="G292" s="45" t="s">
        <v>692</v>
      </c>
      <c r="H292" s="45">
        <v>45</v>
      </c>
      <c r="I292" s="45" t="s">
        <v>548</v>
      </c>
      <c r="J292" s="142">
        <v>12.69</v>
      </c>
      <c r="K292" s="144">
        <v>0.84599999999999997</v>
      </c>
    </row>
    <row r="293" spans="1:11" ht="16.05" customHeight="1">
      <c r="A293" s="99" t="s">
        <v>843</v>
      </c>
      <c r="B293" s="45" t="s">
        <v>540</v>
      </c>
      <c r="C293" s="45" t="s">
        <v>541</v>
      </c>
      <c r="D293" s="45" t="s">
        <v>550</v>
      </c>
      <c r="E293" s="45" t="s">
        <v>543</v>
      </c>
      <c r="F293" s="45">
        <v>2.7</v>
      </c>
      <c r="G293" s="45" t="s">
        <v>692</v>
      </c>
      <c r="H293" s="45">
        <v>54</v>
      </c>
      <c r="I293" s="45" t="s">
        <v>545</v>
      </c>
      <c r="J293" s="142">
        <v>10</v>
      </c>
      <c r="K293" s="144">
        <v>0.69</v>
      </c>
    </row>
    <row r="294" spans="1:11" ht="16.05" customHeight="1">
      <c r="A294" s="99" t="s">
        <v>844</v>
      </c>
      <c r="B294" s="45" t="s">
        <v>540</v>
      </c>
      <c r="C294" s="45" t="s">
        <v>541</v>
      </c>
      <c r="D294" s="45" t="s">
        <v>559</v>
      </c>
      <c r="E294" s="45" t="s">
        <v>543</v>
      </c>
      <c r="F294" s="45">
        <v>3</v>
      </c>
      <c r="G294" s="45" t="s">
        <v>692</v>
      </c>
      <c r="H294" s="45">
        <v>52</v>
      </c>
      <c r="I294" s="45" t="s">
        <v>548</v>
      </c>
      <c r="J294" s="142">
        <v>10</v>
      </c>
      <c r="K294" s="144">
        <v>0.89700000000000002</v>
      </c>
    </row>
    <row r="295" spans="1:11" ht="16.05" customHeight="1">
      <c r="A295" s="99" t="s">
        <v>845</v>
      </c>
      <c r="B295" s="45" t="s">
        <v>540</v>
      </c>
      <c r="C295" s="45" t="s">
        <v>541</v>
      </c>
      <c r="D295" s="45" t="s">
        <v>550</v>
      </c>
      <c r="E295" s="45" t="s">
        <v>543</v>
      </c>
      <c r="F295" s="45">
        <v>3.2</v>
      </c>
      <c r="G295" s="45" t="s">
        <v>692</v>
      </c>
      <c r="H295" s="45">
        <v>45</v>
      </c>
      <c r="I295" s="45" t="s">
        <v>545</v>
      </c>
      <c r="J295" s="142">
        <v>10</v>
      </c>
      <c r="K295" s="144">
        <v>0.66300000000000003</v>
      </c>
    </row>
    <row r="296" spans="1:11" ht="16.05" customHeight="1">
      <c r="A296" s="99" t="s">
        <v>846</v>
      </c>
      <c r="B296" s="45" t="s">
        <v>541</v>
      </c>
      <c r="C296" s="45" t="s">
        <v>541</v>
      </c>
      <c r="D296" s="45" t="s">
        <v>550</v>
      </c>
      <c r="E296" s="45" t="s">
        <v>543</v>
      </c>
      <c r="F296" s="45">
        <v>1.2</v>
      </c>
      <c r="G296" s="45" t="s">
        <v>692</v>
      </c>
      <c r="H296" s="45">
        <v>66</v>
      </c>
      <c r="I296" s="45" t="s">
        <v>545</v>
      </c>
      <c r="J296" s="142">
        <v>30</v>
      </c>
      <c r="K296" s="144">
        <v>2.78</v>
      </c>
    </row>
    <row r="297" spans="1:11" ht="16.05" customHeight="1">
      <c r="A297" s="99" t="s">
        <v>847</v>
      </c>
      <c r="B297" s="45" t="s">
        <v>540</v>
      </c>
      <c r="C297" s="45" t="s">
        <v>541</v>
      </c>
      <c r="D297" s="45" t="s">
        <v>559</v>
      </c>
      <c r="E297" s="45" t="s">
        <v>552</v>
      </c>
      <c r="F297" s="45">
        <v>3.7</v>
      </c>
      <c r="G297" s="45" t="s">
        <v>692</v>
      </c>
      <c r="H297" s="45">
        <v>55</v>
      </c>
      <c r="I297" s="45" t="s">
        <v>545</v>
      </c>
      <c r="J297" s="142">
        <v>17</v>
      </c>
      <c r="K297" s="144">
        <v>1.1399999999999999</v>
      </c>
    </row>
    <row r="298" spans="1:11" ht="16.05" customHeight="1">
      <c r="A298" s="99" t="s">
        <v>848</v>
      </c>
      <c r="B298" s="45" t="s">
        <v>541</v>
      </c>
      <c r="C298" s="45" t="s">
        <v>541</v>
      </c>
      <c r="D298" s="45" t="s">
        <v>550</v>
      </c>
      <c r="E298" s="45" t="s">
        <v>543</v>
      </c>
      <c r="F298" s="45">
        <v>1.8</v>
      </c>
      <c r="G298" s="45" t="s">
        <v>692</v>
      </c>
      <c r="H298" s="45">
        <v>71</v>
      </c>
      <c r="I298" s="45" t="s">
        <v>548</v>
      </c>
      <c r="J298" s="142">
        <v>10</v>
      </c>
      <c r="K298" s="144">
        <v>0.79700000000000004</v>
      </c>
    </row>
    <row r="299" spans="1:11" ht="16.05" customHeight="1">
      <c r="A299" s="99" t="s">
        <v>849</v>
      </c>
      <c r="B299" s="45" t="s">
        <v>541</v>
      </c>
      <c r="C299" s="45" t="s">
        <v>541</v>
      </c>
      <c r="D299" s="45" t="s">
        <v>550</v>
      </c>
      <c r="E299" s="45" t="s">
        <v>543</v>
      </c>
      <c r="F299" s="45">
        <v>1.1000000000000001</v>
      </c>
      <c r="G299" s="45" t="s">
        <v>692</v>
      </c>
      <c r="H299" s="45">
        <v>58</v>
      </c>
      <c r="I299" s="45" t="s">
        <v>545</v>
      </c>
      <c r="J299" s="142">
        <v>27</v>
      </c>
      <c r="K299" s="144">
        <v>1.8</v>
      </c>
    </row>
    <row r="300" spans="1:11" ht="16.05" customHeight="1">
      <c r="A300" s="99" t="s">
        <v>850</v>
      </c>
      <c r="B300" s="45" t="s">
        <v>540</v>
      </c>
      <c r="C300" s="45" t="s">
        <v>541</v>
      </c>
      <c r="D300" s="45" t="s">
        <v>542</v>
      </c>
      <c r="E300" s="45" t="s">
        <v>543</v>
      </c>
      <c r="F300" s="45">
        <v>0.7</v>
      </c>
      <c r="G300" s="45" t="s">
        <v>692</v>
      </c>
      <c r="H300" s="45">
        <v>55</v>
      </c>
      <c r="I300" s="45" t="s">
        <v>545</v>
      </c>
      <c r="J300" s="142">
        <v>24</v>
      </c>
      <c r="K300" s="144">
        <v>1.62</v>
      </c>
    </row>
    <row r="301" spans="1:11" ht="16.05" customHeight="1">
      <c r="A301" s="99" t="s">
        <v>851</v>
      </c>
      <c r="B301" s="45" t="s">
        <v>541</v>
      </c>
      <c r="C301" s="45" t="s">
        <v>541</v>
      </c>
      <c r="D301" s="45" t="s">
        <v>559</v>
      </c>
      <c r="E301" s="45" t="s">
        <v>552</v>
      </c>
      <c r="F301" s="45">
        <v>2.5</v>
      </c>
      <c r="G301" s="45" t="s">
        <v>692</v>
      </c>
      <c r="H301" s="45">
        <v>68</v>
      </c>
      <c r="I301" s="45" t="s">
        <v>545</v>
      </c>
      <c r="J301" s="142">
        <v>28</v>
      </c>
      <c r="K301" s="144">
        <v>1.86</v>
      </c>
    </row>
    <row r="302" spans="1:11" ht="16.05" customHeight="1">
      <c r="A302" s="99" t="s">
        <v>852</v>
      </c>
      <c r="B302" s="45" t="s">
        <v>540</v>
      </c>
      <c r="C302" s="45" t="s">
        <v>541</v>
      </c>
      <c r="D302" s="45" t="s">
        <v>559</v>
      </c>
      <c r="E302" s="45" t="s">
        <v>564</v>
      </c>
      <c r="F302" s="45">
        <v>1.9</v>
      </c>
      <c r="G302" s="45" t="s">
        <v>692</v>
      </c>
      <c r="H302" s="45">
        <v>62</v>
      </c>
      <c r="I302" s="45" t="s">
        <v>548</v>
      </c>
      <c r="J302" s="142">
        <v>12</v>
      </c>
      <c r="K302" s="144">
        <v>0.81100000000000005</v>
      </c>
    </row>
    <row r="303" spans="1:11" ht="16.05" customHeight="1">
      <c r="A303" s="99" t="s">
        <v>853</v>
      </c>
      <c r="B303" s="45" t="s">
        <v>540</v>
      </c>
      <c r="C303" s="45" t="s">
        <v>541</v>
      </c>
      <c r="D303" s="45" t="s">
        <v>559</v>
      </c>
      <c r="E303" s="45" t="s">
        <v>543</v>
      </c>
      <c r="F303" s="45">
        <v>1.2</v>
      </c>
      <c r="G303" s="45" t="s">
        <v>692</v>
      </c>
      <c r="H303" s="45">
        <v>68</v>
      </c>
      <c r="I303" s="45" t="s">
        <v>545</v>
      </c>
      <c r="J303" s="142">
        <v>11</v>
      </c>
      <c r="K303" s="144">
        <v>0.73599999999999999</v>
      </c>
    </row>
    <row r="304" spans="1:11" ht="16.05" customHeight="1">
      <c r="A304" s="99" t="s">
        <v>854</v>
      </c>
      <c r="B304" s="45" t="s">
        <v>540</v>
      </c>
      <c r="C304" s="45" t="s">
        <v>541</v>
      </c>
      <c r="D304" s="45" t="s">
        <v>555</v>
      </c>
      <c r="E304" s="45" t="s">
        <v>543</v>
      </c>
      <c r="F304" s="45">
        <v>1</v>
      </c>
      <c r="G304" s="45" t="s">
        <v>692</v>
      </c>
      <c r="H304" s="45">
        <v>48</v>
      </c>
      <c r="I304" s="45" t="s">
        <v>545</v>
      </c>
      <c r="J304" s="142">
        <v>23</v>
      </c>
      <c r="K304" s="144">
        <v>1.51</v>
      </c>
    </row>
    <row r="305" spans="1:12" ht="16.05" customHeight="1">
      <c r="A305" s="99" t="s">
        <v>855</v>
      </c>
      <c r="B305" s="45" t="s">
        <v>541</v>
      </c>
      <c r="C305" s="45" t="s">
        <v>541</v>
      </c>
      <c r="D305" s="45" t="s">
        <v>555</v>
      </c>
      <c r="E305" s="45" t="s">
        <v>543</v>
      </c>
      <c r="F305" s="45">
        <v>0.7</v>
      </c>
      <c r="G305" s="45" t="s">
        <v>692</v>
      </c>
      <c r="H305" s="45">
        <v>74</v>
      </c>
      <c r="I305" s="45" t="s">
        <v>548</v>
      </c>
      <c r="J305" s="142">
        <v>30</v>
      </c>
      <c r="K305" s="144">
        <v>5.91</v>
      </c>
    </row>
    <row r="306" spans="1:12" ht="16.05" customHeight="1">
      <c r="A306" s="99" t="s">
        <v>856</v>
      </c>
      <c r="B306" s="45" t="s">
        <v>541</v>
      </c>
      <c r="C306" s="45" t="s">
        <v>541</v>
      </c>
      <c r="D306" s="45" t="s">
        <v>542</v>
      </c>
      <c r="E306" s="45" t="s">
        <v>543</v>
      </c>
      <c r="F306" s="45">
        <v>2.7</v>
      </c>
      <c r="G306" s="45" t="s">
        <v>692</v>
      </c>
      <c r="H306" s="45">
        <v>59</v>
      </c>
      <c r="I306" s="45" t="s">
        <v>548</v>
      </c>
      <c r="J306" s="142">
        <v>30</v>
      </c>
      <c r="K306" s="144">
        <v>2.13</v>
      </c>
    </row>
    <row r="307" spans="1:12" ht="16.05" customHeight="1">
      <c r="A307" s="99" t="s">
        <v>857</v>
      </c>
      <c r="B307" s="45" t="s">
        <v>541</v>
      </c>
      <c r="C307" s="45" t="s">
        <v>541</v>
      </c>
      <c r="D307" s="45" t="s">
        <v>559</v>
      </c>
      <c r="E307" s="45" t="s">
        <v>552</v>
      </c>
      <c r="F307" s="45">
        <v>5.6</v>
      </c>
      <c r="G307" s="45" t="s">
        <v>692</v>
      </c>
      <c r="H307" s="45">
        <v>59</v>
      </c>
      <c r="I307" s="45" t="s">
        <v>545</v>
      </c>
      <c r="J307" s="142">
        <v>20</v>
      </c>
      <c r="K307" s="144">
        <v>1.35</v>
      </c>
    </row>
    <row r="308" spans="1:12" ht="16.05" customHeight="1">
      <c r="A308" s="99" t="s">
        <v>858</v>
      </c>
      <c r="B308" s="45" t="s">
        <v>540</v>
      </c>
      <c r="C308" s="45" t="s">
        <v>541</v>
      </c>
      <c r="D308" s="45" t="s">
        <v>542</v>
      </c>
      <c r="E308" s="45" t="s">
        <v>543</v>
      </c>
      <c r="F308" s="45">
        <v>3</v>
      </c>
      <c r="G308" s="45" t="s">
        <v>692</v>
      </c>
      <c r="H308" s="45">
        <v>57</v>
      </c>
      <c r="I308" s="45" t="s">
        <v>548</v>
      </c>
      <c r="J308" s="142">
        <v>19</v>
      </c>
      <c r="K308" s="144">
        <v>1.24</v>
      </c>
    </row>
    <row r="309" spans="1:12" ht="16.05" customHeight="1">
      <c r="A309" s="99" t="s">
        <v>859</v>
      </c>
      <c r="B309" s="45" t="s">
        <v>540</v>
      </c>
      <c r="C309" s="45" t="s">
        <v>541</v>
      </c>
      <c r="D309" s="45" t="s">
        <v>542</v>
      </c>
      <c r="E309" s="45" t="s">
        <v>543</v>
      </c>
      <c r="F309" s="45">
        <v>2.5</v>
      </c>
      <c r="G309" s="45" t="s">
        <v>692</v>
      </c>
      <c r="H309" s="45">
        <v>57</v>
      </c>
      <c r="I309" s="45" t="s">
        <v>548</v>
      </c>
      <c r="J309" s="142">
        <v>20</v>
      </c>
      <c r="K309" s="144">
        <v>1.33</v>
      </c>
    </row>
    <row r="310" spans="1:12" ht="16.05" customHeight="1">
      <c r="A310" s="117" t="s">
        <v>860</v>
      </c>
      <c r="B310" s="49" t="s">
        <v>540</v>
      </c>
      <c r="C310" s="49" t="s">
        <v>541</v>
      </c>
      <c r="D310" s="49" t="s">
        <v>542</v>
      </c>
      <c r="E310" s="49" t="s">
        <v>543</v>
      </c>
      <c r="F310" s="49">
        <v>2</v>
      </c>
      <c r="G310" s="49" t="s">
        <v>692</v>
      </c>
      <c r="H310" s="49">
        <v>40</v>
      </c>
      <c r="I310" s="49" t="s">
        <v>545</v>
      </c>
      <c r="J310" s="145">
        <v>18</v>
      </c>
      <c r="K310" s="146">
        <v>1.2</v>
      </c>
    </row>
    <row r="312" spans="1:12" ht="16.05" customHeight="1">
      <c r="A312" s="100" t="s">
        <v>2035</v>
      </c>
      <c r="B312" s="45"/>
      <c r="C312" s="45"/>
      <c r="D312" s="45"/>
      <c r="E312" s="45"/>
      <c r="F312" s="45"/>
      <c r="G312" s="45"/>
    </row>
    <row r="313" spans="1:12" s="141" customFormat="1" ht="25.95" customHeight="1">
      <c r="A313" s="26" t="s">
        <v>528</v>
      </c>
      <c r="B313" s="26" t="s">
        <v>529</v>
      </c>
      <c r="C313" s="26" t="s">
        <v>530</v>
      </c>
      <c r="D313" s="26" t="s">
        <v>531</v>
      </c>
      <c r="E313" s="26" t="s">
        <v>532</v>
      </c>
      <c r="F313" s="26" t="s">
        <v>533</v>
      </c>
      <c r="G313" s="26" t="s">
        <v>534</v>
      </c>
      <c r="H313" s="26" t="s">
        <v>861</v>
      </c>
      <c r="I313" s="26" t="s">
        <v>536</v>
      </c>
      <c r="J313" s="147" t="s">
        <v>537</v>
      </c>
      <c r="K313" s="27" t="s">
        <v>538</v>
      </c>
    </row>
    <row r="314" spans="1:12" ht="16.05" customHeight="1">
      <c r="A314" s="45" t="s">
        <v>862</v>
      </c>
      <c r="B314" s="45" t="s">
        <v>540</v>
      </c>
      <c r="C314" s="45" t="s">
        <v>540</v>
      </c>
      <c r="D314" s="45" t="s">
        <v>863</v>
      </c>
      <c r="E314" s="45" t="s">
        <v>863</v>
      </c>
      <c r="F314" s="45">
        <v>0</v>
      </c>
      <c r="G314" s="45" t="s">
        <v>544</v>
      </c>
      <c r="H314" s="45">
        <v>79</v>
      </c>
      <c r="I314" s="45" t="s">
        <v>545</v>
      </c>
      <c r="J314" s="148">
        <v>31.2</v>
      </c>
      <c r="K314" s="144">
        <v>2.08</v>
      </c>
      <c r="L314" s="149"/>
    </row>
    <row r="315" spans="1:12" ht="16.05" customHeight="1">
      <c r="A315" s="45" t="s">
        <v>864</v>
      </c>
      <c r="B315" s="45" t="s">
        <v>540</v>
      </c>
      <c r="C315" s="45" t="s">
        <v>540</v>
      </c>
      <c r="D315" s="45" t="s">
        <v>863</v>
      </c>
      <c r="E315" s="45" t="s">
        <v>863</v>
      </c>
      <c r="F315" s="45">
        <v>0</v>
      </c>
      <c r="G315" s="45" t="s">
        <v>544</v>
      </c>
      <c r="H315" s="45">
        <v>70</v>
      </c>
      <c r="I315" s="45" t="s">
        <v>548</v>
      </c>
      <c r="J315" s="148">
        <v>25.1</v>
      </c>
      <c r="K315" s="144">
        <v>1.67</v>
      </c>
      <c r="L315" s="149"/>
    </row>
    <row r="316" spans="1:12" ht="16.05" customHeight="1">
      <c r="A316" s="45" t="s">
        <v>865</v>
      </c>
      <c r="B316" s="45" t="s">
        <v>540</v>
      </c>
      <c r="C316" s="45" t="s">
        <v>540</v>
      </c>
      <c r="D316" s="45" t="s">
        <v>863</v>
      </c>
      <c r="E316" s="45" t="s">
        <v>863</v>
      </c>
      <c r="F316" s="45">
        <v>0</v>
      </c>
      <c r="G316" s="45" t="s">
        <v>544</v>
      </c>
      <c r="H316" s="45">
        <v>45</v>
      </c>
      <c r="I316" s="45" t="s">
        <v>545</v>
      </c>
      <c r="J316" s="148">
        <v>22.4</v>
      </c>
      <c r="K316" s="144">
        <v>1.49</v>
      </c>
      <c r="L316" s="149"/>
    </row>
    <row r="317" spans="1:12" ht="16.05" customHeight="1">
      <c r="A317" s="45" t="s">
        <v>866</v>
      </c>
      <c r="B317" s="45" t="s">
        <v>540</v>
      </c>
      <c r="C317" s="45" t="s">
        <v>540</v>
      </c>
      <c r="D317" s="45" t="s">
        <v>863</v>
      </c>
      <c r="E317" s="45" t="s">
        <v>863</v>
      </c>
      <c r="F317" s="45">
        <v>0</v>
      </c>
      <c r="G317" s="45" t="s">
        <v>544</v>
      </c>
      <c r="H317" s="45">
        <v>42</v>
      </c>
      <c r="I317" s="45" t="s">
        <v>545</v>
      </c>
      <c r="J317" s="148">
        <v>29.6</v>
      </c>
      <c r="K317" s="144">
        <v>1.97</v>
      </c>
      <c r="L317" s="149"/>
    </row>
    <row r="318" spans="1:12" ht="16.05" customHeight="1">
      <c r="A318" s="45" t="s">
        <v>867</v>
      </c>
      <c r="B318" s="45" t="s">
        <v>540</v>
      </c>
      <c r="C318" s="45" t="s">
        <v>540</v>
      </c>
      <c r="D318" s="45" t="s">
        <v>863</v>
      </c>
      <c r="E318" s="45" t="s">
        <v>863</v>
      </c>
      <c r="F318" s="45">
        <v>0</v>
      </c>
      <c r="G318" s="45" t="s">
        <v>544</v>
      </c>
      <c r="H318" s="45">
        <v>70</v>
      </c>
      <c r="I318" s="45" t="s">
        <v>548</v>
      </c>
      <c r="J318" s="148">
        <v>26.4</v>
      </c>
      <c r="K318" s="144">
        <v>1.76</v>
      </c>
      <c r="L318" s="149"/>
    </row>
    <row r="319" spans="1:12" ht="16.05" customHeight="1">
      <c r="A319" s="45" t="s">
        <v>868</v>
      </c>
      <c r="B319" s="45" t="s">
        <v>540</v>
      </c>
      <c r="C319" s="45" t="s">
        <v>540</v>
      </c>
      <c r="D319" s="45" t="s">
        <v>863</v>
      </c>
      <c r="E319" s="45" t="s">
        <v>863</v>
      </c>
      <c r="F319" s="45">
        <v>0</v>
      </c>
      <c r="G319" s="45" t="s">
        <v>544</v>
      </c>
      <c r="H319" s="45">
        <v>60</v>
      </c>
      <c r="I319" s="45" t="s">
        <v>545</v>
      </c>
      <c r="J319" s="148">
        <v>14.3</v>
      </c>
      <c r="K319" s="144">
        <v>0.95599999999999996</v>
      </c>
      <c r="L319" s="149"/>
    </row>
    <row r="320" spans="1:12" ht="16.05" customHeight="1">
      <c r="A320" s="45" t="s">
        <v>869</v>
      </c>
      <c r="B320" s="45" t="s">
        <v>541</v>
      </c>
      <c r="C320" s="45" t="s">
        <v>540</v>
      </c>
      <c r="D320" s="45" t="s">
        <v>863</v>
      </c>
      <c r="E320" s="45" t="s">
        <v>863</v>
      </c>
      <c r="F320" s="45">
        <v>0</v>
      </c>
      <c r="G320" s="45" t="s">
        <v>544</v>
      </c>
      <c r="H320" s="45">
        <v>56</v>
      </c>
      <c r="I320" s="45" t="s">
        <v>548</v>
      </c>
      <c r="J320" s="148">
        <v>24.6</v>
      </c>
      <c r="K320" s="144">
        <v>1.64</v>
      </c>
      <c r="L320" s="149"/>
    </row>
    <row r="321" spans="1:12" ht="16.05" customHeight="1">
      <c r="A321" s="45" t="s">
        <v>870</v>
      </c>
      <c r="B321" s="45" t="s">
        <v>540</v>
      </c>
      <c r="C321" s="45" t="s">
        <v>540</v>
      </c>
      <c r="D321" s="45" t="s">
        <v>863</v>
      </c>
      <c r="E321" s="45" t="s">
        <v>863</v>
      </c>
      <c r="F321" s="45">
        <v>0</v>
      </c>
      <c r="G321" s="45" t="s">
        <v>544</v>
      </c>
      <c r="H321" s="45">
        <v>61</v>
      </c>
      <c r="I321" s="45" t="s">
        <v>545</v>
      </c>
      <c r="J321" s="148">
        <v>23.3</v>
      </c>
      <c r="K321" s="144">
        <v>1.55</v>
      </c>
      <c r="L321" s="149"/>
    </row>
    <row r="322" spans="1:12" ht="16.05" customHeight="1">
      <c r="A322" s="45" t="s">
        <v>871</v>
      </c>
      <c r="B322" s="45" t="s">
        <v>540</v>
      </c>
      <c r="C322" s="45" t="s">
        <v>540</v>
      </c>
      <c r="D322" s="45" t="s">
        <v>863</v>
      </c>
      <c r="E322" s="45" t="s">
        <v>863</v>
      </c>
      <c r="F322" s="45">
        <v>0</v>
      </c>
      <c r="G322" s="45" t="s">
        <v>544</v>
      </c>
      <c r="H322" s="45">
        <v>42</v>
      </c>
      <c r="I322" s="45" t="s">
        <v>545</v>
      </c>
      <c r="J322" s="148">
        <v>18</v>
      </c>
      <c r="K322" s="144">
        <v>4.8</v>
      </c>
      <c r="L322" s="149"/>
    </row>
    <row r="323" spans="1:12" ht="16.05" customHeight="1">
      <c r="A323" s="45" t="s">
        <v>872</v>
      </c>
      <c r="B323" s="45" t="s">
        <v>540</v>
      </c>
      <c r="C323" s="45" t="s">
        <v>540</v>
      </c>
      <c r="D323" s="45" t="s">
        <v>863</v>
      </c>
      <c r="E323" s="45" t="s">
        <v>863</v>
      </c>
      <c r="F323" s="45">
        <v>0</v>
      </c>
      <c r="G323" s="45" t="s">
        <v>544</v>
      </c>
      <c r="H323" s="45">
        <v>59</v>
      </c>
      <c r="I323" s="45" t="s">
        <v>545</v>
      </c>
      <c r="J323" s="148">
        <v>11.9</v>
      </c>
      <c r="K323" s="144">
        <v>1.2</v>
      </c>
      <c r="L323" s="149"/>
    </row>
    <row r="324" spans="1:12" ht="16.05" customHeight="1">
      <c r="A324" s="45" t="s">
        <v>873</v>
      </c>
      <c r="B324" s="45" t="s">
        <v>540</v>
      </c>
      <c r="C324" s="45" t="s">
        <v>540</v>
      </c>
      <c r="D324" s="45" t="s">
        <v>863</v>
      </c>
      <c r="E324" s="45" t="s">
        <v>863</v>
      </c>
      <c r="F324" s="45">
        <v>0</v>
      </c>
      <c r="G324" s="45" t="s">
        <v>544</v>
      </c>
      <c r="H324" s="45">
        <v>56</v>
      </c>
      <c r="I324" s="45" t="s">
        <v>545</v>
      </c>
      <c r="J324" s="148">
        <v>12.3</v>
      </c>
      <c r="K324" s="144">
        <v>1.89</v>
      </c>
      <c r="L324" s="149"/>
    </row>
    <row r="325" spans="1:12" ht="16.05" customHeight="1">
      <c r="A325" s="45" t="s">
        <v>874</v>
      </c>
      <c r="B325" s="45" t="s">
        <v>540</v>
      </c>
      <c r="C325" s="45" t="s">
        <v>540</v>
      </c>
      <c r="D325" s="45" t="s">
        <v>863</v>
      </c>
      <c r="E325" s="45" t="s">
        <v>863</v>
      </c>
      <c r="F325" s="45">
        <v>0</v>
      </c>
      <c r="G325" s="45" t="s">
        <v>544</v>
      </c>
      <c r="H325" s="45">
        <v>46</v>
      </c>
      <c r="I325" s="45" t="s">
        <v>545</v>
      </c>
      <c r="J325" s="148">
        <v>15</v>
      </c>
      <c r="K325" s="144">
        <v>1.21</v>
      </c>
      <c r="L325" s="149"/>
    </row>
    <row r="326" spans="1:12" ht="16.05" customHeight="1">
      <c r="A326" s="45" t="s">
        <v>875</v>
      </c>
      <c r="B326" s="45" t="s">
        <v>540</v>
      </c>
      <c r="C326" s="45" t="s">
        <v>540</v>
      </c>
      <c r="D326" s="45" t="s">
        <v>863</v>
      </c>
      <c r="E326" s="45" t="s">
        <v>863</v>
      </c>
      <c r="F326" s="45">
        <v>0</v>
      </c>
      <c r="G326" s="45" t="s">
        <v>544</v>
      </c>
      <c r="H326" s="45">
        <v>48</v>
      </c>
      <c r="I326" s="45" t="s">
        <v>545</v>
      </c>
      <c r="J326" s="148">
        <v>13</v>
      </c>
      <c r="K326" s="144">
        <v>0.86899999999999999</v>
      </c>
      <c r="L326" s="149"/>
    </row>
    <row r="327" spans="1:12" ht="16.05" customHeight="1">
      <c r="A327" s="45" t="s">
        <v>876</v>
      </c>
      <c r="B327" s="45" t="s">
        <v>540</v>
      </c>
      <c r="C327" s="45" t="s">
        <v>540</v>
      </c>
      <c r="D327" s="45" t="s">
        <v>863</v>
      </c>
      <c r="E327" s="45" t="s">
        <v>863</v>
      </c>
      <c r="F327" s="45">
        <v>0</v>
      </c>
      <c r="G327" s="45" t="s">
        <v>544</v>
      </c>
      <c r="H327" s="45">
        <v>43</v>
      </c>
      <c r="I327" s="45" t="s">
        <v>545</v>
      </c>
      <c r="J327" s="148">
        <v>36.299999999999997</v>
      </c>
      <c r="K327" s="144">
        <v>2.42</v>
      </c>
      <c r="L327" s="149"/>
    </row>
    <row r="328" spans="1:12" ht="16.05" customHeight="1">
      <c r="A328" s="45" t="s">
        <v>877</v>
      </c>
      <c r="B328" s="45" t="s">
        <v>540</v>
      </c>
      <c r="C328" s="45" t="s">
        <v>540</v>
      </c>
      <c r="D328" s="45" t="s">
        <v>863</v>
      </c>
      <c r="E328" s="45" t="s">
        <v>863</v>
      </c>
      <c r="F328" s="45">
        <v>0</v>
      </c>
      <c r="G328" s="45" t="s">
        <v>544</v>
      </c>
      <c r="H328" s="45">
        <v>41</v>
      </c>
      <c r="I328" s="45" t="s">
        <v>545</v>
      </c>
      <c r="J328" s="148">
        <v>32.549999999999997</v>
      </c>
      <c r="K328" s="144">
        <v>2.17</v>
      </c>
      <c r="L328" s="149"/>
    </row>
    <row r="329" spans="1:12" ht="16.05" customHeight="1">
      <c r="A329" s="45" t="s">
        <v>878</v>
      </c>
      <c r="B329" s="45" t="s">
        <v>540</v>
      </c>
      <c r="C329" s="45" t="s">
        <v>540</v>
      </c>
      <c r="D329" s="45" t="s">
        <v>863</v>
      </c>
      <c r="E329" s="45" t="s">
        <v>863</v>
      </c>
      <c r="F329" s="45">
        <v>0</v>
      </c>
      <c r="G329" s="45" t="s">
        <v>544</v>
      </c>
      <c r="H329" s="45">
        <v>61</v>
      </c>
      <c r="I329" s="45" t="s">
        <v>548</v>
      </c>
      <c r="J329" s="148">
        <v>31.05</v>
      </c>
      <c r="K329" s="144">
        <v>2.0699999999999998</v>
      </c>
      <c r="L329" s="149"/>
    </row>
    <row r="330" spans="1:12" ht="16.05" customHeight="1">
      <c r="A330" s="45" t="s">
        <v>879</v>
      </c>
      <c r="B330" s="45" t="s">
        <v>540</v>
      </c>
      <c r="C330" s="45" t="s">
        <v>540</v>
      </c>
      <c r="D330" s="45" t="s">
        <v>863</v>
      </c>
      <c r="E330" s="45" t="s">
        <v>863</v>
      </c>
      <c r="F330" s="45">
        <v>0</v>
      </c>
      <c r="G330" s="45" t="s">
        <v>544</v>
      </c>
      <c r="H330" s="45">
        <v>48</v>
      </c>
      <c r="I330" s="45" t="s">
        <v>548</v>
      </c>
      <c r="J330" s="148">
        <v>21</v>
      </c>
      <c r="K330" s="144">
        <v>1.4</v>
      </c>
      <c r="L330" s="149"/>
    </row>
    <row r="331" spans="1:12" ht="16.05" customHeight="1">
      <c r="A331" s="45" t="s">
        <v>880</v>
      </c>
      <c r="B331" s="45" t="s">
        <v>540</v>
      </c>
      <c r="C331" s="45" t="s">
        <v>540</v>
      </c>
      <c r="D331" s="45" t="s">
        <v>863</v>
      </c>
      <c r="E331" s="45" t="s">
        <v>863</v>
      </c>
      <c r="F331" s="45">
        <v>0</v>
      </c>
      <c r="G331" s="45" t="s">
        <v>544</v>
      </c>
      <c r="H331" s="45">
        <v>45</v>
      </c>
      <c r="I331" s="45" t="s">
        <v>545</v>
      </c>
      <c r="J331" s="148">
        <v>28.05</v>
      </c>
      <c r="K331" s="144">
        <v>1.87</v>
      </c>
      <c r="L331" s="149"/>
    </row>
    <row r="332" spans="1:12" ht="16.05" customHeight="1">
      <c r="A332" s="45" t="s">
        <v>881</v>
      </c>
      <c r="B332" s="45" t="s">
        <v>540</v>
      </c>
      <c r="C332" s="45" t="s">
        <v>540</v>
      </c>
      <c r="D332" s="45" t="s">
        <v>863</v>
      </c>
      <c r="E332" s="45" t="s">
        <v>863</v>
      </c>
      <c r="F332" s="45">
        <v>0</v>
      </c>
      <c r="G332" s="45" t="s">
        <v>544</v>
      </c>
      <c r="H332" s="45">
        <v>45</v>
      </c>
      <c r="I332" s="45" t="s">
        <v>548</v>
      </c>
      <c r="J332" s="148">
        <v>23.7</v>
      </c>
      <c r="K332" s="144">
        <v>1.58</v>
      </c>
      <c r="L332" s="149"/>
    </row>
    <row r="333" spans="1:12" ht="16.05" customHeight="1">
      <c r="A333" s="45" t="s">
        <v>882</v>
      </c>
      <c r="B333" s="45" t="s">
        <v>540</v>
      </c>
      <c r="C333" s="45" t="s">
        <v>540</v>
      </c>
      <c r="D333" s="45" t="s">
        <v>863</v>
      </c>
      <c r="E333" s="45" t="s">
        <v>863</v>
      </c>
      <c r="F333" s="45">
        <v>0</v>
      </c>
      <c r="G333" s="45" t="s">
        <v>544</v>
      </c>
      <c r="H333" s="45">
        <v>50</v>
      </c>
      <c r="I333" s="45" t="s">
        <v>545</v>
      </c>
      <c r="J333" s="148">
        <v>18.149999999999999</v>
      </c>
      <c r="K333" s="144">
        <v>1.21</v>
      </c>
      <c r="L333" s="149"/>
    </row>
    <row r="334" spans="1:12" ht="16.05" customHeight="1">
      <c r="A334" s="45" t="s">
        <v>883</v>
      </c>
      <c r="B334" s="45" t="s">
        <v>540</v>
      </c>
      <c r="C334" s="45" t="s">
        <v>540</v>
      </c>
      <c r="D334" s="45" t="s">
        <v>863</v>
      </c>
      <c r="E334" s="45" t="s">
        <v>863</v>
      </c>
      <c r="F334" s="45">
        <v>0</v>
      </c>
      <c r="G334" s="45" t="s">
        <v>544</v>
      </c>
      <c r="H334" s="45">
        <v>56</v>
      </c>
      <c r="I334" s="45" t="s">
        <v>545</v>
      </c>
      <c r="J334" s="148">
        <v>14.93</v>
      </c>
      <c r="K334" s="144">
        <v>0.995</v>
      </c>
      <c r="L334" s="149"/>
    </row>
    <row r="335" spans="1:12" ht="16.05" customHeight="1">
      <c r="A335" s="45" t="s">
        <v>884</v>
      </c>
      <c r="B335" s="45" t="s">
        <v>540</v>
      </c>
      <c r="C335" s="45" t="s">
        <v>540</v>
      </c>
      <c r="D335" s="45" t="s">
        <v>863</v>
      </c>
      <c r="E335" s="45" t="s">
        <v>863</v>
      </c>
      <c r="F335" s="45">
        <v>0</v>
      </c>
      <c r="G335" s="45" t="s">
        <v>544</v>
      </c>
      <c r="H335" s="45">
        <v>43</v>
      </c>
      <c r="I335" s="45" t="s">
        <v>545</v>
      </c>
      <c r="J335" s="148">
        <v>39.299999999999997</v>
      </c>
      <c r="K335" s="144">
        <v>2.62</v>
      </c>
      <c r="L335" s="149"/>
    </row>
    <row r="336" spans="1:12" ht="16.05" customHeight="1">
      <c r="A336" s="45" t="s">
        <v>885</v>
      </c>
      <c r="B336" s="45" t="s">
        <v>540</v>
      </c>
      <c r="C336" s="45" t="s">
        <v>540</v>
      </c>
      <c r="D336" s="45" t="s">
        <v>863</v>
      </c>
      <c r="E336" s="45" t="s">
        <v>863</v>
      </c>
      <c r="F336" s="45">
        <v>0</v>
      </c>
      <c r="G336" s="45" t="s">
        <v>544</v>
      </c>
      <c r="H336" s="45">
        <v>55</v>
      </c>
      <c r="I336" s="45" t="s">
        <v>545</v>
      </c>
      <c r="J336" s="148">
        <v>30.75</v>
      </c>
      <c r="K336" s="144">
        <v>2.0499999999999998</v>
      </c>
      <c r="L336" s="149"/>
    </row>
    <row r="337" spans="1:12" ht="16.05" customHeight="1">
      <c r="A337" s="45" t="s">
        <v>886</v>
      </c>
      <c r="B337" s="45" t="s">
        <v>540</v>
      </c>
      <c r="C337" s="45" t="s">
        <v>540</v>
      </c>
      <c r="D337" s="45" t="s">
        <v>863</v>
      </c>
      <c r="E337" s="45" t="s">
        <v>863</v>
      </c>
      <c r="F337" s="45">
        <v>0</v>
      </c>
      <c r="G337" s="45" t="s">
        <v>544</v>
      </c>
      <c r="H337" s="45">
        <v>61</v>
      </c>
      <c r="I337" s="45" t="s">
        <v>548</v>
      </c>
      <c r="J337" s="148">
        <v>36.1</v>
      </c>
      <c r="K337" s="144">
        <v>3.61</v>
      </c>
      <c r="L337" s="149"/>
    </row>
    <row r="338" spans="1:12" ht="16.05" customHeight="1">
      <c r="A338" s="45" t="s">
        <v>887</v>
      </c>
      <c r="B338" s="45" t="s">
        <v>540</v>
      </c>
      <c r="C338" s="45" t="s">
        <v>540</v>
      </c>
      <c r="D338" s="45" t="s">
        <v>863</v>
      </c>
      <c r="E338" s="45" t="s">
        <v>863</v>
      </c>
      <c r="F338" s="45">
        <v>0</v>
      </c>
      <c r="G338" s="45" t="s">
        <v>544</v>
      </c>
      <c r="H338" s="45">
        <v>58</v>
      </c>
      <c r="I338" s="45" t="s">
        <v>545</v>
      </c>
      <c r="J338" s="148">
        <v>24</v>
      </c>
      <c r="K338" s="144">
        <v>1.6</v>
      </c>
      <c r="L338" s="149"/>
    </row>
    <row r="339" spans="1:12" ht="16.05" customHeight="1">
      <c r="A339" s="45" t="s">
        <v>888</v>
      </c>
      <c r="B339" s="45" t="s">
        <v>540</v>
      </c>
      <c r="C339" s="45" t="s">
        <v>540</v>
      </c>
      <c r="D339" s="45" t="s">
        <v>863</v>
      </c>
      <c r="E339" s="45" t="s">
        <v>863</v>
      </c>
      <c r="F339" s="45">
        <v>0</v>
      </c>
      <c r="G339" s="45" t="s">
        <v>544</v>
      </c>
      <c r="H339" s="45">
        <v>61</v>
      </c>
      <c r="I339" s="45" t="s">
        <v>548</v>
      </c>
      <c r="J339" s="148">
        <v>19.649999999999999</v>
      </c>
      <c r="K339" s="144">
        <v>1.31</v>
      </c>
      <c r="L339" s="149"/>
    </row>
    <row r="340" spans="1:12" ht="16.05" customHeight="1">
      <c r="A340" s="45" t="s">
        <v>889</v>
      </c>
      <c r="B340" s="45" t="s">
        <v>540</v>
      </c>
      <c r="C340" s="45" t="s">
        <v>540</v>
      </c>
      <c r="D340" s="45" t="s">
        <v>863</v>
      </c>
      <c r="E340" s="45" t="s">
        <v>863</v>
      </c>
      <c r="F340" s="45">
        <v>0</v>
      </c>
      <c r="G340" s="45" t="s">
        <v>544</v>
      </c>
      <c r="H340" s="45">
        <v>61</v>
      </c>
      <c r="I340" s="45" t="s">
        <v>545</v>
      </c>
      <c r="J340" s="148">
        <v>19.2</v>
      </c>
      <c r="K340" s="144">
        <v>1.28</v>
      </c>
      <c r="L340" s="149"/>
    </row>
    <row r="341" spans="1:12" ht="16.05" customHeight="1">
      <c r="A341" s="45" t="s">
        <v>890</v>
      </c>
      <c r="B341" s="45" t="s">
        <v>540</v>
      </c>
      <c r="C341" s="45" t="s">
        <v>540</v>
      </c>
      <c r="D341" s="45" t="s">
        <v>863</v>
      </c>
      <c r="E341" s="45" t="s">
        <v>863</v>
      </c>
      <c r="F341" s="45">
        <v>0</v>
      </c>
      <c r="G341" s="45" t="s">
        <v>544</v>
      </c>
      <c r="H341" s="45">
        <v>58</v>
      </c>
      <c r="I341" s="45" t="s">
        <v>545</v>
      </c>
      <c r="J341" s="148">
        <v>25.65</v>
      </c>
      <c r="K341" s="144">
        <v>1.71</v>
      </c>
      <c r="L341" s="149"/>
    </row>
    <row r="342" spans="1:12" ht="16.05" customHeight="1">
      <c r="A342" s="45" t="s">
        <v>891</v>
      </c>
      <c r="B342" s="45" t="s">
        <v>541</v>
      </c>
      <c r="C342" s="45" t="s">
        <v>540</v>
      </c>
      <c r="D342" s="45" t="s">
        <v>863</v>
      </c>
      <c r="E342" s="45" t="s">
        <v>863</v>
      </c>
      <c r="F342" s="45">
        <v>0</v>
      </c>
      <c r="G342" s="45" t="s">
        <v>544</v>
      </c>
      <c r="H342" s="45">
        <v>55</v>
      </c>
      <c r="I342" s="45" t="s">
        <v>548</v>
      </c>
      <c r="J342" s="148">
        <v>24.15</v>
      </c>
      <c r="K342" s="144">
        <v>1.61</v>
      </c>
      <c r="L342" s="149"/>
    </row>
    <row r="343" spans="1:12" ht="16.05" customHeight="1">
      <c r="A343" s="45" t="s">
        <v>892</v>
      </c>
      <c r="B343" s="45" t="s">
        <v>540</v>
      </c>
      <c r="C343" s="45" t="s">
        <v>540</v>
      </c>
      <c r="D343" s="45" t="s">
        <v>863</v>
      </c>
      <c r="E343" s="45" t="s">
        <v>863</v>
      </c>
      <c r="F343" s="45">
        <v>0</v>
      </c>
      <c r="G343" s="45" t="s">
        <v>544</v>
      </c>
      <c r="H343" s="45">
        <v>70</v>
      </c>
      <c r="I343" s="45" t="s">
        <v>545</v>
      </c>
      <c r="J343" s="148">
        <v>13.92</v>
      </c>
      <c r="K343" s="144">
        <v>0.92800000000000005</v>
      </c>
      <c r="L343" s="149"/>
    </row>
    <row r="344" spans="1:12" ht="16.05" customHeight="1">
      <c r="A344" s="45" t="s">
        <v>893</v>
      </c>
      <c r="B344" s="45" t="s">
        <v>540</v>
      </c>
      <c r="C344" s="45" t="s">
        <v>540</v>
      </c>
      <c r="D344" s="45" t="s">
        <v>863</v>
      </c>
      <c r="E344" s="45" t="s">
        <v>863</v>
      </c>
      <c r="F344" s="45">
        <v>0</v>
      </c>
      <c r="G344" s="45" t="s">
        <v>544</v>
      </c>
      <c r="H344" s="45">
        <v>65</v>
      </c>
      <c r="I344" s="45" t="s">
        <v>545</v>
      </c>
      <c r="J344" s="148">
        <v>11.69</v>
      </c>
      <c r="K344" s="144">
        <v>0.77900000000000003</v>
      </c>
      <c r="L344" s="149"/>
    </row>
    <row r="345" spans="1:12" ht="16.05" customHeight="1">
      <c r="A345" s="45" t="s">
        <v>894</v>
      </c>
      <c r="B345" s="45" t="s">
        <v>540</v>
      </c>
      <c r="C345" s="45" t="s">
        <v>540</v>
      </c>
      <c r="D345" s="45" t="s">
        <v>863</v>
      </c>
      <c r="E345" s="45" t="s">
        <v>863</v>
      </c>
      <c r="F345" s="45">
        <v>0</v>
      </c>
      <c r="G345" s="45" t="s">
        <v>544</v>
      </c>
      <c r="H345" s="45">
        <v>61</v>
      </c>
      <c r="I345" s="45" t="s">
        <v>548</v>
      </c>
      <c r="J345" s="148">
        <v>11.12</v>
      </c>
      <c r="K345" s="144">
        <v>0.74099999999999999</v>
      </c>
      <c r="L345" s="149"/>
    </row>
    <row r="346" spans="1:12" ht="16.05" customHeight="1">
      <c r="A346" s="45" t="s">
        <v>895</v>
      </c>
      <c r="B346" s="45" t="s">
        <v>540</v>
      </c>
      <c r="C346" s="45" t="s">
        <v>540</v>
      </c>
      <c r="D346" s="45" t="s">
        <v>863</v>
      </c>
      <c r="E346" s="45" t="s">
        <v>863</v>
      </c>
      <c r="F346" s="45">
        <v>0</v>
      </c>
      <c r="G346" s="45" t="s">
        <v>544</v>
      </c>
      <c r="H346" s="45">
        <v>46</v>
      </c>
      <c r="I346" s="45" t="s">
        <v>548</v>
      </c>
      <c r="J346" s="148">
        <v>11.46</v>
      </c>
      <c r="K346" s="144">
        <v>0.76400000000000001</v>
      </c>
      <c r="L346" s="149"/>
    </row>
    <row r="347" spans="1:12" ht="16.05" customHeight="1">
      <c r="A347" s="45" t="s">
        <v>896</v>
      </c>
      <c r="B347" s="45" t="s">
        <v>540</v>
      </c>
      <c r="C347" s="45" t="s">
        <v>540</v>
      </c>
      <c r="D347" s="45" t="s">
        <v>863</v>
      </c>
      <c r="E347" s="45" t="s">
        <v>863</v>
      </c>
      <c r="F347" s="45">
        <v>0</v>
      </c>
      <c r="G347" s="45" t="s">
        <v>544</v>
      </c>
      <c r="H347" s="45">
        <v>53</v>
      </c>
      <c r="I347" s="45" t="s">
        <v>545</v>
      </c>
      <c r="J347" s="148">
        <v>36.450000000000003</v>
      </c>
      <c r="K347" s="144">
        <v>2.4300000000000002</v>
      </c>
      <c r="L347" s="149"/>
    </row>
    <row r="348" spans="1:12" ht="16.05" customHeight="1">
      <c r="A348" s="45" t="s">
        <v>897</v>
      </c>
      <c r="B348" s="45" t="s">
        <v>540</v>
      </c>
      <c r="C348" s="45" t="s">
        <v>540</v>
      </c>
      <c r="D348" s="45" t="s">
        <v>863</v>
      </c>
      <c r="E348" s="45" t="s">
        <v>863</v>
      </c>
      <c r="F348" s="45">
        <v>0</v>
      </c>
      <c r="G348" s="45" t="s">
        <v>544</v>
      </c>
      <c r="H348" s="45">
        <v>49</v>
      </c>
      <c r="I348" s="45" t="s">
        <v>545</v>
      </c>
      <c r="J348" s="148">
        <v>26.55</v>
      </c>
      <c r="K348" s="144">
        <v>1.77</v>
      </c>
      <c r="L348" s="149"/>
    </row>
    <row r="349" spans="1:12" ht="16.05" customHeight="1">
      <c r="A349" s="45" t="s">
        <v>898</v>
      </c>
      <c r="B349" s="45" t="s">
        <v>540</v>
      </c>
      <c r="C349" s="45" t="s">
        <v>540</v>
      </c>
      <c r="D349" s="45" t="s">
        <v>863</v>
      </c>
      <c r="E349" s="45" t="s">
        <v>863</v>
      </c>
      <c r="F349" s="45">
        <v>0</v>
      </c>
      <c r="G349" s="45" t="s">
        <v>544</v>
      </c>
      <c r="H349" s="45">
        <v>63</v>
      </c>
      <c r="I349" s="45" t="s">
        <v>545</v>
      </c>
      <c r="J349" s="148">
        <v>19.2</v>
      </c>
      <c r="K349" s="144">
        <v>1.28</v>
      </c>
      <c r="L349" s="149"/>
    </row>
    <row r="350" spans="1:12" ht="16.05" customHeight="1">
      <c r="A350" s="45" t="s">
        <v>899</v>
      </c>
      <c r="B350" s="45" t="s">
        <v>540</v>
      </c>
      <c r="C350" s="45" t="s">
        <v>540</v>
      </c>
      <c r="D350" s="45" t="s">
        <v>863</v>
      </c>
      <c r="E350" s="45" t="s">
        <v>863</v>
      </c>
      <c r="F350" s="45">
        <v>0</v>
      </c>
      <c r="G350" s="45" t="s">
        <v>544</v>
      </c>
      <c r="H350" s="45">
        <v>62</v>
      </c>
      <c r="I350" s="45" t="s">
        <v>548</v>
      </c>
      <c r="J350" s="148">
        <v>28.65</v>
      </c>
      <c r="K350" s="144">
        <v>1.91</v>
      </c>
      <c r="L350" s="149"/>
    </row>
    <row r="351" spans="1:12" ht="16.05" customHeight="1">
      <c r="A351" s="45" t="s">
        <v>900</v>
      </c>
      <c r="B351" s="45" t="s">
        <v>540</v>
      </c>
      <c r="C351" s="45" t="s">
        <v>540</v>
      </c>
      <c r="D351" s="45" t="s">
        <v>863</v>
      </c>
      <c r="E351" s="45" t="s">
        <v>863</v>
      </c>
      <c r="F351" s="45">
        <v>0</v>
      </c>
      <c r="G351" s="45" t="s">
        <v>544</v>
      </c>
      <c r="H351" s="45">
        <v>65</v>
      </c>
      <c r="I351" s="45" t="s">
        <v>548</v>
      </c>
      <c r="J351" s="148">
        <v>40</v>
      </c>
      <c r="K351" s="144">
        <v>3.35</v>
      </c>
      <c r="L351" s="149"/>
    </row>
    <row r="352" spans="1:12" ht="16.05" customHeight="1">
      <c r="A352" s="45" t="s">
        <v>901</v>
      </c>
      <c r="B352" s="45" t="s">
        <v>540</v>
      </c>
      <c r="C352" s="45" t="s">
        <v>540</v>
      </c>
      <c r="D352" s="45" t="s">
        <v>863</v>
      </c>
      <c r="E352" s="45" t="s">
        <v>863</v>
      </c>
      <c r="F352" s="45">
        <v>0</v>
      </c>
      <c r="G352" s="45" t="s">
        <v>544</v>
      </c>
      <c r="H352" s="45">
        <v>54</v>
      </c>
      <c r="I352" s="45" t="s">
        <v>548</v>
      </c>
      <c r="J352" s="148">
        <v>20.100000000000001</v>
      </c>
      <c r="K352" s="144">
        <v>1.34</v>
      </c>
      <c r="L352" s="149"/>
    </row>
    <row r="353" spans="1:12" ht="16.05" customHeight="1">
      <c r="A353" s="45" t="s">
        <v>902</v>
      </c>
      <c r="B353" s="45" t="s">
        <v>540</v>
      </c>
      <c r="C353" s="45" t="s">
        <v>540</v>
      </c>
      <c r="D353" s="45" t="s">
        <v>863</v>
      </c>
      <c r="E353" s="45" t="s">
        <v>863</v>
      </c>
      <c r="F353" s="45">
        <v>0</v>
      </c>
      <c r="G353" s="45" t="s">
        <v>544</v>
      </c>
      <c r="H353" s="45">
        <v>62</v>
      </c>
      <c r="I353" s="45" t="s">
        <v>545</v>
      </c>
      <c r="J353" s="148">
        <v>28.35</v>
      </c>
      <c r="K353" s="144">
        <v>1.89</v>
      </c>
      <c r="L353" s="149"/>
    </row>
    <row r="354" spans="1:12" ht="16.05" customHeight="1">
      <c r="A354" s="45" t="s">
        <v>903</v>
      </c>
      <c r="B354" s="45" t="s">
        <v>540</v>
      </c>
      <c r="C354" s="45" t="s">
        <v>540</v>
      </c>
      <c r="D354" s="45" t="s">
        <v>863</v>
      </c>
      <c r="E354" s="45" t="s">
        <v>863</v>
      </c>
      <c r="F354" s="45">
        <v>0</v>
      </c>
      <c r="G354" s="45" t="s">
        <v>544</v>
      </c>
      <c r="H354" s="45">
        <v>49</v>
      </c>
      <c r="I354" s="45" t="s">
        <v>545</v>
      </c>
      <c r="J354" s="148">
        <v>27.3</v>
      </c>
      <c r="K354" s="144">
        <v>1.82</v>
      </c>
      <c r="L354" s="149"/>
    </row>
    <row r="355" spans="1:12" ht="16.05" customHeight="1">
      <c r="A355" s="45" t="s">
        <v>904</v>
      </c>
      <c r="B355" s="45" t="s">
        <v>540</v>
      </c>
      <c r="C355" s="45" t="s">
        <v>540</v>
      </c>
      <c r="D355" s="45" t="s">
        <v>863</v>
      </c>
      <c r="E355" s="45" t="s">
        <v>863</v>
      </c>
      <c r="F355" s="45">
        <v>0</v>
      </c>
      <c r="G355" s="45" t="s">
        <v>544</v>
      </c>
      <c r="H355" s="45">
        <v>64</v>
      </c>
      <c r="I355" s="45" t="s">
        <v>545</v>
      </c>
      <c r="J355" s="148">
        <v>23.7</v>
      </c>
      <c r="K355" s="144">
        <v>1.58</v>
      </c>
      <c r="L355" s="149"/>
    </row>
    <row r="356" spans="1:12" ht="16.05" customHeight="1">
      <c r="A356" s="45" t="s">
        <v>905</v>
      </c>
      <c r="B356" s="45" t="s">
        <v>540</v>
      </c>
      <c r="C356" s="45" t="s">
        <v>540</v>
      </c>
      <c r="D356" s="45" t="s">
        <v>863</v>
      </c>
      <c r="E356" s="45" t="s">
        <v>863</v>
      </c>
      <c r="F356" s="45">
        <v>0</v>
      </c>
      <c r="G356" s="45" t="s">
        <v>544</v>
      </c>
      <c r="H356" s="45">
        <v>63</v>
      </c>
      <c r="I356" s="45" t="s">
        <v>545</v>
      </c>
      <c r="J356" s="148">
        <v>29.4</v>
      </c>
      <c r="K356" s="144">
        <v>1.96</v>
      </c>
      <c r="L356" s="149"/>
    </row>
    <row r="357" spans="1:12" ht="16.05" customHeight="1">
      <c r="A357" s="45" t="s">
        <v>906</v>
      </c>
      <c r="B357" s="45" t="s">
        <v>540</v>
      </c>
      <c r="C357" s="45" t="s">
        <v>540</v>
      </c>
      <c r="D357" s="45" t="s">
        <v>863</v>
      </c>
      <c r="E357" s="45" t="s">
        <v>863</v>
      </c>
      <c r="F357" s="45">
        <v>0</v>
      </c>
      <c r="G357" s="45" t="s">
        <v>544</v>
      </c>
      <c r="H357" s="45">
        <v>60</v>
      </c>
      <c r="I357" s="45" t="s">
        <v>548</v>
      </c>
      <c r="J357" s="148">
        <v>23.7</v>
      </c>
      <c r="K357" s="144">
        <v>1.58</v>
      </c>
      <c r="L357" s="149"/>
    </row>
    <row r="358" spans="1:12" ht="16.05" customHeight="1">
      <c r="A358" s="45" t="s">
        <v>907</v>
      </c>
      <c r="B358" s="45" t="s">
        <v>540</v>
      </c>
      <c r="C358" s="45" t="s">
        <v>540</v>
      </c>
      <c r="D358" s="45" t="s">
        <v>863</v>
      </c>
      <c r="E358" s="45" t="s">
        <v>863</v>
      </c>
      <c r="F358" s="45">
        <v>0</v>
      </c>
      <c r="G358" s="45" t="s">
        <v>544</v>
      </c>
      <c r="H358" s="45">
        <v>57</v>
      </c>
      <c r="I358" s="45" t="s">
        <v>548</v>
      </c>
      <c r="J358" s="148">
        <v>35.4</v>
      </c>
      <c r="K358" s="144">
        <v>2.36</v>
      </c>
      <c r="L358" s="149"/>
    </row>
    <row r="359" spans="1:12" ht="16.05" customHeight="1">
      <c r="A359" s="45" t="s">
        <v>908</v>
      </c>
      <c r="B359" s="45" t="s">
        <v>540</v>
      </c>
      <c r="C359" s="45" t="s">
        <v>540</v>
      </c>
      <c r="D359" s="45" t="s">
        <v>863</v>
      </c>
      <c r="E359" s="45" t="s">
        <v>863</v>
      </c>
      <c r="F359" s="45">
        <v>0</v>
      </c>
      <c r="G359" s="45" t="s">
        <v>544</v>
      </c>
      <c r="H359" s="45">
        <v>59</v>
      </c>
      <c r="I359" s="45" t="s">
        <v>548</v>
      </c>
      <c r="J359" s="148">
        <v>40</v>
      </c>
      <c r="K359" s="144">
        <v>5.97</v>
      </c>
      <c r="L359" s="149"/>
    </row>
    <row r="360" spans="1:12" ht="16.05" customHeight="1">
      <c r="A360" s="45" t="s">
        <v>909</v>
      </c>
      <c r="B360" s="45" t="s">
        <v>540</v>
      </c>
      <c r="C360" s="45" t="s">
        <v>540</v>
      </c>
      <c r="D360" s="45" t="s">
        <v>863</v>
      </c>
      <c r="E360" s="45" t="s">
        <v>863</v>
      </c>
      <c r="F360" s="45">
        <v>0</v>
      </c>
      <c r="G360" s="45" t="s">
        <v>544</v>
      </c>
      <c r="H360" s="45">
        <v>59</v>
      </c>
      <c r="I360" s="45" t="s">
        <v>545</v>
      </c>
      <c r="J360" s="148">
        <v>40</v>
      </c>
      <c r="K360" s="144">
        <v>3.59</v>
      </c>
      <c r="L360" s="149"/>
    </row>
    <row r="361" spans="1:12" ht="16.05" customHeight="1">
      <c r="A361" s="45" t="s">
        <v>910</v>
      </c>
      <c r="B361" s="45" t="s">
        <v>540</v>
      </c>
      <c r="C361" s="45" t="s">
        <v>540</v>
      </c>
      <c r="D361" s="45" t="s">
        <v>863</v>
      </c>
      <c r="E361" s="45" t="s">
        <v>863</v>
      </c>
      <c r="F361" s="45">
        <v>0</v>
      </c>
      <c r="G361" s="45" t="s">
        <v>544</v>
      </c>
      <c r="H361" s="45">
        <v>59</v>
      </c>
      <c r="I361" s="45" t="s">
        <v>548</v>
      </c>
      <c r="J361" s="148">
        <v>23.55</v>
      </c>
      <c r="K361" s="144">
        <v>1.57</v>
      </c>
      <c r="L361" s="149"/>
    </row>
    <row r="362" spans="1:12" ht="16.05" customHeight="1">
      <c r="A362" s="45" t="s">
        <v>911</v>
      </c>
      <c r="B362" s="45" t="s">
        <v>540</v>
      </c>
      <c r="C362" s="45" t="s">
        <v>540</v>
      </c>
      <c r="D362" s="45" t="s">
        <v>863</v>
      </c>
      <c r="E362" s="45" t="s">
        <v>863</v>
      </c>
      <c r="F362" s="45">
        <v>0</v>
      </c>
      <c r="G362" s="45" t="s">
        <v>544</v>
      </c>
      <c r="H362" s="45">
        <v>56</v>
      </c>
      <c r="I362" s="45" t="s">
        <v>548</v>
      </c>
      <c r="J362" s="148">
        <v>34.049999999999997</v>
      </c>
      <c r="K362" s="144">
        <v>2.27</v>
      </c>
      <c r="L362" s="149"/>
    </row>
    <row r="363" spans="1:12" ht="16.05" customHeight="1">
      <c r="A363" s="45" t="s">
        <v>912</v>
      </c>
      <c r="B363" s="45" t="s">
        <v>540</v>
      </c>
      <c r="C363" s="45" t="s">
        <v>540</v>
      </c>
      <c r="D363" s="45" t="s">
        <v>863</v>
      </c>
      <c r="E363" s="45" t="s">
        <v>863</v>
      </c>
      <c r="F363" s="45">
        <v>0</v>
      </c>
      <c r="G363" s="45" t="s">
        <v>544</v>
      </c>
      <c r="H363" s="45">
        <v>51</v>
      </c>
      <c r="I363" s="45" t="s">
        <v>545</v>
      </c>
      <c r="J363" s="148">
        <v>23.7</v>
      </c>
      <c r="K363" s="144">
        <v>1.58</v>
      </c>
      <c r="L363" s="149"/>
    </row>
    <row r="364" spans="1:12" ht="16.05" customHeight="1">
      <c r="A364" s="45" t="s">
        <v>913</v>
      </c>
      <c r="B364" s="45" t="s">
        <v>540</v>
      </c>
      <c r="C364" s="45" t="s">
        <v>540</v>
      </c>
      <c r="D364" s="45" t="s">
        <v>863</v>
      </c>
      <c r="E364" s="45" t="s">
        <v>863</v>
      </c>
      <c r="F364" s="45">
        <v>0</v>
      </c>
      <c r="G364" s="45" t="s">
        <v>544</v>
      </c>
      <c r="H364" s="45">
        <v>48</v>
      </c>
      <c r="I364" s="45" t="s">
        <v>545</v>
      </c>
      <c r="J364" s="148">
        <v>12.95</v>
      </c>
      <c r="K364" s="144">
        <v>0.86299999999999999</v>
      </c>
      <c r="L364" s="149"/>
    </row>
    <row r="365" spans="1:12" ht="16.05" customHeight="1">
      <c r="A365" s="45" t="s">
        <v>914</v>
      </c>
      <c r="B365" s="45" t="s">
        <v>540</v>
      </c>
      <c r="C365" s="45" t="s">
        <v>540</v>
      </c>
      <c r="D365" s="45" t="s">
        <v>863</v>
      </c>
      <c r="E365" s="45" t="s">
        <v>863</v>
      </c>
      <c r="F365" s="45">
        <v>0</v>
      </c>
      <c r="G365" s="45" t="s">
        <v>544</v>
      </c>
      <c r="H365" s="45">
        <v>62</v>
      </c>
      <c r="I365" s="45" t="s">
        <v>545</v>
      </c>
      <c r="J365" s="148">
        <v>38.4</v>
      </c>
      <c r="K365" s="144">
        <v>2.56</v>
      </c>
      <c r="L365" s="149"/>
    </row>
    <row r="366" spans="1:12" ht="16.05" customHeight="1">
      <c r="A366" s="45" t="s">
        <v>915</v>
      </c>
      <c r="B366" s="45" t="s">
        <v>540</v>
      </c>
      <c r="C366" s="45" t="s">
        <v>540</v>
      </c>
      <c r="D366" s="45" t="s">
        <v>863</v>
      </c>
      <c r="E366" s="45" t="s">
        <v>863</v>
      </c>
      <c r="F366" s="45">
        <v>0</v>
      </c>
      <c r="G366" s="45" t="s">
        <v>544</v>
      </c>
      <c r="H366" s="45">
        <v>47</v>
      </c>
      <c r="I366" s="45" t="s">
        <v>545</v>
      </c>
      <c r="J366" s="148">
        <v>24.6</v>
      </c>
      <c r="K366" s="144">
        <v>1.64</v>
      </c>
      <c r="L366" s="149"/>
    </row>
    <row r="367" spans="1:12" ht="16.05" customHeight="1">
      <c r="A367" s="45" t="s">
        <v>916</v>
      </c>
      <c r="B367" s="45" t="s">
        <v>540</v>
      </c>
      <c r="C367" s="45" t="s">
        <v>540</v>
      </c>
      <c r="D367" s="45" t="s">
        <v>863</v>
      </c>
      <c r="E367" s="45" t="s">
        <v>863</v>
      </c>
      <c r="F367" s="45">
        <v>0</v>
      </c>
      <c r="G367" s="45" t="s">
        <v>544</v>
      </c>
      <c r="H367" s="45">
        <v>59</v>
      </c>
      <c r="I367" s="45" t="s">
        <v>548</v>
      </c>
      <c r="J367" s="148">
        <v>23.1</v>
      </c>
      <c r="K367" s="144">
        <v>1.54</v>
      </c>
      <c r="L367" s="149"/>
    </row>
    <row r="368" spans="1:12" ht="16.05" customHeight="1">
      <c r="A368" s="45" t="s">
        <v>917</v>
      </c>
      <c r="B368" s="45" t="s">
        <v>540</v>
      </c>
      <c r="C368" s="45" t="s">
        <v>540</v>
      </c>
      <c r="D368" s="45" t="s">
        <v>863</v>
      </c>
      <c r="E368" s="45" t="s">
        <v>863</v>
      </c>
      <c r="F368" s="45">
        <v>0</v>
      </c>
      <c r="G368" s="45" t="s">
        <v>544</v>
      </c>
      <c r="H368" s="45">
        <v>62</v>
      </c>
      <c r="I368" s="45" t="s">
        <v>545</v>
      </c>
      <c r="J368" s="148">
        <v>22.35</v>
      </c>
      <c r="K368" s="144">
        <v>1.49</v>
      </c>
      <c r="L368" s="149"/>
    </row>
    <row r="369" spans="1:12" ht="16.05" customHeight="1">
      <c r="A369" s="45" t="s">
        <v>918</v>
      </c>
      <c r="B369" s="45" t="s">
        <v>540</v>
      </c>
      <c r="C369" s="45" t="s">
        <v>540</v>
      </c>
      <c r="D369" s="45" t="s">
        <v>863</v>
      </c>
      <c r="E369" s="45" t="s">
        <v>863</v>
      </c>
      <c r="F369" s="45">
        <v>0</v>
      </c>
      <c r="G369" s="45" t="s">
        <v>544</v>
      </c>
      <c r="H369" s="45">
        <v>59</v>
      </c>
      <c r="I369" s="45" t="s">
        <v>548</v>
      </c>
      <c r="J369" s="148">
        <v>18.149999999999999</v>
      </c>
      <c r="K369" s="144">
        <v>1.21</v>
      </c>
      <c r="L369" s="149"/>
    </row>
    <row r="370" spans="1:12" ht="16.05" customHeight="1">
      <c r="A370" s="45" t="s">
        <v>919</v>
      </c>
      <c r="B370" s="45" t="s">
        <v>540</v>
      </c>
      <c r="C370" s="45" t="s">
        <v>540</v>
      </c>
      <c r="D370" s="45" t="s">
        <v>863</v>
      </c>
      <c r="E370" s="45" t="s">
        <v>863</v>
      </c>
      <c r="F370" s="45">
        <v>0</v>
      </c>
      <c r="G370" s="45" t="s">
        <v>544</v>
      </c>
      <c r="H370" s="45">
        <v>62</v>
      </c>
      <c r="I370" s="45" t="s">
        <v>548</v>
      </c>
      <c r="J370" s="148">
        <v>29.7</v>
      </c>
      <c r="K370" s="144">
        <v>1.98</v>
      </c>
      <c r="L370" s="149"/>
    </row>
    <row r="371" spans="1:12" ht="16.05" customHeight="1">
      <c r="A371" s="45" t="s">
        <v>920</v>
      </c>
      <c r="B371" s="45" t="s">
        <v>540</v>
      </c>
      <c r="C371" s="45" t="s">
        <v>540</v>
      </c>
      <c r="D371" s="45" t="s">
        <v>863</v>
      </c>
      <c r="E371" s="45" t="s">
        <v>863</v>
      </c>
      <c r="F371" s="45">
        <v>0</v>
      </c>
      <c r="G371" s="45" t="s">
        <v>544</v>
      </c>
      <c r="H371" s="45">
        <v>62</v>
      </c>
      <c r="I371" s="45" t="s">
        <v>545</v>
      </c>
      <c r="J371" s="148">
        <v>10.25</v>
      </c>
      <c r="K371" s="144">
        <v>0.68300000000000005</v>
      </c>
      <c r="L371" s="149"/>
    </row>
    <row r="372" spans="1:12" ht="16.05" customHeight="1">
      <c r="A372" s="45" t="s">
        <v>921</v>
      </c>
      <c r="B372" s="45" t="s">
        <v>540</v>
      </c>
      <c r="C372" s="45" t="s">
        <v>540</v>
      </c>
      <c r="D372" s="45" t="s">
        <v>863</v>
      </c>
      <c r="E372" s="45" t="s">
        <v>863</v>
      </c>
      <c r="F372" s="45">
        <v>0</v>
      </c>
      <c r="G372" s="45" t="s">
        <v>544</v>
      </c>
      <c r="H372" s="45">
        <v>63</v>
      </c>
      <c r="I372" s="45" t="s">
        <v>548</v>
      </c>
      <c r="J372" s="148">
        <v>11.52</v>
      </c>
      <c r="K372" s="144">
        <v>0.76800000000000002</v>
      </c>
      <c r="L372" s="149"/>
    </row>
    <row r="373" spans="1:12" ht="16.05" customHeight="1">
      <c r="A373" s="45" t="s">
        <v>922</v>
      </c>
      <c r="B373" s="45" t="s">
        <v>540</v>
      </c>
      <c r="C373" s="45" t="s">
        <v>540</v>
      </c>
      <c r="D373" s="45" t="s">
        <v>863</v>
      </c>
      <c r="E373" s="45" t="s">
        <v>863</v>
      </c>
      <c r="F373" s="45">
        <v>0</v>
      </c>
      <c r="G373" s="45" t="s">
        <v>544</v>
      </c>
      <c r="H373" s="45">
        <v>47</v>
      </c>
      <c r="I373" s="45" t="s">
        <v>548</v>
      </c>
      <c r="J373" s="148">
        <v>14.16</v>
      </c>
      <c r="K373" s="144">
        <v>0.94399999999999995</v>
      </c>
      <c r="L373" s="149"/>
    </row>
    <row r="374" spans="1:12" ht="16.05" customHeight="1">
      <c r="A374" s="45" t="s">
        <v>923</v>
      </c>
      <c r="B374" s="45" t="s">
        <v>540</v>
      </c>
      <c r="C374" s="45" t="s">
        <v>540</v>
      </c>
      <c r="D374" s="45" t="s">
        <v>863</v>
      </c>
      <c r="E374" s="45" t="s">
        <v>863</v>
      </c>
      <c r="F374" s="45">
        <v>0</v>
      </c>
      <c r="G374" s="45" t="s">
        <v>544</v>
      </c>
      <c r="H374" s="45">
        <v>59</v>
      </c>
      <c r="I374" s="45" t="s">
        <v>548</v>
      </c>
      <c r="J374" s="148">
        <v>11.31</v>
      </c>
      <c r="K374" s="144">
        <v>0.754</v>
      </c>
      <c r="L374" s="149"/>
    </row>
    <row r="375" spans="1:12" ht="16.05" customHeight="1">
      <c r="A375" s="45" t="s">
        <v>924</v>
      </c>
      <c r="B375" s="45" t="s">
        <v>540</v>
      </c>
      <c r="C375" s="45" t="s">
        <v>540</v>
      </c>
      <c r="D375" s="45" t="s">
        <v>863</v>
      </c>
      <c r="E375" s="45" t="s">
        <v>863</v>
      </c>
      <c r="F375" s="45">
        <v>0</v>
      </c>
      <c r="G375" s="45" t="s">
        <v>544</v>
      </c>
      <c r="H375" s="45">
        <v>41</v>
      </c>
      <c r="I375" s="45" t="s">
        <v>548</v>
      </c>
      <c r="J375" s="148">
        <v>18.899999999999999</v>
      </c>
      <c r="K375" s="144">
        <v>1.26</v>
      </c>
      <c r="L375" s="149"/>
    </row>
    <row r="376" spans="1:12" ht="16.05" customHeight="1">
      <c r="A376" s="45" t="s">
        <v>925</v>
      </c>
      <c r="B376" s="45" t="s">
        <v>540</v>
      </c>
      <c r="C376" s="45" t="s">
        <v>540</v>
      </c>
      <c r="D376" s="45" t="s">
        <v>863</v>
      </c>
      <c r="E376" s="45" t="s">
        <v>863</v>
      </c>
      <c r="F376" s="45">
        <v>0</v>
      </c>
      <c r="G376" s="45" t="s">
        <v>544</v>
      </c>
      <c r="H376" s="45">
        <v>56</v>
      </c>
      <c r="I376" s="45" t="s">
        <v>548</v>
      </c>
      <c r="J376" s="148">
        <v>22.2</v>
      </c>
      <c r="K376" s="144">
        <v>1.48</v>
      </c>
      <c r="L376" s="149"/>
    </row>
    <row r="377" spans="1:12" ht="16.05" customHeight="1">
      <c r="A377" s="45" t="s">
        <v>926</v>
      </c>
      <c r="B377" s="45" t="s">
        <v>540</v>
      </c>
      <c r="C377" s="45" t="s">
        <v>540</v>
      </c>
      <c r="D377" s="45" t="s">
        <v>863</v>
      </c>
      <c r="E377" s="45" t="s">
        <v>863</v>
      </c>
      <c r="F377" s="45">
        <v>0</v>
      </c>
      <c r="G377" s="45" t="s">
        <v>544</v>
      </c>
      <c r="H377" s="45">
        <v>52</v>
      </c>
      <c r="I377" s="45" t="s">
        <v>548</v>
      </c>
      <c r="J377" s="148">
        <v>14.28</v>
      </c>
      <c r="K377" s="144">
        <v>0.95199999999999996</v>
      </c>
      <c r="L377" s="149"/>
    </row>
    <row r="378" spans="1:12" ht="16.05" customHeight="1">
      <c r="A378" s="45" t="s">
        <v>927</v>
      </c>
      <c r="B378" s="45" t="s">
        <v>540</v>
      </c>
      <c r="C378" s="45" t="s">
        <v>540</v>
      </c>
      <c r="D378" s="45" t="s">
        <v>863</v>
      </c>
      <c r="E378" s="45" t="s">
        <v>863</v>
      </c>
      <c r="F378" s="45">
        <v>0</v>
      </c>
      <c r="G378" s="45" t="s">
        <v>544</v>
      </c>
      <c r="H378" s="45">
        <v>41</v>
      </c>
      <c r="I378" s="45" t="s">
        <v>548</v>
      </c>
      <c r="J378" s="148">
        <v>14.13</v>
      </c>
      <c r="K378" s="144">
        <v>0.94199999999999995</v>
      </c>
      <c r="L378" s="149"/>
    </row>
    <row r="379" spans="1:12" ht="16.05" customHeight="1">
      <c r="A379" s="45" t="s">
        <v>928</v>
      </c>
      <c r="B379" s="45" t="s">
        <v>540</v>
      </c>
      <c r="C379" s="45" t="s">
        <v>540</v>
      </c>
      <c r="D379" s="45" t="s">
        <v>863</v>
      </c>
      <c r="E379" s="45" t="s">
        <v>863</v>
      </c>
      <c r="F379" s="45">
        <v>0</v>
      </c>
      <c r="G379" s="45" t="s">
        <v>544</v>
      </c>
      <c r="H379" s="45">
        <v>41</v>
      </c>
      <c r="I379" s="45" t="s">
        <v>548</v>
      </c>
      <c r="J379" s="148">
        <v>13.11</v>
      </c>
      <c r="K379" s="144">
        <v>0.874</v>
      </c>
      <c r="L379" s="149"/>
    </row>
    <row r="380" spans="1:12" ht="16.05" customHeight="1">
      <c r="A380" s="45" t="s">
        <v>929</v>
      </c>
      <c r="B380" s="45" t="s">
        <v>541</v>
      </c>
      <c r="C380" s="45" t="s">
        <v>540</v>
      </c>
      <c r="D380" s="45" t="s">
        <v>863</v>
      </c>
      <c r="E380" s="45" t="s">
        <v>863</v>
      </c>
      <c r="F380" s="45">
        <v>0</v>
      </c>
      <c r="G380" s="45" t="s">
        <v>544</v>
      </c>
      <c r="H380" s="45">
        <v>57</v>
      </c>
      <c r="I380" s="45" t="s">
        <v>548</v>
      </c>
      <c r="J380" s="148">
        <v>19.5</v>
      </c>
      <c r="K380" s="144">
        <v>1.3</v>
      </c>
      <c r="L380" s="149"/>
    </row>
    <row r="381" spans="1:12" ht="16.05" customHeight="1">
      <c r="A381" s="45" t="s">
        <v>930</v>
      </c>
      <c r="B381" s="45" t="s">
        <v>540</v>
      </c>
      <c r="C381" s="45" t="s">
        <v>540</v>
      </c>
      <c r="D381" s="45" t="s">
        <v>863</v>
      </c>
      <c r="E381" s="45" t="s">
        <v>863</v>
      </c>
      <c r="F381" s="45">
        <v>0</v>
      </c>
      <c r="G381" s="45" t="s">
        <v>544</v>
      </c>
      <c r="H381" s="45">
        <v>57</v>
      </c>
      <c r="I381" s="45" t="s">
        <v>545</v>
      </c>
      <c r="J381" s="148">
        <v>27.45</v>
      </c>
      <c r="K381" s="144">
        <v>1.83</v>
      </c>
      <c r="L381" s="149"/>
    </row>
    <row r="382" spans="1:12" ht="16.05" customHeight="1">
      <c r="A382" s="45" t="s">
        <v>931</v>
      </c>
      <c r="B382" s="45" t="s">
        <v>540</v>
      </c>
      <c r="C382" s="45" t="s">
        <v>540</v>
      </c>
      <c r="D382" s="45" t="s">
        <v>863</v>
      </c>
      <c r="E382" s="45" t="s">
        <v>863</v>
      </c>
      <c r="F382" s="45">
        <v>0</v>
      </c>
      <c r="G382" s="45" t="s">
        <v>544</v>
      </c>
      <c r="H382" s="45">
        <v>62</v>
      </c>
      <c r="I382" s="45" t="s">
        <v>548</v>
      </c>
      <c r="J382" s="148">
        <v>29.25</v>
      </c>
      <c r="K382" s="144">
        <v>1.95</v>
      </c>
      <c r="L382" s="149"/>
    </row>
    <row r="383" spans="1:12" ht="16.05" customHeight="1">
      <c r="A383" s="45" t="s">
        <v>932</v>
      </c>
      <c r="B383" s="45" t="s">
        <v>540</v>
      </c>
      <c r="C383" s="45" t="s">
        <v>540</v>
      </c>
      <c r="D383" s="45" t="s">
        <v>863</v>
      </c>
      <c r="E383" s="45" t="s">
        <v>863</v>
      </c>
      <c r="F383" s="45">
        <v>0</v>
      </c>
      <c r="G383" s="45" t="s">
        <v>544</v>
      </c>
      <c r="H383" s="45">
        <v>41</v>
      </c>
      <c r="I383" s="45" t="s">
        <v>545</v>
      </c>
      <c r="J383" s="148">
        <v>17.25</v>
      </c>
      <c r="K383" s="144">
        <v>1.1499999999999999</v>
      </c>
      <c r="L383" s="149"/>
    </row>
    <row r="384" spans="1:12" ht="16.05" customHeight="1">
      <c r="A384" s="45" t="s">
        <v>933</v>
      </c>
      <c r="B384" s="45" t="s">
        <v>540</v>
      </c>
      <c r="C384" s="45" t="s">
        <v>540</v>
      </c>
      <c r="D384" s="45" t="s">
        <v>863</v>
      </c>
      <c r="E384" s="45" t="s">
        <v>863</v>
      </c>
      <c r="F384" s="45">
        <v>0</v>
      </c>
      <c r="G384" s="45" t="s">
        <v>544</v>
      </c>
      <c r="H384" s="45">
        <v>54</v>
      </c>
      <c r="I384" s="45" t="s">
        <v>545</v>
      </c>
      <c r="J384" s="148">
        <v>10.41</v>
      </c>
      <c r="K384" s="144">
        <v>0.69399999999999995</v>
      </c>
      <c r="L384" s="149"/>
    </row>
    <row r="385" spans="1:12" ht="16.05" customHeight="1">
      <c r="A385" s="45" t="s">
        <v>934</v>
      </c>
      <c r="B385" s="45" t="s">
        <v>540</v>
      </c>
      <c r="C385" s="45" t="s">
        <v>540</v>
      </c>
      <c r="D385" s="45" t="s">
        <v>863</v>
      </c>
      <c r="E385" s="45" t="s">
        <v>863</v>
      </c>
      <c r="F385" s="45">
        <v>0</v>
      </c>
      <c r="G385" s="45" t="s">
        <v>544</v>
      </c>
      <c r="H385" s="45">
        <v>53</v>
      </c>
      <c r="I385" s="45" t="s">
        <v>545</v>
      </c>
      <c r="J385" s="148">
        <v>23.25</v>
      </c>
      <c r="K385" s="144">
        <v>1.55</v>
      </c>
      <c r="L385" s="149"/>
    </row>
    <row r="386" spans="1:12" ht="16.05" customHeight="1">
      <c r="A386" s="45" t="s">
        <v>935</v>
      </c>
      <c r="B386" s="45" t="s">
        <v>540</v>
      </c>
      <c r="C386" s="45" t="s">
        <v>540</v>
      </c>
      <c r="D386" s="45" t="s">
        <v>863</v>
      </c>
      <c r="E386" s="45" t="s">
        <v>863</v>
      </c>
      <c r="F386" s="45">
        <v>0</v>
      </c>
      <c r="G386" s="45" t="s">
        <v>544</v>
      </c>
      <c r="H386" s="45">
        <v>42</v>
      </c>
      <c r="I386" s="45" t="s">
        <v>548</v>
      </c>
      <c r="J386" s="148">
        <v>17.7</v>
      </c>
      <c r="K386" s="144">
        <v>1.18</v>
      </c>
      <c r="L386" s="149"/>
    </row>
    <row r="387" spans="1:12" ht="16.05" customHeight="1">
      <c r="A387" s="45" t="s">
        <v>936</v>
      </c>
      <c r="B387" s="45" t="s">
        <v>540</v>
      </c>
      <c r="C387" s="45" t="s">
        <v>540</v>
      </c>
      <c r="D387" s="45" t="s">
        <v>863</v>
      </c>
      <c r="E387" s="45" t="s">
        <v>863</v>
      </c>
      <c r="F387" s="45">
        <v>0</v>
      </c>
      <c r="G387" s="45" t="s">
        <v>544</v>
      </c>
      <c r="H387" s="45">
        <v>57</v>
      </c>
      <c r="I387" s="45" t="s">
        <v>545</v>
      </c>
      <c r="J387" s="148">
        <v>20.7</v>
      </c>
      <c r="K387" s="144">
        <v>1.38</v>
      </c>
      <c r="L387" s="149"/>
    </row>
    <row r="388" spans="1:12" ht="16.05" customHeight="1">
      <c r="A388" s="45" t="s">
        <v>937</v>
      </c>
      <c r="B388" s="45" t="s">
        <v>541</v>
      </c>
      <c r="C388" s="45" t="s">
        <v>540</v>
      </c>
      <c r="D388" s="45" t="s">
        <v>863</v>
      </c>
      <c r="E388" s="45" t="s">
        <v>863</v>
      </c>
      <c r="F388" s="45">
        <v>0</v>
      </c>
      <c r="G388" s="45" t="s">
        <v>544</v>
      </c>
      <c r="H388" s="45">
        <v>59</v>
      </c>
      <c r="I388" s="45" t="s">
        <v>548</v>
      </c>
      <c r="J388" s="148">
        <v>14.49</v>
      </c>
      <c r="K388" s="144">
        <v>0.96599999999999997</v>
      </c>
      <c r="L388" s="149"/>
    </row>
    <row r="389" spans="1:12" ht="16.05" customHeight="1">
      <c r="A389" s="45" t="s">
        <v>938</v>
      </c>
      <c r="B389" s="45" t="s">
        <v>540</v>
      </c>
      <c r="C389" s="45" t="s">
        <v>540</v>
      </c>
      <c r="D389" s="45" t="s">
        <v>863</v>
      </c>
      <c r="E389" s="45" t="s">
        <v>863</v>
      </c>
      <c r="F389" s="45">
        <v>0</v>
      </c>
      <c r="G389" s="45" t="s">
        <v>544</v>
      </c>
      <c r="H389" s="45">
        <v>61</v>
      </c>
      <c r="I389" s="45" t="s">
        <v>545</v>
      </c>
      <c r="J389" s="148">
        <v>11.54</v>
      </c>
      <c r="K389" s="144">
        <v>0.76900000000000002</v>
      </c>
      <c r="L389" s="149"/>
    </row>
    <row r="390" spans="1:12" ht="16.05" customHeight="1">
      <c r="A390" s="45" t="s">
        <v>939</v>
      </c>
      <c r="B390" s="45" t="s">
        <v>540</v>
      </c>
      <c r="C390" s="45" t="s">
        <v>540</v>
      </c>
      <c r="D390" s="45" t="s">
        <v>863</v>
      </c>
      <c r="E390" s="45" t="s">
        <v>863</v>
      </c>
      <c r="F390" s="45">
        <v>0</v>
      </c>
      <c r="G390" s="45" t="s">
        <v>544</v>
      </c>
      <c r="H390" s="45">
        <v>59</v>
      </c>
      <c r="I390" s="45" t="s">
        <v>548</v>
      </c>
      <c r="J390" s="148">
        <v>28.05</v>
      </c>
      <c r="K390" s="144">
        <v>1.87</v>
      </c>
      <c r="L390" s="149"/>
    </row>
    <row r="391" spans="1:12" ht="16.05" customHeight="1">
      <c r="A391" s="45" t="s">
        <v>940</v>
      </c>
      <c r="B391" s="45" t="s">
        <v>540</v>
      </c>
      <c r="C391" s="45" t="s">
        <v>540</v>
      </c>
      <c r="D391" s="45" t="s">
        <v>863</v>
      </c>
      <c r="E391" s="45" t="s">
        <v>863</v>
      </c>
      <c r="F391" s="45">
        <v>0</v>
      </c>
      <c r="G391" s="45" t="s">
        <v>544</v>
      </c>
      <c r="H391" s="45">
        <v>80</v>
      </c>
      <c r="I391" s="45" t="s">
        <v>545</v>
      </c>
      <c r="J391" s="148">
        <v>20.25</v>
      </c>
      <c r="K391" s="144">
        <v>1.35</v>
      </c>
      <c r="L391" s="149"/>
    </row>
    <row r="392" spans="1:12" ht="16.05" customHeight="1">
      <c r="A392" s="45" t="s">
        <v>941</v>
      </c>
      <c r="B392" s="45" t="s">
        <v>540</v>
      </c>
      <c r="C392" s="45" t="s">
        <v>540</v>
      </c>
      <c r="D392" s="45" t="s">
        <v>863</v>
      </c>
      <c r="E392" s="45" t="s">
        <v>863</v>
      </c>
      <c r="F392" s="45">
        <v>0</v>
      </c>
      <c r="G392" s="45" t="s">
        <v>544</v>
      </c>
      <c r="H392" s="45">
        <v>43</v>
      </c>
      <c r="I392" s="45" t="s">
        <v>545</v>
      </c>
      <c r="J392" s="148">
        <v>11.96</v>
      </c>
      <c r="K392" s="144">
        <v>0.79700000000000004</v>
      </c>
      <c r="L392" s="149"/>
    </row>
    <row r="393" spans="1:12" ht="16.05" customHeight="1">
      <c r="A393" s="45" t="s">
        <v>942</v>
      </c>
      <c r="B393" s="45" t="s">
        <v>540</v>
      </c>
      <c r="C393" s="45" t="s">
        <v>540</v>
      </c>
      <c r="D393" s="45" t="s">
        <v>863</v>
      </c>
      <c r="E393" s="45" t="s">
        <v>863</v>
      </c>
      <c r="F393" s="45">
        <v>0</v>
      </c>
      <c r="G393" s="45" t="s">
        <v>544</v>
      </c>
      <c r="H393" s="45">
        <v>80</v>
      </c>
      <c r="I393" s="45" t="s">
        <v>545</v>
      </c>
      <c r="J393" s="148">
        <v>28.8</v>
      </c>
      <c r="K393" s="144">
        <v>1.92</v>
      </c>
      <c r="L393" s="149"/>
    </row>
    <row r="394" spans="1:12" ht="16.05" customHeight="1">
      <c r="A394" s="45" t="s">
        <v>943</v>
      </c>
      <c r="B394" s="45" t="s">
        <v>540</v>
      </c>
      <c r="C394" s="45" t="s">
        <v>540</v>
      </c>
      <c r="D394" s="45" t="s">
        <v>863</v>
      </c>
      <c r="E394" s="45" t="s">
        <v>863</v>
      </c>
      <c r="F394" s="45">
        <v>0</v>
      </c>
      <c r="G394" s="45" t="s">
        <v>544</v>
      </c>
      <c r="H394" s="45">
        <v>52</v>
      </c>
      <c r="I394" s="45" t="s">
        <v>548</v>
      </c>
      <c r="J394" s="148">
        <v>13.98</v>
      </c>
      <c r="K394" s="144">
        <v>0.93200000000000005</v>
      </c>
      <c r="L394" s="149"/>
    </row>
    <row r="395" spans="1:12" ht="16.05" customHeight="1">
      <c r="A395" s="45" t="s">
        <v>944</v>
      </c>
      <c r="B395" s="45" t="s">
        <v>540</v>
      </c>
      <c r="C395" s="45" t="s">
        <v>540</v>
      </c>
      <c r="D395" s="45" t="s">
        <v>863</v>
      </c>
      <c r="E395" s="45" t="s">
        <v>863</v>
      </c>
      <c r="F395" s="45">
        <v>0</v>
      </c>
      <c r="G395" s="45" t="s">
        <v>544</v>
      </c>
      <c r="H395" s="45">
        <v>41</v>
      </c>
      <c r="I395" s="45" t="s">
        <v>548</v>
      </c>
      <c r="J395" s="148">
        <v>12.77</v>
      </c>
      <c r="K395" s="144">
        <v>0.85099999999999998</v>
      </c>
      <c r="L395" s="149"/>
    </row>
    <row r="396" spans="1:12" ht="16.05" customHeight="1">
      <c r="A396" s="45" t="s">
        <v>945</v>
      </c>
      <c r="B396" s="45" t="s">
        <v>540</v>
      </c>
      <c r="C396" s="45" t="s">
        <v>540</v>
      </c>
      <c r="D396" s="45" t="s">
        <v>863</v>
      </c>
      <c r="E396" s="45" t="s">
        <v>863</v>
      </c>
      <c r="F396" s="45">
        <v>0</v>
      </c>
      <c r="G396" s="45" t="s">
        <v>544</v>
      </c>
      <c r="H396" s="45">
        <v>43</v>
      </c>
      <c r="I396" s="45" t="s">
        <v>548</v>
      </c>
      <c r="J396" s="148">
        <v>19.95</v>
      </c>
      <c r="K396" s="144">
        <v>1.33</v>
      </c>
      <c r="L396" s="149"/>
    </row>
    <row r="397" spans="1:12" ht="16.05" customHeight="1">
      <c r="A397" s="45" t="s">
        <v>946</v>
      </c>
      <c r="B397" s="45" t="s">
        <v>540</v>
      </c>
      <c r="C397" s="45" t="s">
        <v>540</v>
      </c>
      <c r="D397" s="45" t="s">
        <v>863</v>
      </c>
      <c r="E397" s="45" t="s">
        <v>863</v>
      </c>
      <c r="F397" s="45">
        <v>0</v>
      </c>
      <c r="G397" s="45" t="s">
        <v>544</v>
      </c>
      <c r="H397" s="45">
        <v>55</v>
      </c>
      <c r="I397" s="45" t="s">
        <v>548</v>
      </c>
      <c r="J397" s="148">
        <v>18.899999999999999</v>
      </c>
      <c r="K397" s="144">
        <v>1.26</v>
      </c>
      <c r="L397" s="149"/>
    </row>
    <row r="398" spans="1:12" ht="16.05" customHeight="1">
      <c r="A398" s="45" t="s">
        <v>947</v>
      </c>
      <c r="B398" s="45" t="s">
        <v>540</v>
      </c>
      <c r="C398" s="45" t="s">
        <v>540</v>
      </c>
      <c r="D398" s="45" t="s">
        <v>863</v>
      </c>
      <c r="E398" s="45" t="s">
        <v>863</v>
      </c>
      <c r="F398" s="45">
        <v>0</v>
      </c>
      <c r="G398" s="45" t="s">
        <v>544</v>
      </c>
      <c r="H398" s="45">
        <v>46</v>
      </c>
      <c r="I398" s="45" t="s">
        <v>548</v>
      </c>
      <c r="J398" s="148">
        <v>30</v>
      </c>
      <c r="K398" s="144">
        <v>0.53900000000000003</v>
      </c>
      <c r="L398" s="149"/>
    </row>
    <row r="399" spans="1:12" ht="16.05" customHeight="1">
      <c r="A399" s="45" t="s">
        <v>948</v>
      </c>
      <c r="B399" s="45" t="s">
        <v>540</v>
      </c>
      <c r="C399" s="45" t="s">
        <v>540</v>
      </c>
      <c r="D399" s="45" t="s">
        <v>863</v>
      </c>
      <c r="E399" s="45" t="s">
        <v>863</v>
      </c>
      <c r="F399" s="45">
        <v>0</v>
      </c>
      <c r="G399" s="45" t="s">
        <v>544</v>
      </c>
      <c r="H399" s="45">
        <v>47</v>
      </c>
      <c r="I399" s="45" t="s">
        <v>548</v>
      </c>
      <c r="J399" s="148">
        <v>30</v>
      </c>
      <c r="K399" s="144">
        <v>1.03</v>
      </c>
      <c r="L399" s="149"/>
    </row>
    <row r="400" spans="1:12" ht="16.05" customHeight="1">
      <c r="A400" s="45" t="s">
        <v>949</v>
      </c>
      <c r="B400" s="45" t="s">
        <v>540</v>
      </c>
      <c r="C400" s="45" t="s">
        <v>540</v>
      </c>
      <c r="D400" s="45" t="s">
        <v>863</v>
      </c>
      <c r="E400" s="45" t="s">
        <v>863</v>
      </c>
      <c r="F400" s="45">
        <v>0</v>
      </c>
      <c r="G400" s="45" t="s">
        <v>544</v>
      </c>
      <c r="H400" s="45">
        <v>48</v>
      </c>
      <c r="I400" s="45" t="s">
        <v>548</v>
      </c>
      <c r="J400" s="148">
        <v>30</v>
      </c>
      <c r="K400" s="144">
        <v>3.16</v>
      </c>
      <c r="L400" s="149"/>
    </row>
    <row r="401" spans="1:12" ht="16.05" customHeight="1">
      <c r="A401" s="45" t="s">
        <v>950</v>
      </c>
      <c r="B401" s="45" t="s">
        <v>540</v>
      </c>
      <c r="C401" s="45" t="s">
        <v>540</v>
      </c>
      <c r="D401" s="45" t="s">
        <v>863</v>
      </c>
      <c r="E401" s="45" t="s">
        <v>863</v>
      </c>
      <c r="F401" s="45">
        <v>0</v>
      </c>
      <c r="G401" s="45" t="s">
        <v>544</v>
      </c>
      <c r="H401" s="45">
        <v>40</v>
      </c>
      <c r="I401" s="45" t="s">
        <v>548</v>
      </c>
      <c r="J401" s="148">
        <v>30</v>
      </c>
      <c r="K401" s="144">
        <v>1.34</v>
      </c>
      <c r="L401" s="149"/>
    </row>
    <row r="402" spans="1:12" ht="16.05" customHeight="1">
      <c r="A402" s="45" t="s">
        <v>951</v>
      </c>
      <c r="B402" s="45" t="s">
        <v>540</v>
      </c>
      <c r="C402" s="45" t="s">
        <v>540</v>
      </c>
      <c r="D402" s="45" t="s">
        <v>863</v>
      </c>
      <c r="E402" s="45" t="s">
        <v>863</v>
      </c>
      <c r="F402" s="45">
        <v>0</v>
      </c>
      <c r="G402" s="45" t="s">
        <v>544</v>
      </c>
      <c r="H402" s="45">
        <v>49</v>
      </c>
      <c r="I402" s="45" t="s">
        <v>548</v>
      </c>
      <c r="J402" s="148">
        <v>13.94</v>
      </c>
      <c r="K402" s="144">
        <v>0.92900000000000005</v>
      </c>
      <c r="L402" s="149"/>
    </row>
    <row r="403" spans="1:12" ht="16.05" customHeight="1">
      <c r="A403" s="45" t="s">
        <v>952</v>
      </c>
      <c r="B403" s="45" t="s">
        <v>540</v>
      </c>
      <c r="C403" s="45" t="s">
        <v>540</v>
      </c>
      <c r="D403" s="45" t="s">
        <v>863</v>
      </c>
      <c r="E403" s="45" t="s">
        <v>863</v>
      </c>
      <c r="F403" s="45">
        <v>0</v>
      </c>
      <c r="G403" s="45" t="s">
        <v>544</v>
      </c>
      <c r="H403" s="45">
        <v>42</v>
      </c>
      <c r="I403" s="45" t="s">
        <v>548</v>
      </c>
      <c r="J403" s="148">
        <v>20</v>
      </c>
      <c r="K403" s="144">
        <v>1.31</v>
      </c>
      <c r="L403" s="149"/>
    </row>
    <row r="404" spans="1:12" ht="16.05" customHeight="1">
      <c r="A404" s="45" t="s">
        <v>953</v>
      </c>
      <c r="B404" s="45" t="s">
        <v>540</v>
      </c>
      <c r="C404" s="45" t="s">
        <v>540</v>
      </c>
      <c r="D404" s="45" t="s">
        <v>863</v>
      </c>
      <c r="E404" s="45" t="s">
        <v>863</v>
      </c>
      <c r="F404" s="45">
        <v>0</v>
      </c>
      <c r="G404" s="45" t="s">
        <v>544</v>
      </c>
      <c r="H404" s="45">
        <v>46</v>
      </c>
      <c r="I404" s="45" t="s">
        <v>548</v>
      </c>
      <c r="J404" s="148">
        <v>15</v>
      </c>
      <c r="K404" s="144">
        <v>0.98</v>
      </c>
      <c r="L404" s="149"/>
    </row>
    <row r="405" spans="1:12" ht="16.05" customHeight="1">
      <c r="A405" s="45" t="s">
        <v>954</v>
      </c>
      <c r="B405" s="45" t="s">
        <v>540</v>
      </c>
      <c r="C405" s="45" t="s">
        <v>540</v>
      </c>
      <c r="D405" s="45" t="s">
        <v>863</v>
      </c>
      <c r="E405" s="45" t="s">
        <v>863</v>
      </c>
      <c r="F405" s="45">
        <v>0</v>
      </c>
      <c r="G405" s="45" t="s">
        <v>544</v>
      </c>
      <c r="H405" s="45">
        <v>47</v>
      </c>
      <c r="I405" s="45" t="s">
        <v>548</v>
      </c>
      <c r="J405" s="148">
        <v>12</v>
      </c>
      <c r="K405" s="144">
        <v>0.78600000000000003</v>
      </c>
      <c r="L405" s="149"/>
    </row>
    <row r="406" spans="1:12" ht="16.05" customHeight="1">
      <c r="A406" s="45" t="s">
        <v>955</v>
      </c>
      <c r="B406" s="45" t="s">
        <v>540</v>
      </c>
      <c r="C406" s="45" t="s">
        <v>540</v>
      </c>
      <c r="D406" s="45" t="s">
        <v>863</v>
      </c>
      <c r="E406" s="45" t="s">
        <v>863</v>
      </c>
      <c r="F406" s="45">
        <v>0</v>
      </c>
      <c r="G406" s="45" t="s">
        <v>544</v>
      </c>
      <c r="H406" s="45">
        <v>50</v>
      </c>
      <c r="I406" s="45" t="s">
        <v>548</v>
      </c>
      <c r="J406" s="148">
        <v>14</v>
      </c>
      <c r="K406" s="144">
        <v>0.91400000000000003</v>
      </c>
      <c r="L406" s="149"/>
    </row>
    <row r="407" spans="1:12" ht="16.05" customHeight="1">
      <c r="A407" s="45" t="s">
        <v>956</v>
      </c>
      <c r="B407" s="45" t="s">
        <v>540</v>
      </c>
      <c r="C407" s="45" t="s">
        <v>540</v>
      </c>
      <c r="D407" s="45" t="s">
        <v>863</v>
      </c>
      <c r="E407" s="45" t="s">
        <v>863</v>
      </c>
      <c r="F407" s="45">
        <v>0</v>
      </c>
      <c r="G407" s="45" t="s">
        <v>544</v>
      </c>
      <c r="H407" s="45">
        <v>41</v>
      </c>
      <c r="I407" s="45" t="s">
        <v>548</v>
      </c>
      <c r="J407" s="148">
        <v>16</v>
      </c>
      <c r="K407" s="144">
        <v>1.05</v>
      </c>
      <c r="L407" s="149"/>
    </row>
    <row r="408" spans="1:12" ht="16.05" customHeight="1">
      <c r="A408" s="45" t="s">
        <v>957</v>
      </c>
      <c r="B408" s="45" t="s">
        <v>540</v>
      </c>
      <c r="C408" s="45" t="s">
        <v>540</v>
      </c>
      <c r="D408" s="45" t="s">
        <v>863</v>
      </c>
      <c r="E408" s="45" t="s">
        <v>863</v>
      </c>
      <c r="F408" s="45">
        <v>0</v>
      </c>
      <c r="G408" s="45" t="s">
        <v>544</v>
      </c>
      <c r="H408" s="45">
        <v>40</v>
      </c>
      <c r="I408" s="45" t="s">
        <v>545</v>
      </c>
      <c r="J408" s="148">
        <v>16</v>
      </c>
      <c r="K408" s="144">
        <v>1.07</v>
      </c>
      <c r="L408" s="149"/>
    </row>
    <row r="409" spans="1:12" ht="16.05" customHeight="1">
      <c r="A409" s="45" t="s">
        <v>958</v>
      </c>
      <c r="B409" s="45" t="s">
        <v>540</v>
      </c>
      <c r="C409" s="45" t="s">
        <v>540</v>
      </c>
      <c r="D409" s="45" t="s">
        <v>863</v>
      </c>
      <c r="E409" s="45" t="s">
        <v>863</v>
      </c>
      <c r="F409" s="45">
        <v>0</v>
      </c>
      <c r="G409" s="45" t="s">
        <v>544</v>
      </c>
      <c r="H409" s="45">
        <v>50</v>
      </c>
      <c r="I409" s="45" t="s">
        <v>548</v>
      </c>
      <c r="J409" s="148">
        <v>12.95</v>
      </c>
      <c r="K409" s="144">
        <v>0.86299999999999999</v>
      </c>
      <c r="L409" s="149"/>
    </row>
    <row r="410" spans="1:12" ht="16.05" customHeight="1">
      <c r="A410" s="45" t="s">
        <v>959</v>
      </c>
      <c r="B410" s="45" t="s">
        <v>540</v>
      </c>
      <c r="C410" s="45" t="s">
        <v>540</v>
      </c>
      <c r="D410" s="45" t="s">
        <v>863</v>
      </c>
      <c r="E410" s="45" t="s">
        <v>863</v>
      </c>
      <c r="F410" s="45">
        <v>0</v>
      </c>
      <c r="G410" s="45" t="s">
        <v>544</v>
      </c>
      <c r="H410" s="45">
        <v>63</v>
      </c>
      <c r="I410" s="45" t="s">
        <v>545</v>
      </c>
      <c r="J410" s="148">
        <v>11.52</v>
      </c>
      <c r="K410" s="144">
        <v>0.76800000000000002</v>
      </c>
      <c r="L410" s="149"/>
    </row>
    <row r="411" spans="1:12" ht="16.05" customHeight="1">
      <c r="A411" s="45" t="s">
        <v>960</v>
      </c>
      <c r="B411" s="45" t="s">
        <v>540</v>
      </c>
      <c r="C411" s="45" t="s">
        <v>540</v>
      </c>
      <c r="D411" s="45" t="s">
        <v>863</v>
      </c>
      <c r="E411" s="45" t="s">
        <v>863</v>
      </c>
      <c r="F411" s="45">
        <v>0</v>
      </c>
      <c r="G411" s="45" t="s">
        <v>544</v>
      </c>
      <c r="H411" s="45">
        <v>53</v>
      </c>
      <c r="I411" s="45" t="s">
        <v>545</v>
      </c>
      <c r="J411" s="148">
        <v>10</v>
      </c>
      <c r="K411" s="144">
        <v>0.66100000000000003</v>
      </c>
      <c r="L411" s="149"/>
    </row>
    <row r="412" spans="1:12" ht="16.05" customHeight="1">
      <c r="A412" s="45" t="s">
        <v>961</v>
      </c>
      <c r="B412" s="45" t="s">
        <v>540</v>
      </c>
      <c r="C412" s="45" t="s">
        <v>540</v>
      </c>
      <c r="D412" s="45" t="s">
        <v>863</v>
      </c>
      <c r="E412" s="45" t="s">
        <v>863</v>
      </c>
      <c r="F412" s="45">
        <v>0</v>
      </c>
      <c r="G412" s="45" t="s">
        <v>544</v>
      </c>
      <c r="H412" s="45">
        <v>52</v>
      </c>
      <c r="I412" s="45" t="s">
        <v>545</v>
      </c>
      <c r="J412" s="148">
        <v>14.79</v>
      </c>
      <c r="K412" s="144">
        <v>0.98599999999999999</v>
      </c>
      <c r="L412" s="149"/>
    </row>
    <row r="413" spans="1:12" ht="16.05" customHeight="1">
      <c r="A413" s="45" t="s">
        <v>962</v>
      </c>
      <c r="B413" s="45" t="s">
        <v>540</v>
      </c>
      <c r="C413" s="45" t="s">
        <v>540</v>
      </c>
      <c r="D413" s="45" t="s">
        <v>863</v>
      </c>
      <c r="E413" s="45" t="s">
        <v>863</v>
      </c>
      <c r="F413" s="45">
        <v>0</v>
      </c>
      <c r="G413" s="45" t="s">
        <v>544</v>
      </c>
      <c r="H413" s="45">
        <v>47</v>
      </c>
      <c r="I413" s="45" t="s">
        <v>545</v>
      </c>
      <c r="J413" s="148">
        <v>14.16</v>
      </c>
      <c r="K413" s="144">
        <v>0.94399999999999995</v>
      </c>
      <c r="L413" s="149"/>
    </row>
    <row r="414" spans="1:12" ht="16.05" customHeight="1">
      <c r="A414" s="45" t="s">
        <v>963</v>
      </c>
      <c r="B414" s="45" t="s">
        <v>540</v>
      </c>
      <c r="C414" s="45" t="s">
        <v>540</v>
      </c>
      <c r="D414" s="45" t="s">
        <v>863</v>
      </c>
      <c r="E414" s="45" t="s">
        <v>863</v>
      </c>
      <c r="F414" s="45">
        <v>0</v>
      </c>
      <c r="G414" s="45" t="s">
        <v>544</v>
      </c>
      <c r="H414" s="45">
        <v>44</v>
      </c>
      <c r="I414" s="45" t="s">
        <v>548</v>
      </c>
      <c r="J414" s="148">
        <v>24</v>
      </c>
      <c r="K414" s="144">
        <v>1.62</v>
      </c>
      <c r="L414" s="149"/>
    </row>
    <row r="415" spans="1:12" ht="16.05" customHeight="1">
      <c r="A415" s="45" t="s">
        <v>964</v>
      </c>
      <c r="B415" s="45" t="s">
        <v>540</v>
      </c>
      <c r="C415" s="45" t="s">
        <v>540</v>
      </c>
      <c r="D415" s="45" t="s">
        <v>863</v>
      </c>
      <c r="E415" s="45" t="s">
        <v>863</v>
      </c>
      <c r="F415" s="45">
        <v>0</v>
      </c>
      <c r="G415" s="45" t="s">
        <v>544</v>
      </c>
      <c r="H415" s="45">
        <v>77</v>
      </c>
      <c r="I415" s="45" t="s">
        <v>548</v>
      </c>
      <c r="J415" s="148">
        <v>22</v>
      </c>
      <c r="K415" s="144">
        <v>1.47</v>
      </c>
      <c r="L415" s="149"/>
    </row>
    <row r="416" spans="1:12" ht="16.05" customHeight="1">
      <c r="A416" s="45" t="s">
        <v>965</v>
      </c>
      <c r="B416" s="45" t="s">
        <v>540</v>
      </c>
      <c r="C416" s="45" t="s">
        <v>540</v>
      </c>
      <c r="D416" s="45" t="s">
        <v>863</v>
      </c>
      <c r="E416" s="45" t="s">
        <v>863</v>
      </c>
      <c r="F416" s="45">
        <v>0</v>
      </c>
      <c r="G416" s="45" t="s">
        <v>544</v>
      </c>
      <c r="H416" s="45">
        <v>44</v>
      </c>
      <c r="I416" s="45" t="s">
        <v>548</v>
      </c>
      <c r="J416" s="148">
        <v>21</v>
      </c>
      <c r="K416" s="144">
        <v>1.4</v>
      </c>
      <c r="L416" s="149"/>
    </row>
    <row r="417" spans="1:12" ht="16.05" customHeight="1">
      <c r="A417" s="45" t="s">
        <v>966</v>
      </c>
      <c r="B417" s="45" t="s">
        <v>540</v>
      </c>
      <c r="C417" s="45" t="s">
        <v>540</v>
      </c>
      <c r="D417" s="45" t="s">
        <v>863</v>
      </c>
      <c r="E417" s="45" t="s">
        <v>863</v>
      </c>
      <c r="F417" s="45">
        <v>0</v>
      </c>
      <c r="G417" s="45" t="s">
        <v>544</v>
      </c>
      <c r="H417" s="45">
        <v>59</v>
      </c>
      <c r="I417" s="45" t="s">
        <v>548</v>
      </c>
      <c r="J417" s="148">
        <v>11.31</v>
      </c>
      <c r="K417" s="144">
        <v>0.754</v>
      </c>
      <c r="L417" s="149"/>
    </row>
    <row r="418" spans="1:12" ht="16.05" customHeight="1">
      <c r="A418" s="45" t="s">
        <v>967</v>
      </c>
      <c r="B418" s="45" t="s">
        <v>540</v>
      </c>
      <c r="C418" s="45" t="s">
        <v>540</v>
      </c>
      <c r="D418" s="45" t="s">
        <v>863</v>
      </c>
      <c r="E418" s="45" t="s">
        <v>863</v>
      </c>
      <c r="F418" s="45">
        <v>0</v>
      </c>
      <c r="G418" s="45" t="s">
        <v>544</v>
      </c>
      <c r="H418" s="45">
        <v>41</v>
      </c>
      <c r="I418" s="45" t="s">
        <v>545</v>
      </c>
      <c r="J418" s="148">
        <v>18.899999999999999</v>
      </c>
      <c r="K418" s="144">
        <v>1.26</v>
      </c>
      <c r="L418" s="149"/>
    </row>
    <row r="419" spans="1:12" ht="16.05" customHeight="1">
      <c r="A419" s="45" t="s">
        <v>968</v>
      </c>
      <c r="B419" s="45" t="s">
        <v>540</v>
      </c>
      <c r="C419" s="45" t="s">
        <v>540</v>
      </c>
      <c r="D419" s="45" t="s">
        <v>863</v>
      </c>
      <c r="E419" s="45" t="s">
        <v>863</v>
      </c>
      <c r="F419" s="45">
        <v>0</v>
      </c>
      <c r="G419" s="45" t="s">
        <v>544</v>
      </c>
      <c r="H419" s="45">
        <v>56</v>
      </c>
      <c r="I419" s="45" t="s">
        <v>548</v>
      </c>
      <c r="J419" s="148">
        <v>22.2</v>
      </c>
      <c r="K419" s="144">
        <v>1.48</v>
      </c>
      <c r="L419" s="149"/>
    </row>
    <row r="420" spans="1:12" ht="16.05" customHeight="1">
      <c r="A420" s="45" t="s">
        <v>969</v>
      </c>
      <c r="B420" s="45" t="s">
        <v>541</v>
      </c>
      <c r="C420" s="45" t="s">
        <v>540</v>
      </c>
      <c r="D420" s="45" t="s">
        <v>863</v>
      </c>
      <c r="E420" s="45" t="s">
        <v>863</v>
      </c>
      <c r="F420" s="45">
        <v>0</v>
      </c>
      <c r="G420" s="45" t="s">
        <v>544</v>
      </c>
      <c r="H420" s="45">
        <v>41</v>
      </c>
      <c r="I420" s="45" t="s">
        <v>545</v>
      </c>
      <c r="J420" s="148">
        <v>23</v>
      </c>
      <c r="K420" s="144">
        <v>1.54</v>
      </c>
      <c r="L420" s="149"/>
    </row>
    <row r="421" spans="1:12" ht="16.05" customHeight="1">
      <c r="A421" s="45" t="s">
        <v>970</v>
      </c>
      <c r="B421" s="45" t="s">
        <v>540</v>
      </c>
      <c r="C421" s="45" t="s">
        <v>540</v>
      </c>
      <c r="D421" s="45" t="s">
        <v>863</v>
      </c>
      <c r="E421" s="45" t="s">
        <v>863</v>
      </c>
      <c r="F421" s="45">
        <v>0</v>
      </c>
      <c r="G421" s="45" t="s">
        <v>544</v>
      </c>
      <c r="H421" s="45">
        <v>42</v>
      </c>
      <c r="I421" s="45" t="s">
        <v>545</v>
      </c>
      <c r="J421" s="148">
        <v>19</v>
      </c>
      <c r="K421" s="144">
        <v>1.28</v>
      </c>
      <c r="L421" s="149"/>
    </row>
    <row r="422" spans="1:12" ht="16.05" customHeight="1">
      <c r="A422" s="45" t="s">
        <v>971</v>
      </c>
      <c r="B422" s="45" t="s">
        <v>540</v>
      </c>
      <c r="C422" s="45" t="s">
        <v>540</v>
      </c>
      <c r="D422" s="45" t="s">
        <v>863</v>
      </c>
      <c r="E422" s="45" t="s">
        <v>863</v>
      </c>
      <c r="F422" s="45">
        <v>0</v>
      </c>
      <c r="G422" s="45" t="s">
        <v>544</v>
      </c>
      <c r="H422" s="45">
        <v>41</v>
      </c>
      <c r="I422" s="45" t="s">
        <v>545</v>
      </c>
      <c r="J422" s="148">
        <v>14.13</v>
      </c>
      <c r="K422" s="144">
        <v>0.94199999999999995</v>
      </c>
      <c r="L422" s="149"/>
    </row>
    <row r="423" spans="1:12" ht="16.05" customHeight="1">
      <c r="A423" s="45" t="s">
        <v>972</v>
      </c>
      <c r="B423" s="45" t="s">
        <v>540</v>
      </c>
      <c r="C423" s="45" t="s">
        <v>540</v>
      </c>
      <c r="D423" s="45" t="s">
        <v>863</v>
      </c>
      <c r="E423" s="45" t="s">
        <v>863</v>
      </c>
      <c r="F423" s="45">
        <v>0</v>
      </c>
      <c r="G423" s="45" t="s">
        <v>544</v>
      </c>
      <c r="H423" s="45">
        <v>41</v>
      </c>
      <c r="I423" s="45" t="s">
        <v>545</v>
      </c>
      <c r="J423" s="148">
        <v>13.11</v>
      </c>
      <c r="K423" s="144">
        <v>0.874</v>
      </c>
      <c r="L423" s="149"/>
    </row>
    <row r="424" spans="1:12" ht="16.05" customHeight="1">
      <c r="A424" s="45" t="s">
        <v>973</v>
      </c>
      <c r="B424" s="45" t="s">
        <v>540</v>
      </c>
      <c r="C424" s="45" t="s">
        <v>540</v>
      </c>
      <c r="D424" s="45" t="s">
        <v>863</v>
      </c>
      <c r="E424" s="45" t="s">
        <v>863</v>
      </c>
      <c r="F424" s="45">
        <v>0</v>
      </c>
      <c r="G424" s="45" t="s">
        <v>544</v>
      </c>
      <c r="H424" s="45">
        <v>78</v>
      </c>
      <c r="I424" s="45" t="s">
        <v>548</v>
      </c>
      <c r="J424" s="148">
        <v>18</v>
      </c>
      <c r="K424" s="144">
        <v>1.23</v>
      </c>
      <c r="L424" s="149"/>
    </row>
    <row r="425" spans="1:12" ht="16.05" customHeight="1">
      <c r="A425" s="45" t="s">
        <v>974</v>
      </c>
      <c r="B425" s="45" t="s">
        <v>540</v>
      </c>
      <c r="C425" s="45" t="s">
        <v>540</v>
      </c>
      <c r="D425" s="45" t="s">
        <v>863</v>
      </c>
      <c r="E425" s="45" t="s">
        <v>863</v>
      </c>
      <c r="F425" s="45">
        <v>0</v>
      </c>
      <c r="G425" s="45" t="s">
        <v>544</v>
      </c>
      <c r="H425" s="45">
        <v>48</v>
      </c>
      <c r="I425" s="45" t="s">
        <v>545</v>
      </c>
      <c r="J425" s="148">
        <v>25</v>
      </c>
      <c r="K425" s="144">
        <v>1.65</v>
      </c>
      <c r="L425" s="149"/>
    </row>
    <row r="426" spans="1:12" ht="16.05" customHeight="1">
      <c r="A426" s="45" t="s">
        <v>975</v>
      </c>
      <c r="B426" s="45" t="s">
        <v>540</v>
      </c>
      <c r="C426" s="45" t="s">
        <v>540</v>
      </c>
      <c r="D426" s="45" t="s">
        <v>863</v>
      </c>
      <c r="E426" s="45" t="s">
        <v>863</v>
      </c>
      <c r="F426" s="45">
        <v>0</v>
      </c>
      <c r="G426" s="45" t="s">
        <v>544</v>
      </c>
      <c r="H426" s="45">
        <v>64</v>
      </c>
      <c r="I426" s="45" t="s">
        <v>545</v>
      </c>
      <c r="J426" s="148">
        <v>25</v>
      </c>
      <c r="K426" s="144">
        <v>1.65</v>
      </c>
      <c r="L426" s="149"/>
    </row>
    <row r="427" spans="1:12" ht="16.05" customHeight="1">
      <c r="A427" s="45" t="s">
        <v>976</v>
      </c>
      <c r="B427" s="45" t="s">
        <v>540</v>
      </c>
      <c r="C427" s="45" t="s">
        <v>540</v>
      </c>
      <c r="D427" s="45" t="s">
        <v>863</v>
      </c>
      <c r="E427" s="45" t="s">
        <v>863</v>
      </c>
      <c r="F427" s="45">
        <v>0</v>
      </c>
      <c r="G427" s="45" t="s">
        <v>544</v>
      </c>
      <c r="H427" s="45">
        <v>50</v>
      </c>
      <c r="I427" s="45" t="s">
        <v>545</v>
      </c>
      <c r="J427" s="148">
        <v>27</v>
      </c>
      <c r="K427" s="144">
        <v>1.82</v>
      </c>
      <c r="L427" s="149"/>
    </row>
    <row r="428" spans="1:12" ht="16.05" customHeight="1">
      <c r="A428" s="45" t="s">
        <v>977</v>
      </c>
      <c r="B428" s="45" t="s">
        <v>540</v>
      </c>
      <c r="C428" s="45" t="s">
        <v>540</v>
      </c>
      <c r="D428" s="45" t="s">
        <v>863</v>
      </c>
      <c r="E428" s="45" t="s">
        <v>863</v>
      </c>
      <c r="F428" s="45">
        <v>0</v>
      </c>
      <c r="G428" s="45" t="s">
        <v>544</v>
      </c>
      <c r="H428" s="45">
        <v>50</v>
      </c>
      <c r="I428" s="45" t="s">
        <v>545</v>
      </c>
      <c r="J428" s="148">
        <v>21</v>
      </c>
      <c r="K428" s="144">
        <v>1.37</v>
      </c>
      <c r="L428" s="149"/>
    </row>
    <row r="429" spans="1:12" ht="16.05" customHeight="1">
      <c r="A429" s="45" t="s">
        <v>978</v>
      </c>
      <c r="B429" s="45" t="s">
        <v>540</v>
      </c>
      <c r="C429" s="45" t="s">
        <v>540</v>
      </c>
      <c r="D429" s="45" t="s">
        <v>863</v>
      </c>
      <c r="E429" s="45" t="s">
        <v>863</v>
      </c>
      <c r="F429" s="45">
        <v>0</v>
      </c>
      <c r="G429" s="45" t="s">
        <v>544</v>
      </c>
      <c r="H429" s="45">
        <v>52</v>
      </c>
      <c r="I429" s="45" t="s">
        <v>545</v>
      </c>
      <c r="J429" s="148">
        <v>25</v>
      </c>
      <c r="K429" s="144">
        <v>1.64</v>
      </c>
      <c r="L429" s="149"/>
    </row>
    <row r="430" spans="1:12" ht="16.05" customHeight="1">
      <c r="A430" s="45" t="s">
        <v>979</v>
      </c>
      <c r="B430" s="45" t="s">
        <v>540</v>
      </c>
      <c r="C430" s="45" t="s">
        <v>540</v>
      </c>
      <c r="D430" s="45" t="s">
        <v>863</v>
      </c>
      <c r="E430" s="45" t="s">
        <v>863</v>
      </c>
      <c r="F430" s="45">
        <v>0</v>
      </c>
      <c r="G430" s="45" t="s">
        <v>544</v>
      </c>
      <c r="H430" s="45">
        <v>70</v>
      </c>
      <c r="I430" s="45" t="s">
        <v>548</v>
      </c>
      <c r="J430" s="148">
        <v>22</v>
      </c>
      <c r="K430" s="144">
        <v>1.46</v>
      </c>
      <c r="L430" s="149"/>
    </row>
    <row r="431" spans="1:12" ht="16.05" customHeight="1">
      <c r="A431" s="45" t="s">
        <v>980</v>
      </c>
      <c r="B431" s="45" t="s">
        <v>540</v>
      </c>
      <c r="C431" s="45" t="s">
        <v>540</v>
      </c>
      <c r="D431" s="45" t="s">
        <v>863</v>
      </c>
      <c r="E431" s="45" t="s">
        <v>863</v>
      </c>
      <c r="F431" s="45">
        <v>0</v>
      </c>
      <c r="G431" s="45" t="s">
        <v>544</v>
      </c>
      <c r="H431" s="45">
        <v>51</v>
      </c>
      <c r="I431" s="45" t="s">
        <v>548</v>
      </c>
      <c r="J431" s="148">
        <v>29</v>
      </c>
      <c r="K431" s="144">
        <v>1.91</v>
      </c>
      <c r="L431" s="149"/>
    </row>
    <row r="432" spans="1:12" ht="16.05" customHeight="1">
      <c r="A432" s="45" t="s">
        <v>981</v>
      </c>
      <c r="B432" s="45" t="s">
        <v>540</v>
      </c>
      <c r="C432" s="45" t="s">
        <v>540</v>
      </c>
      <c r="D432" s="45" t="s">
        <v>863</v>
      </c>
      <c r="E432" s="45" t="s">
        <v>863</v>
      </c>
      <c r="F432" s="45">
        <v>0</v>
      </c>
      <c r="G432" s="45" t="s">
        <v>544</v>
      </c>
      <c r="H432" s="45">
        <v>51</v>
      </c>
      <c r="I432" s="45" t="s">
        <v>545</v>
      </c>
      <c r="J432" s="148">
        <v>16</v>
      </c>
      <c r="K432" s="144">
        <v>1.08</v>
      </c>
      <c r="L432" s="149"/>
    </row>
    <row r="433" spans="1:12" ht="16.05" customHeight="1">
      <c r="A433" s="45" t="s">
        <v>982</v>
      </c>
      <c r="B433" s="45" t="s">
        <v>540</v>
      </c>
      <c r="C433" s="45" t="s">
        <v>540</v>
      </c>
      <c r="D433" s="45" t="s">
        <v>863</v>
      </c>
      <c r="E433" s="45" t="s">
        <v>863</v>
      </c>
      <c r="F433" s="45">
        <v>0</v>
      </c>
      <c r="G433" s="45" t="s">
        <v>544</v>
      </c>
      <c r="H433" s="45">
        <v>51</v>
      </c>
      <c r="I433" s="45" t="s">
        <v>545</v>
      </c>
      <c r="J433" s="148">
        <v>21</v>
      </c>
      <c r="K433" s="144">
        <v>1.4</v>
      </c>
      <c r="L433" s="149"/>
    </row>
    <row r="434" spans="1:12" ht="16.05" customHeight="1">
      <c r="A434" s="45" t="s">
        <v>983</v>
      </c>
      <c r="B434" s="45" t="s">
        <v>540</v>
      </c>
      <c r="C434" s="45" t="s">
        <v>540</v>
      </c>
      <c r="D434" s="45" t="s">
        <v>863</v>
      </c>
      <c r="E434" s="45" t="s">
        <v>863</v>
      </c>
      <c r="F434" s="45">
        <v>0</v>
      </c>
      <c r="G434" s="45" t="s">
        <v>544</v>
      </c>
      <c r="H434" s="45">
        <v>45</v>
      </c>
      <c r="I434" s="45" t="s">
        <v>545</v>
      </c>
      <c r="J434" s="148">
        <v>18</v>
      </c>
      <c r="K434" s="144">
        <v>1.23</v>
      </c>
      <c r="L434" s="149"/>
    </row>
    <row r="435" spans="1:12" ht="16.05" customHeight="1">
      <c r="A435" s="45" t="s">
        <v>984</v>
      </c>
      <c r="B435" s="45" t="s">
        <v>540</v>
      </c>
      <c r="C435" s="45" t="s">
        <v>540</v>
      </c>
      <c r="D435" s="45" t="s">
        <v>863</v>
      </c>
      <c r="E435" s="45" t="s">
        <v>863</v>
      </c>
      <c r="F435" s="45">
        <v>0</v>
      </c>
      <c r="G435" s="45" t="s">
        <v>544</v>
      </c>
      <c r="H435" s="45">
        <v>56</v>
      </c>
      <c r="I435" s="45" t="s">
        <v>545</v>
      </c>
      <c r="J435" s="148">
        <v>13</v>
      </c>
      <c r="K435" s="144">
        <v>0.89900000000000002</v>
      </c>
      <c r="L435" s="149"/>
    </row>
    <row r="436" spans="1:12" ht="16.05" customHeight="1">
      <c r="A436" s="45" t="s">
        <v>985</v>
      </c>
      <c r="B436" s="45" t="s">
        <v>540</v>
      </c>
      <c r="C436" s="45" t="s">
        <v>540</v>
      </c>
      <c r="D436" s="45" t="s">
        <v>863</v>
      </c>
      <c r="E436" s="45" t="s">
        <v>863</v>
      </c>
      <c r="F436" s="45">
        <v>0</v>
      </c>
      <c r="G436" s="45" t="s">
        <v>544</v>
      </c>
      <c r="H436" s="45">
        <v>43</v>
      </c>
      <c r="I436" s="45" t="s">
        <v>548</v>
      </c>
      <c r="J436" s="148">
        <v>16</v>
      </c>
      <c r="K436" s="144">
        <v>1.08</v>
      </c>
      <c r="L436" s="149"/>
    </row>
    <row r="437" spans="1:12" ht="16.05" customHeight="1">
      <c r="A437" s="45" t="s">
        <v>986</v>
      </c>
      <c r="B437" s="45" t="s">
        <v>540</v>
      </c>
      <c r="C437" s="45" t="s">
        <v>540</v>
      </c>
      <c r="D437" s="45" t="s">
        <v>863</v>
      </c>
      <c r="E437" s="45" t="s">
        <v>863</v>
      </c>
      <c r="F437" s="45">
        <v>0</v>
      </c>
      <c r="G437" s="45" t="s">
        <v>544</v>
      </c>
      <c r="H437" s="45">
        <v>55</v>
      </c>
      <c r="I437" s="45" t="s">
        <v>548</v>
      </c>
      <c r="J437" s="148">
        <v>27</v>
      </c>
      <c r="K437" s="144">
        <v>1.82</v>
      </c>
      <c r="L437" s="149"/>
    </row>
    <row r="438" spans="1:12" ht="16.05" customHeight="1">
      <c r="A438" s="45" t="s">
        <v>987</v>
      </c>
      <c r="B438" s="45" t="s">
        <v>540</v>
      </c>
      <c r="C438" s="45" t="s">
        <v>540</v>
      </c>
      <c r="D438" s="45" t="s">
        <v>863</v>
      </c>
      <c r="E438" s="45" t="s">
        <v>863</v>
      </c>
      <c r="F438" s="45">
        <v>0</v>
      </c>
      <c r="G438" s="45" t="s">
        <v>692</v>
      </c>
      <c r="H438" s="45">
        <v>55</v>
      </c>
      <c r="I438" s="45" t="s">
        <v>548</v>
      </c>
      <c r="J438" s="148">
        <v>35.6</v>
      </c>
      <c r="K438" s="144">
        <v>2.37</v>
      </c>
      <c r="L438" s="149"/>
    </row>
    <row r="439" spans="1:12" ht="16.05" customHeight="1">
      <c r="A439" s="45" t="s">
        <v>988</v>
      </c>
      <c r="B439" s="45" t="s">
        <v>540</v>
      </c>
      <c r="C439" s="45" t="s">
        <v>540</v>
      </c>
      <c r="D439" s="45" t="s">
        <v>863</v>
      </c>
      <c r="E439" s="45" t="s">
        <v>863</v>
      </c>
      <c r="F439" s="45">
        <v>0</v>
      </c>
      <c r="G439" s="45" t="s">
        <v>692</v>
      </c>
      <c r="H439" s="45">
        <v>61</v>
      </c>
      <c r="I439" s="45" t="s">
        <v>548</v>
      </c>
      <c r="J439" s="148">
        <v>34.200000000000003</v>
      </c>
      <c r="K439" s="144">
        <v>2.2799999999999998</v>
      </c>
      <c r="L439" s="149"/>
    </row>
    <row r="440" spans="1:12" ht="16.05" customHeight="1">
      <c r="A440" s="45" t="s">
        <v>989</v>
      </c>
      <c r="B440" s="45" t="s">
        <v>540</v>
      </c>
      <c r="C440" s="45" t="s">
        <v>540</v>
      </c>
      <c r="D440" s="45" t="s">
        <v>863</v>
      </c>
      <c r="E440" s="45" t="s">
        <v>863</v>
      </c>
      <c r="F440" s="45">
        <v>0</v>
      </c>
      <c r="G440" s="45" t="s">
        <v>692</v>
      </c>
      <c r="H440" s="45">
        <v>67</v>
      </c>
      <c r="I440" s="45" t="s">
        <v>545</v>
      </c>
      <c r="J440" s="148">
        <v>27</v>
      </c>
      <c r="K440" s="144">
        <v>1.8</v>
      </c>
      <c r="L440" s="149"/>
    </row>
    <row r="441" spans="1:12" ht="16.05" customHeight="1">
      <c r="A441" s="45" t="s">
        <v>990</v>
      </c>
      <c r="B441" s="45" t="s">
        <v>540</v>
      </c>
      <c r="C441" s="45" t="s">
        <v>540</v>
      </c>
      <c r="D441" s="45" t="s">
        <v>863</v>
      </c>
      <c r="E441" s="45" t="s">
        <v>863</v>
      </c>
      <c r="F441" s="45">
        <v>0</v>
      </c>
      <c r="G441" s="45" t="s">
        <v>692</v>
      </c>
      <c r="H441" s="45">
        <v>51</v>
      </c>
      <c r="I441" s="45" t="s">
        <v>548</v>
      </c>
      <c r="J441" s="148">
        <v>19.2</v>
      </c>
      <c r="K441" s="144">
        <v>1.28</v>
      </c>
      <c r="L441" s="149"/>
    </row>
    <row r="442" spans="1:12" ht="16.05" customHeight="1">
      <c r="A442" s="45" t="s">
        <v>991</v>
      </c>
      <c r="B442" s="45" t="s">
        <v>540</v>
      </c>
      <c r="C442" s="45" t="s">
        <v>540</v>
      </c>
      <c r="D442" s="45" t="s">
        <v>863</v>
      </c>
      <c r="E442" s="45" t="s">
        <v>863</v>
      </c>
      <c r="F442" s="45">
        <v>0</v>
      </c>
      <c r="G442" s="45" t="s">
        <v>692</v>
      </c>
      <c r="H442" s="45">
        <v>70</v>
      </c>
      <c r="I442" s="45" t="s">
        <v>545</v>
      </c>
      <c r="J442" s="148">
        <v>24.8</v>
      </c>
      <c r="K442" s="144">
        <v>1.65</v>
      </c>
      <c r="L442" s="149"/>
    </row>
    <row r="443" spans="1:12" ht="16.05" customHeight="1">
      <c r="A443" s="45" t="s">
        <v>992</v>
      </c>
      <c r="B443" s="45" t="s">
        <v>540</v>
      </c>
      <c r="C443" s="45" t="s">
        <v>540</v>
      </c>
      <c r="D443" s="45" t="s">
        <v>863</v>
      </c>
      <c r="E443" s="45" t="s">
        <v>863</v>
      </c>
      <c r="F443" s="45">
        <v>0</v>
      </c>
      <c r="G443" s="45" t="s">
        <v>692</v>
      </c>
      <c r="H443" s="45">
        <v>51</v>
      </c>
      <c r="I443" s="45" t="s">
        <v>545</v>
      </c>
      <c r="J443" s="148">
        <v>21.3</v>
      </c>
      <c r="K443" s="144">
        <v>1.42</v>
      </c>
      <c r="L443" s="149"/>
    </row>
    <row r="444" spans="1:12" ht="16.05" customHeight="1">
      <c r="A444" s="45" t="s">
        <v>993</v>
      </c>
      <c r="B444" s="45" t="s">
        <v>540</v>
      </c>
      <c r="C444" s="45" t="s">
        <v>540</v>
      </c>
      <c r="D444" s="45" t="s">
        <v>863</v>
      </c>
      <c r="E444" s="45" t="s">
        <v>863</v>
      </c>
      <c r="F444" s="45">
        <v>0</v>
      </c>
      <c r="G444" s="45" t="s">
        <v>692</v>
      </c>
      <c r="H444" s="45">
        <v>50</v>
      </c>
      <c r="I444" s="45" t="s">
        <v>545</v>
      </c>
      <c r="J444" s="148">
        <v>23.9</v>
      </c>
      <c r="K444" s="144">
        <v>1.59</v>
      </c>
      <c r="L444" s="149"/>
    </row>
    <row r="445" spans="1:12" ht="16.05" customHeight="1">
      <c r="A445" s="45" t="s">
        <v>994</v>
      </c>
      <c r="B445" s="45" t="s">
        <v>540</v>
      </c>
      <c r="C445" s="45" t="s">
        <v>540</v>
      </c>
      <c r="D445" s="45" t="s">
        <v>863</v>
      </c>
      <c r="E445" s="45" t="s">
        <v>863</v>
      </c>
      <c r="F445" s="45">
        <v>0</v>
      </c>
      <c r="G445" s="45" t="s">
        <v>692</v>
      </c>
      <c r="H445" s="45">
        <v>52</v>
      </c>
      <c r="I445" s="45" t="s">
        <v>548</v>
      </c>
      <c r="J445" s="148">
        <v>18.3</v>
      </c>
      <c r="K445" s="144">
        <v>1.22</v>
      </c>
      <c r="L445" s="149"/>
    </row>
    <row r="446" spans="1:12" ht="16.05" customHeight="1">
      <c r="A446" s="45" t="s">
        <v>995</v>
      </c>
      <c r="B446" s="45" t="s">
        <v>540</v>
      </c>
      <c r="C446" s="45" t="s">
        <v>540</v>
      </c>
      <c r="D446" s="45" t="s">
        <v>863</v>
      </c>
      <c r="E446" s="45" t="s">
        <v>863</v>
      </c>
      <c r="F446" s="45">
        <v>0</v>
      </c>
      <c r="G446" s="45" t="s">
        <v>692</v>
      </c>
      <c r="H446" s="45">
        <v>60</v>
      </c>
      <c r="I446" s="45" t="s">
        <v>545</v>
      </c>
      <c r="J446" s="148">
        <v>18.8</v>
      </c>
      <c r="K446" s="144">
        <v>1.25</v>
      </c>
      <c r="L446" s="149"/>
    </row>
    <row r="447" spans="1:12" ht="16.05" customHeight="1">
      <c r="A447" s="45" t="s">
        <v>996</v>
      </c>
      <c r="B447" s="45" t="s">
        <v>540</v>
      </c>
      <c r="C447" s="45" t="s">
        <v>540</v>
      </c>
      <c r="D447" s="45" t="s">
        <v>863</v>
      </c>
      <c r="E447" s="45" t="s">
        <v>863</v>
      </c>
      <c r="F447" s="45">
        <v>0</v>
      </c>
      <c r="G447" s="45" t="s">
        <v>692</v>
      </c>
      <c r="H447" s="45">
        <v>54</v>
      </c>
      <c r="I447" s="45" t="s">
        <v>548</v>
      </c>
      <c r="J447" s="148">
        <v>22.8</v>
      </c>
      <c r="K447" s="144">
        <v>1.52</v>
      </c>
      <c r="L447" s="149"/>
    </row>
    <row r="448" spans="1:12" ht="16.05" customHeight="1">
      <c r="A448" s="45" t="s">
        <v>997</v>
      </c>
      <c r="B448" s="45" t="s">
        <v>540</v>
      </c>
      <c r="C448" s="45" t="s">
        <v>540</v>
      </c>
      <c r="D448" s="45" t="s">
        <v>863</v>
      </c>
      <c r="E448" s="45" t="s">
        <v>863</v>
      </c>
      <c r="F448" s="45">
        <v>0</v>
      </c>
      <c r="G448" s="45" t="s">
        <v>692</v>
      </c>
      <c r="H448" s="45">
        <v>68</v>
      </c>
      <c r="I448" s="45" t="s">
        <v>545</v>
      </c>
      <c r="J448" s="148">
        <v>31.95</v>
      </c>
      <c r="K448" s="144">
        <v>2.13</v>
      </c>
      <c r="L448" s="149"/>
    </row>
    <row r="449" spans="1:12" ht="16.05" customHeight="1">
      <c r="A449" s="45" t="s">
        <v>998</v>
      </c>
      <c r="B449" s="45" t="s">
        <v>540</v>
      </c>
      <c r="C449" s="45" t="s">
        <v>540</v>
      </c>
      <c r="D449" s="45" t="s">
        <v>863</v>
      </c>
      <c r="E449" s="45" t="s">
        <v>863</v>
      </c>
      <c r="F449" s="45">
        <v>0</v>
      </c>
      <c r="G449" s="45" t="s">
        <v>692</v>
      </c>
      <c r="H449" s="45">
        <v>55</v>
      </c>
      <c r="I449" s="45" t="s">
        <v>548</v>
      </c>
      <c r="J449" s="148">
        <v>23.1</v>
      </c>
      <c r="K449" s="144">
        <v>1.54</v>
      </c>
      <c r="L449" s="149"/>
    </row>
    <row r="450" spans="1:12" ht="16.05" customHeight="1">
      <c r="A450" s="45" t="s">
        <v>999</v>
      </c>
      <c r="B450" s="45" t="s">
        <v>540</v>
      </c>
      <c r="C450" s="45" t="s">
        <v>540</v>
      </c>
      <c r="D450" s="45" t="s">
        <v>863</v>
      </c>
      <c r="E450" s="45" t="s">
        <v>863</v>
      </c>
      <c r="F450" s="45">
        <v>0</v>
      </c>
      <c r="G450" s="45" t="s">
        <v>692</v>
      </c>
      <c r="H450" s="45">
        <v>53</v>
      </c>
      <c r="I450" s="45" t="s">
        <v>545</v>
      </c>
      <c r="J450" s="148">
        <v>30.6</v>
      </c>
      <c r="K450" s="144">
        <v>2.04</v>
      </c>
      <c r="L450" s="149"/>
    </row>
    <row r="451" spans="1:12" ht="16.05" customHeight="1">
      <c r="A451" s="45" t="s">
        <v>1000</v>
      </c>
      <c r="B451" s="45" t="s">
        <v>540</v>
      </c>
      <c r="C451" s="45" t="s">
        <v>540</v>
      </c>
      <c r="D451" s="45" t="s">
        <v>863</v>
      </c>
      <c r="E451" s="45" t="s">
        <v>863</v>
      </c>
      <c r="F451" s="45">
        <v>0</v>
      </c>
      <c r="G451" s="45" t="s">
        <v>692</v>
      </c>
      <c r="H451" s="45">
        <v>49</v>
      </c>
      <c r="I451" s="45" t="s">
        <v>548</v>
      </c>
      <c r="J451" s="148">
        <v>24.15</v>
      </c>
      <c r="K451" s="144">
        <v>1.61</v>
      </c>
      <c r="L451" s="149"/>
    </row>
    <row r="452" spans="1:12" ht="16.05" customHeight="1">
      <c r="A452" s="45" t="s">
        <v>1001</v>
      </c>
      <c r="B452" s="45" t="s">
        <v>540</v>
      </c>
      <c r="C452" s="45" t="s">
        <v>540</v>
      </c>
      <c r="D452" s="45" t="s">
        <v>863</v>
      </c>
      <c r="E452" s="45" t="s">
        <v>863</v>
      </c>
      <c r="F452" s="45">
        <v>0</v>
      </c>
      <c r="G452" s="45" t="s">
        <v>692</v>
      </c>
      <c r="H452" s="45">
        <v>70</v>
      </c>
      <c r="I452" s="45" t="s">
        <v>545</v>
      </c>
      <c r="J452" s="148">
        <v>24.3</v>
      </c>
      <c r="K452" s="144">
        <v>1.62</v>
      </c>
      <c r="L452" s="149"/>
    </row>
    <row r="453" spans="1:12" ht="16.05" customHeight="1">
      <c r="A453" s="45" t="s">
        <v>1002</v>
      </c>
      <c r="B453" s="45" t="s">
        <v>540</v>
      </c>
      <c r="C453" s="45" t="s">
        <v>540</v>
      </c>
      <c r="D453" s="45" t="s">
        <v>863</v>
      </c>
      <c r="E453" s="45" t="s">
        <v>863</v>
      </c>
      <c r="F453" s="45">
        <v>0</v>
      </c>
      <c r="G453" s="45" t="s">
        <v>692</v>
      </c>
      <c r="H453" s="45">
        <v>54</v>
      </c>
      <c r="I453" s="45" t="s">
        <v>548</v>
      </c>
      <c r="J453" s="148">
        <v>35.4</v>
      </c>
      <c r="K453" s="144">
        <v>2.36</v>
      </c>
      <c r="L453" s="149"/>
    </row>
    <row r="454" spans="1:12" ht="16.05" customHeight="1">
      <c r="A454" s="45" t="s">
        <v>1003</v>
      </c>
      <c r="B454" s="45" t="s">
        <v>540</v>
      </c>
      <c r="C454" s="45" t="s">
        <v>540</v>
      </c>
      <c r="D454" s="45" t="s">
        <v>863</v>
      </c>
      <c r="E454" s="45" t="s">
        <v>863</v>
      </c>
      <c r="F454" s="45">
        <v>0</v>
      </c>
      <c r="G454" s="45" t="s">
        <v>692</v>
      </c>
      <c r="H454" s="45">
        <v>52</v>
      </c>
      <c r="I454" s="45" t="s">
        <v>545</v>
      </c>
      <c r="J454" s="148">
        <v>29.4</v>
      </c>
      <c r="K454" s="144">
        <v>1.96</v>
      </c>
      <c r="L454" s="149"/>
    </row>
    <row r="455" spans="1:12" ht="16.05" customHeight="1">
      <c r="A455" s="45" t="s">
        <v>1004</v>
      </c>
      <c r="B455" s="45" t="s">
        <v>540</v>
      </c>
      <c r="C455" s="45" t="s">
        <v>540</v>
      </c>
      <c r="D455" s="45" t="s">
        <v>863</v>
      </c>
      <c r="E455" s="45" t="s">
        <v>863</v>
      </c>
      <c r="F455" s="45">
        <v>0</v>
      </c>
      <c r="G455" s="45" t="s">
        <v>692</v>
      </c>
      <c r="H455" s="45">
        <v>63</v>
      </c>
      <c r="I455" s="45" t="s">
        <v>545</v>
      </c>
      <c r="J455" s="148">
        <v>28.8</v>
      </c>
      <c r="K455" s="144">
        <v>1.92</v>
      </c>
      <c r="L455" s="149"/>
    </row>
    <row r="456" spans="1:12" ht="16.05" customHeight="1">
      <c r="A456" s="45" t="s">
        <v>1005</v>
      </c>
      <c r="B456" s="45" t="s">
        <v>540</v>
      </c>
      <c r="C456" s="45" t="s">
        <v>540</v>
      </c>
      <c r="D456" s="45" t="s">
        <v>863</v>
      </c>
      <c r="E456" s="45" t="s">
        <v>863</v>
      </c>
      <c r="F456" s="45">
        <v>0</v>
      </c>
      <c r="G456" s="45" t="s">
        <v>692</v>
      </c>
      <c r="H456" s="45">
        <v>53</v>
      </c>
      <c r="I456" s="45" t="s">
        <v>548</v>
      </c>
      <c r="J456" s="148">
        <v>12.78</v>
      </c>
      <c r="K456" s="144">
        <v>0.85199999999999998</v>
      </c>
      <c r="L456" s="149"/>
    </row>
    <row r="457" spans="1:12" ht="16.05" customHeight="1">
      <c r="A457" s="45" t="s">
        <v>1006</v>
      </c>
      <c r="B457" s="45" t="s">
        <v>540</v>
      </c>
      <c r="C457" s="45" t="s">
        <v>540</v>
      </c>
      <c r="D457" s="45" t="s">
        <v>863</v>
      </c>
      <c r="E457" s="45" t="s">
        <v>863</v>
      </c>
      <c r="F457" s="45">
        <v>0</v>
      </c>
      <c r="G457" s="45" t="s">
        <v>692</v>
      </c>
      <c r="H457" s="45">
        <v>52</v>
      </c>
      <c r="I457" s="45" t="s">
        <v>548</v>
      </c>
      <c r="J457" s="148">
        <v>11.63</v>
      </c>
      <c r="K457" s="144">
        <v>0.77500000000000002</v>
      </c>
      <c r="L457" s="149"/>
    </row>
    <row r="458" spans="1:12" ht="16.05" customHeight="1">
      <c r="A458" s="45" t="s">
        <v>1007</v>
      </c>
      <c r="B458" s="45" t="s">
        <v>540</v>
      </c>
      <c r="C458" s="45" t="s">
        <v>540</v>
      </c>
      <c r="D458" s="45" t="s">
        <v>863</v>
      </c>
      <c r="E458" s="45" t="s">
        <v>863</v>
      </c>
      <c r="F458" s="45">
        <v>0</v>
      </c>
      <c r="G458" s="45" t="s">
        <v>692</v>
      </c>
      <c r="H458" s="45">
        <v>60</v>
      </c>
      <c r="I458" s="45" t="s">
        <v>545</v>
      </c>
      <c r="J458" s="148">
        <v>23.7</v>
      </c>
      <c r="K458" s="144">
        <v>1.58</v>
      </c>
      <c r="L458" s="149"/>
    </row>
    <row r="459" spans="1:12" ht="16.05" customHeight="1">
      <c r="A459" s="45" t="s">
        <v>1008</v>
      </c>
      <c r="B459" s="45" t="s">
        <v>540</v>
      </c>
      <c r="C459" s="45" t="s">
        <v>540</v>
      </c>
      <c r="D459" s="45" t="s">
        <v>863</v>
      </c>
      <c r="E459" s="45" t="s">
        <v>863</v>
      </c>
      <c r="F459" s="45">
        <v>0</v>
      </c>
      <c r="G459" s="45" t="s">
        <v>692</v>
      </c>
      <c r="H459" s="45">
        <v>54</v>
      </c>
      <c r="I459" s="45" t="s">
        <v>545</v>
      </c>
      <c r="J459" s="148">
        <v>16.5</v>
      </c>
      <c r="K459" s="144">
        <v>1.1000000000000001</v>
      </c>
      <c r="L459" s="149"/>
    </row>
    <row r="460" spans="1:12" ht="16.05" customHeight="1">
      <c r="A460" s="45" t="s">
        <v>1009</v>
      </c>
      <c r="B460" s="45" t="s">
        <v>540</v>
      </c>
      <c r="C460" s="45" t="s">
        <v>540</v>
      </c>
      <c r="D460" s="45" t="s">
        <v>863</v>
      </c>
      <c r="E460" s="45" t="s">
        <v>863</v>
      </c>
      <c r="F460" s="45">
        <v>0</v>
      </c>
      <c r="G460" s="45" t="s">
        <v>692</v>
      </c>
      <c r="H460" s="45">
        <v>52</v>
      </c>
      <c r="I460" s="45" t="s">
        <v>545</v>
      </c>
      <c r="J460" s="148">
        <v>32.700000000000003</v>
      </c>
      <c r="K460" s="144">
        <v>2.1800000000000002</v>
      </c>
      <c r="L460" s="149"/>
    </row>
    <row r="461" spans="1:12" ht="16.05" customHeight="1">
      <c r="A461" s="45" t="s">
        <v>1010</v>
      </c>
      <c r="B461" s="45" t="s">
        <v>540</v>
      </c>
      <c r="C461" s="45" t="s">
        <v>540</v>
      </c>
      <c r="D461" s="45" t="s">
        <v>863</v>
      </c>
      <c r="E461" s="45" t="s">
        <v>863</v>
      </c>
      <c r="F461" s="45">
        <v>0</v>
      </c>
      <c r="G461" s="45" t="s">
        <v>692</v>
      </c>
      <c r="H461" s="45">
        <v>59</v>
      </c>
      <c r="I461" s="45" t="s">
        <v>545</v>
      </c>
      <c r="J461" s="148">
        <v>17.7</v>
      </c>
      <c r="K461" s="144">
        <v>1.18</v>
      </c>
      <c r="L461" s="149"/>
    </row>
    <row r="462" spans="1:12" ht="16.05" customHeight="1">
      <c r="A462" s="45" t="s">
        <v>1011</v>
      </c>
      <c r="B462" s="45" t="s">
        <v>540</v>
      </c>
      <c r="C462" s="45" t="s">
        <v>540</v>
      </c>
      <c r="D462" s="45" t="s">
        <v>863</v>
      </c>
      <c r="E462" s="45" t="s">
        <v>863</v>
      </c>
      <c r="F462" s="45">
        <v>0</v>
      </c>
      <c r="G462" s="45" t="s">
        <v>692</v>
      </c>
      <c r="H462" s="45">
        <v>54</v>
      </c>
      <c r="I462" s="45" t="s">
        <v>548</v>
      </c>
      <c r="J462" s="148">
        <v>31.95</v>
      </c>
      <c r="K462" s="144">
        <v>2.13</v>
      </c>
      <c r="L462" s="149"/>
    </row>
    <row r="463" spans="1:12" ht="16.05" customHeight="1">
      <c r="A463" s="45" t="s">
        <v>1012</v>
      </c>
      <c r="B463" s="45" t="s">
        <v>540</v>
      </c>
      <c r="C463" s="45" t="s">
        <v>540</v>
      </c>
      <c r="D463" s="45" t="s">
        <v>863</v>
      </c>
      <c r="E463" s="45" t="s">
        <v>863</v>
      </c>
      <c r="F463" s="45">
        <v>0</v>
      </c>
      <c r="G463" s="45" t="s">
        <v>692</v>
      </c>
      <c r="H463" s="45">
        <v>62</v>
      </c>
      <c r="I463" s="45" t="s">
        <v>545</v>
      </c>
      <c r="J463" s="148">
        <v>22.95</v>
      </c>
      <c r="K463" s="144">
        <v>1.53</v>
      </c>
      <c r="L463" s="149"/>
    </row>
    <row r="464" spans="1:12" ht="16.05" customHeight="1">
      <c r="A464" s="45" t="s">
        <v>1013</v>
      </c>
      <c r="B464" s="45" t="s">
        <v>540</v>
      </c>
      <c r="C464" s="45" t="s">
        <v>540</v>
      </c>
      <c r="D464" s="45" t="s">
        <v>863</v>
      </c>
      <c r="E464" s="45" t="s">
        <v>863</v>
      </c>
      <c r="F464" s="45">
        <v>0</v>
      </c>
      <c r="G464" s="45" t="s">
        <v>692</v>
      </c>
      <c r="H464" s="45">
        <v>66</v>
      </c>
      <c r="I464" s="45" t="s">
        <v>548</v>
      </c>
      <c r="J464" s="148">
        <v>19.350000000000001</v>
      </c>
      <c r="K464" s="144">
        <v>1.29</v>
      </c>
      <c r="L464" s="149"/>
    </row>
    <row r="465" spans="1:12" ht="16.05" customHeight="1">
      <c r="A465" s="45" t="s">
        <v>1014</v>
      </c>
      <c r="B465" s="45" t="s">
        <v>541</v>
      </c>
      <c r="C465" s="45" t="s">
        <v>540</v>
      </c>
      <c r="D465" s="45" t="s">
        <v>863</v>
      </c>
      <c r="E465" s="45" t="s">
        <v>863</v>
      </c>
      <c r="F465" s="45">
        <v>0</v>
      </c>
      <c r="G465" s="45" t="s">
        <v>692</v>
      </c>
      <c r="H465" s="45">
        <v>70</v>
      </c>
      <c r="I465" s="45" t="s">
        <v>548</v>
      </c>
      <c r="J465" s="148">
        <v>13.5</v>
      </c>
      <c r="K465" s="144">
        <v>0.9</v>
      </c>
      <c r="L465" s="149"/>
    </row>
    <row r="466" spans="1:12" ht="16.05" customHeight="1">
      <c r="A466" s="45" t="s">
        <v>1015</v>
      </c>
      <c r="B466" s="45" t="s">
        <v>540</v>
      </c>
      <c r="C466" s="45" t="s">
        <v>540</v>
      </c>
      <c r="D466" s="45" t="s">
        <v>863</v>
      </c>
      <c r="E466" s="45" t="s">
        <v>863</v>
      </c>
      <c r="F466" s="45">
        <v>0</v>
      </c>
      <c r="G466" s="45" t="s">
        <v>692</v>
      </c>
      <c r="H466" s="45">
        <v>69</v>
      </c>
      <c r="I466" s="45" t="s">
        <v>545</v>
      </c>
      <c r="J466" s="148">
        <v>14.04</v>
      </c>
      <c r="K466" s="144">
        <v>0.93600000000000005</v>
      </c>
      <c r="L466" s="149"/>
    </row>
    <row r="467" spans="1:12" ht="16.05" customHeight="1">
      <c r="A467" s="45" t="s">
        <v>1016</v>
      </c>
      <c r="B467" s="45" t="s">
        <v>541</v>
      </c>
      <c r="C467" s="45" t="s">
        <v>540</v>
      </c>
      <c r="D467" s="45" t="s">
        <v>863</v>
      </c>
      <c r="E467" s="45" t="s">
        <v>863</v>
      </c>
      <c r="F467" s="45">
        <v>0</v>
      </c>
      <c r="G467" s="45" t="s">
        <v>692</v>
      </c>
      <c r="H467" s="45">
        <v>73</v>
      </c>
      <c r="I467" s="45" t="s">
        <v>545</v>
      </c>
      <c r="J467" s="148">
        <v>14.31</v>
      </c>
      <c r="K467" s="144">
        <v>0.95399999999999996</v>
      </c>
      <c r="L467" s="149"/>
    </row>
    <row r="468" spans="1:12" ht="16.05" customHeight="1">
      <c r="A468" s="45" t="s">
        <v>1017</v>
      </c>
      <c r="B468" s="45" t="s">
        <v>540</v>
      </c>
      <c r="C468" s="45" t="s">
        <v>540</v>
      </c>
      <c r="D468" s="45" t="s">
        <v>863</v>
      </c>
      <c r="E468" s="45" t="s">
        <v>863</v>
      </c>
      <c r="F468" s="45">
        <v>0</v>
      </c>
      <c r="G468" s="45" t="s">
        <v>692</v>
      </c>
      <c r="H468" s="45">
        <v>70</v>
      </c>
      <c r="I468" s="45" t="s">
        <v>545</v>
      </c>
      <c r="J468" s="148">
        <v>20.85</v>
      </c>
      <c r="K468" s="144">
        <v>1.39</v>
      </c>
      <c r="L468" s="149"/>
    </row>
    <row r="469" spans="1:12" ht="16.05" customHeight="1">
      <c r="A469" s="45" t="s">
        <v>1018</v>
      </c>
      <c r="B469" s="45" t="s">
        <v>541</v>
      </c>
      <c r="C469" s="45" t="s">
        <v>540</v>
      </c>
      <c r="D469" s="45" t="s">
        <v>863</v>
      </c>
      <c r="E469" s="45" t="s">
        <v>863</v>
      </c>
      <c r="F469" s="45">
        <v>0</v>
      </c>
      <c r="G469" s="45" t="s">
        <v>692</v>
      </c>
      <c r="H469" s="45">
        <v>61</v>
      </c>
      <c r="I469" s="45" t="s">
        <v>548</v>
      </c>
      <c r="J469" s="148">
        <v>18.600000000000001</v>
      </c>
      <c r="K469" s="144">
        <v>1.24</v>
      </c>
      <c r="L469" s="149"/>
    </row>
    <row r="470" spans="1:12" ht="16.05" customHeight="1">
      <c r="A470" s="45" t="s">
        <v>1019</v>
      </c>
      <c r="B470" s="45" t="s">
        <v>540</v>
      </c>
      <c r="C470" s="45" t="s">
        <v>540</v>
      </c>
      <c r="D470" s="45" t="s">
        <v>863</v>
      </c>
      <c r="E470" s="45" t="s">
        <v>863</v>
      </c>
      <c r="F470" s="45">
        <v>0</v>
      </c>
      <c r="G470" s="45" t="s">
        <v>692</v>
      </c>
      <c r="H470" s="45">
        <v>66</v>
      </c>
      <c r="I470" s="45" t="s">
        <v>548</v>
      </c>
      <c r="J470" s="148">
        <v>12.57</v>
      </c>
      <c r="K470" s="144">
        <v>0.83799999999999997</v>
      </c>
      <c r="L470" s="149"/>
    </row>
    <row r="471" spans="1:12" ht="16.05" customHeight="1">
      <c r="A471" s="45" t="s">
        <v>1020</v>
      </c>
      <c r="B471" s="45" t="s">
        <v>540</v>
      </c>
      <c r="C471" s="45" t="s">
        <v>540</v>
      </c>
      <c r="D471" s="45" t="s">
        <v>863</v>
      </c>
      <c r="E471" s="45" t="s">
        <v>863</v>
      </c>
      <c r="F471" s="45">
        <v>0</v>
      </c>
      <c r="G471" s="45" t="s">
        <v>692</v>
      </c>
      <c r="H471" s="45">
        <v>70</v>
      </c>
      <c r="I471" s="45" t="s">
        <v>548</v>
      </c>
      <c r="J471" s="148">
        <v>30</v>
      </c>
      <c r="K471" s="144">
        <v>2.2200000000000002</v>
      </c>
      <c r="L471" s="149"/>
    </row>
    <row r="472" spans="1:12" ht="16.05" customHeight="1">
      <c r="A472" s="45" t="s">
        <v>1021</v>
      </c>
      <c r="B472" s="45" t="s">
        <v>540</v>
      </c>
      <c r="C472" s="45" t="s">
        <v>540</v>
      </c>
      <c r="D472" s="45" t="s">
        <v>863</v>
      </c>
      <c r="E472" s="45" t="s">
        <v>863</v>
      </c>
      <c r="F472" s="45">
        <v>0</v>
      </c>
      <c r="G472" s="45" t="s">
        <v>692</v>
      </c>
      <c r="H472" s="45">
        <v>59</v>
      </c>
      <c r="I472" s="45" t="s">
        <v>548</v>
      </c>
      <c r="J472" s="148">
        <v>30</v>
      </c>
      <c r="K472" s="144">
        <v>2.98</v>
      </c>
      <c r="L472" s="149"/>
    </row>
    <row r="473" spans="1:12" ht="16.05" customHeight="1">
      <c r="A473" s="45" t="s">
        <v>1022</v>
      </c>
      <c r="B473" s="45" t="s">
        <v>540</v>
      </c>
      <c r="C473" s="45" t="s">
        <v>540</v>
      </c>
      <c r="D473" s="45" t="s">
        <v>863</v>
      </c>
      <c r="E473" s="45" t="s">
        <v>863</v>
      </c>
      <c r="F473" s="45">
        <v>0</v>
      </c>
      <c r="G473" s="45" t="s">
        <v>692</v>
      </c>
      <c r="H473" s="45">
        <v>68</v>
      </c>
      <c r="I473" s="45" t="s">
        <v>548</v>
      </c>
      <c r="J473" s="148">
        <v>18.600000000000001</v>
      </c>
      <c r="K473" s="144">
        <v>1.24</v>
      </c>
      <c r="L473" s="149"/>
    </row>
    <row r="474" spans="1:12" ht="16.05" customHeight="1">
      <c r="A474" s="45" t="s">
        <v>1023</v>
      </c>
      <c r="B474" s="45" t="s">
        <v>541</v>
      </c>
      <c r="C474" s="45" t="s">
        <v>540</v>
      </c>
      <c r="D474" s="45" t="s">
        <v>863</v>
      </c>
      <c r="E474" s="45" t="s">
        <v>863</v>
      </c>
      <c r="F474" s="45">
        <v>0</v>
      </c>
      <c r="G474" s="45" t="s">
        <v>692</v>
      </c>
      <c r="H474" s="45">
        <v>64</v>
      </c>
      <c r="I474" s="45" t="s">
        <v>548</v>
      </c>
      <c r="J474" s="148">
        <v>30</v>
      </c>
      <c r="K474" s="144">
        <v>2.2999999999999998</v>
      </c>
      <c r="L474" s="149"/>
    </row>
    <row r="475" spans="1:12" ht="16.05" customHeight="1">
      <c r="A475" s="45" t="s">
        <v>1024</v>
      </c>
      <c r="B475" s="45" t="s">
        <v>540</v>
      </c>
      <c r="C475" s="45" t="s">
        <v>540</v>
      </c>
      <c r="D475" s="45" t="s">
        <v>863</v>
      </c>
      <c r="E475" s="45" t="s">
        <v>863</v>
      </c>
      <c r="F475" s="45">
        <v>0</v>
      </c>
      <c r="G475" s="45" t="s">
        <v>692</v>
      </c>
      <c r="H475" s="45">
        <v>66</v>
      </c>
      <c r="I475" s="45" t="s">
        <v>548</v>
      </c>
      <c r="J475" s="148">
        <v>25.05</v>
      </c>
      <c r="K475" s="144">
        <v>1.67</v>
      </c>
      <c r="L475" s="149"/>
    </row>
    <row r="476" spans="1:12" ht="16.05" customHeight="1">
      <c r="A476" s="45" t="s">
        <v>1025</v>
      </c>
      <c r="B476" s="45" t="s">
        <v>540</v>
      </c>
      <c r="C476" s="45" t="s">
        <v>540</v>
      </c>
      <c r="D476" s="45" t="s">
        <v>863</v>
      </c>
      <c r="E476" s="45" t="s">
        <v>863</v>
      </c>
      <c r="F476" s="45">
        <v>0</v>
      </c>
      <c r="G476" s="45" t="s">
        <v>692</v>
      </c>
      <c r="H476" s="45">
        <v>69</v>
      </c>
      <c r="I476" s="45" t="s">
        <v>548</v>
      </c>
      <c r="J476" s="148">
        <v>12.12</v>
      </c>
      <c r="K476" s="144">
        <v>0.80800000000000005</v>
      </c>
      <c r="L476" s="149"/>
    </row>
    <row r="477" spans="1:12" ht="16.05" customHeight="1">
      <c r="A477" s="45" t="s">
        <v>1026</v>
      </c>
      <c r="B477" s="45" t="s">
        <v>540</v>
      </c>
      <c r="C477" s="45" t="s">
        <v>540</v>
      </c>
      <c r="D477" s="45" t="s">
        <v>863</v>
      </c>
      <c r="E477" s="45" t="s">
        <v>863</v>
      </c>
      <c r="F477" s="45">
        <v>0</v>
      </c>
      <c r="G477" s="45" t="s">
        <v>692</v>
      </c>
      <c r="H477" s="45">
        <v>60</v>
      </c>
      <c r="I477" s="45" t="s">
        <v>548</v>
      </c>
      <c r="J477" s="148">
        <v>14.55</v>
      </c>
      <c r="K477" s="144">
        <v>0.97</v>
      </c>
      <c r="L477" s="149"/>
    </row>
    <row r="478" spans="1:12" ht="16.05" customHeight="1">
      <c r="A478" s="45" t="s">
        <v>1027</v>
      </c>
      <c r="B478" s="45" t="s">
        <v>540</v>
      </c>
      <c r="C478" s="45" t="s">
        <v>540</v>
      </c>
      <c r="D478" s="45" t="s">
        <v>863</v>
      </c>
      <c r="E478" s="45" t="s">
        <v>863</v>
      </c>
      <c r="F478" s="45">
        <v>0</v>
      </c>
      <c r="G478" s="45" t="s">
        <v>692</v>
      </c>
      <c r="H478" s="45">
        <v>55</v>
      </c>
      <c r="I478" s="45" t="s">
        <v>548</v>
      </c>
      <c r="J478" s="148">
        <v>22.65</v>
      </c>
      <c r="K478" s="144">
        <v>1.51</v>
      </c>
      <c r="L478" s="149"/>
    </row>
    <row r="479" spans="1:12" ht="16.05" customHeight="1">
      <c r="A479" s="45" t="s">
        <v>1028</v>
      </c>
      <c r="B479" s="45" t="s">
        <v>540</v>
      </c>
      <c r="C479" s="45" t="s">
        <v>540</v>
      </c>
      <c r="D479" s="45" t="s">
        <v>863</v>
      </c>
      <c r="E479" s="45" t="s">
        <v>863</v>
      </c>
      <c r="F479" s="45">
        <v>0</v>
      </c>
      <c r="G479" s="45" t="s">
        <v>692</v>
      </c>
      <c r="H479" s="45">
        <v>62</v>
      </c>
      <c r="I479" s="45" t="s">
        <v>545</v>
      </c>
      <c r="J479" s="148">
        <v>12.03</v>
      </c>
      <c r="K479" s="144">
        <v>0.80200000000000005</v>
      </c>
      <c r="L479" s="149"/>
    </row>
    <row r="480" spans="1:12" ht="16.05" customHeight="1">
      <c r="A480" s="45" t="s">
        <v>1029</v>
      </c>
      <c r="B480" s="45" t="s">
        <v>540</v>
      </c>
      <c r="C480" s="45" t="s">
        <v>540</v>
      </c>
      <c r="D480" s="45" t="s">
        <v>863</v>
      </c>
      <c r="E480" s="45" t="s">
        <v>863</v>
      </c>
      <c r="F480" s="45">
        <v>0</v>
      </c>
      <c r="G480" s="45" t="s">
        <v>692</v>
      </c>
      <c r="H480" s="45">
        <v>65</v>
      </c>
      <c r="I480" s="45" t="s">
        <v>545</v>
      </c>
      <c r="J480" s="148">
        <v>14.55</v>
      </c>
      <c r="K480" s="144">
        <v>0.97</v>
      </c>
      <c r="L480" s="149"/>
    </row>
    <row r="481" spans="1:12" ht="16.05" customHeight="1">
      <c r="A481" s="45" t="s">
        <v>1030</v>
      </c>
      <c r="B481" s="45" t="s">
        <v>540</v>
      </c>
      <c r="C481" s="45" t="s">
        <v>540</v>
      </c>
      <c r="D481" s="45" t="s">
        <v>863</v>
      </c>
      <c r="E481" s="45" t="s">
        <v>863</v>
      </c>
      <c r="F481" s="45">
        <v>0</v>
      </c>
      <c r="G481" s="45" t="s">
        <v>692</v>
      </c>
      <c r="H481" s="45">
        <v>51</v>
      </c>
      <c r="I481" s="45" t="s">
        <v>548</v>
      </c>
      <c r="J481" s="148">
        <v>12.51</v>
      </c>
      <c r="K481" s="144">
        <v>0.83399999999999996</v>
      </c>
      <c r="L481" s="149"/>
    </row>
    <row r="482" spans="1:12" ht="16.05" customHeight="1">
      <c r="A482" s="45" t="s">
        <v>1031</v>
      </c>
      <c r="B482" s="45" t="s">
        <v>540</v>
      </c>
      <c r="C482" s="45" t="s">
        <v>540</v>
      </c>
      <c r="D482" s="45" t="s">
        <v>863</v>
      </c>
      <c r="E482" s="45" t="s">
        <v>863</v>
      </c>
      <c r="F482" s="45">
        <v>0</v>
      </c>
      <c r="G482" s="45" t="s">
        <v>692</v>
      </c>
      <c r="H482" s="45">
        <v>52</v>
      </c>
      <c r="I482" s="45" t="s">
        <v>548</v>
      </c>
      <c r="J482" s="148">
        <v>14.79</v>
      </c>
      <c r="K482" s="144">
        <v>0.98599999999999999</v>
      </c>
      <c r="L482" s="149"/>
    </row>
    <row r="483" spans="1:12" ht="16.05" customHeight="1">
      <c r="A483" s="45" t="s">
        <v>1032</v>
      </c>
      <c r="B483" s="45" t="s">
        <v>540</v>
      </c>
      <c r="C483" s="45" t="s">
        <v>540</v>
      </c>
      <c r="D483" s="45" t="s">
        <v>863</v>
      </c>
      <c r="E483" s="45" t="s">
        <v>863</v>
      </c>
      <c r="F483" s="45">
        <v>0</v>
      </c>
      <c r="G483" s="45" t="s">
        <v>692</v>
      </c>
      <c r="H483" s="45">
        <v>52</v>
      </c>
      <c r="I483" s="45" t="s">
        <v>548</v>
      </c>
      <c r="J483" s="148">
        <v>15.75</v>
      </c>
      <c r="K483" s="144">
        <v>1.05</v>
      </c>
      <c r="L483" s="149"/>
    </row>
    <row r="484" spans="1:12" ht="16.05" customHeight="1">
      <c r="A484" s="45" t="s">
        <v>1033</v>
      </c>
      <c r="B484" s="45" t="s">
        <v>540</v>
      </c>
      <c r="C484" s="45" t="s">
        <v>540</v>
      </c>
      <c r="D484" s="45" t="s">
        <v>863</v>
      </c>
      <c r="E484" s="45" t="s">
        <v>863</v>
      </c>
      <c r="F484" s="45">
        <v>0</v>
      </c>
      <c r="G484" s="45" t="s">
        <v>692</v>
      </c>
      <c r="H484" s="45">
        <v>50</v>
      </c>
      <c r="I484" s="45" t="s">
        <v>545</v>
      </c>
      <c r="J484" s="148">
        <v>14.19</v>
      </c>
      <c r="K484" s="144">
        <v>0.94599999999999995</v>
      </c>
      <c r="L484" s="149"/>
    </row>
    <row r="485" spans="1:12" ht="16.05" customHeight="1">
      <c r="A485" s="45" t="s">
        <v>1034</v>
      </c>
      <c r="B485" s="45" t="s">
        <v>540</v>
      </c>
      <c r="C485" s="45" t="s">
        <v>540</v>
      </c>
      <c r="D485" s="45" t="s">
        <v>863</v>
      </c>
      <c r="E485" s="45" t="s">
        <v>863</v>
      </c>
      <c r="F485" s="45">
        <v>0</v>
      </c>
      <c r="G485" s="45" t="s">
        <v>692</v>
      </c>
      <c r="H485" s="45">
        <v>66</v>
      </c>
      <c r="I485" s="45" t="s">
        <v>548</v>
      </c>
      <c r="J485" s="148">
        <v>16.8</v>
      </c>
      <c r="K485" s="144">
        <v>1.1200000000000001</v>
      </c>
      <c r="L485" s="149"/>
    </row>
    <row r="486" spans="1:12" ht="16.05" customHeight="1">
      <c r="A486" s="45" t="s">
        <v>1035</v>
      </c>
      <c r="B486" s="45" t="s">
        <v>540</v>
      </c>
      <c r="C486" s="45" t="s">
        <v>540</v>
      </c>
      <c r="D486" s="45" t="s">
        <v>863</v>
      </c>
      <c r="E486" s="45" t="s">
        <v>863</v>
      </c>
      <c r="F486" s="45">
        <v>0</v>
      </c>
      <c r="G486" s="45" t="s">
        <v>692</v>
      </c>
      <c r="H486" s="45">
        <v>47</v>
      </c>
      <c r="I486" s="45" t="s">
        <v>548</v>
      </c>
      <c r="J486" s="148">
        <v>11.79</v>
      </c>
      <c r="K486" s="144">
        <v>0.78600000000000003</v>
      </c>
      <c r="L486" s="149"/>
    </row>
    <row r="487" spans="1:12" ht="16.05" customHeight="1">
      <c r="A487" s="45" t="s">
        <v>1036</v>
      </c>
      <c r="B487" s="45" t="s">
        <v>540</v>
      </c>
      <c r="C487" s="45" t="s">
        <v>540</v>
      </c>
      <c r="D487" s="45" t="s">
        <v>863</v>
      </c>
      <c r="E487" s="45" t="s">
        <v>863</v>
      </c>
      <c r="F487" s="45">
        <v>0</v>
      </c>
      <c r="G487" s="45" t="s">
        <v>692</v>
      </c>
      <c r="H487" s="45">
        <v>49</v>
      </c>
      <c r="I487" s="45" t="s">
        <v>548</v>
      </c>
      <c r="J487" s="148">
        <v>30</v>
      </c>
      <c r="K487" s="144">
        <v>1.48</v>
      </c>
      <c r="L487" s="149"/>
    </row>
    <row r="488" spans="1:12" ht="16.05" customHeight="1">
      <c r="A488" s="45" t="s">
        <v>1037</v>
      </c>
      <c r="B488" s="45" t="s">
        <v>540</v>
      </c>
      <c r="C488" s="45" t="s">
        <v>540</v>
      </c>
      <c r="D488" s="45" t="s">
        <v>863</v>
      </c>
      <c r="E488" s="45" t="s">
        <v>863</v>
      </c>
      <c r="F488" s="45">
        <v>0</v>
      </c>
      <c r="G488" s="45" t="s">
        <v>692</v>
      </c>
      <c r="H488" s="45">
        <v>51</v>
      </c>
      <c r="I488" s="45" t="s">
        <v>548</v>
      </c>
      <c r="J488" s="148">
        <v>30</v>
      </c>
      <c r="K488" s="144">
        <v>1.34</v>
      </c>
      <c r="L488" s="149"/>
    </row>
    <row r="489" spans="1:12" ht="16.05" customHeight="1">
      <c r="A489" s="45" t="s">
        <v>1038</v>
      </c>
      <c r="B489" s="45" t="s">
        <v>540</v>
      </c>
      <c r="C489" s="45" t="s">
        <v>540</v>
      </c>
      <c r="D489" s="45" t="s">
        <v>863</v>
      </c>
      <c r="E489" s="45" t="s">
        <v>863</v>
      </c>
      <c r="F489" s="45">
        <v>0</v>
      </c>
      <c r="G489" s="45" t="s">
        <v>692</v>
      </c>
      <c r="H489" s="45">
        <v>50</v>
      </c>
      <c r="I489" s="45" t="s">
        <v>548</v>
      </c>
      <c r="J489" s="148">
        <v>20</v>
      </c>
      <c r="K489" s="144">
        <v>1.36</v>
      </c>
      <c r="L489" s="149"/>
    </row>
    <row r="490" spans="1:12" ht="16.05" customHeight="1">
      <c r="A490" s="45" t="s">
        <v>1039</v>
      </c>
      <c r="B490" s="45" t="s">
        <v>540</v>
      </c>
      <c r="C490" s="45" t="s">
        <v>540</v>
      </c>
      <c r="D490" s="45" t="s">
        <v>863</v>
      </c>
      <c r="E490" s="45" t="s">
        <v>863</v>
      </c>
      <c r="F490" s="45">
        <v>0</v>
      </c>
      <c r="G490" s="45" t="s">
        <v>692</v>
      </c>
      <c r="H490" s="45">
        <v>49</v>
      </c>
      <c r="I490" s="45" t="s">
        <v>548</v>
      </c>
      <c r="J490" s="148">
        <v>18</v>
      </c>
      <c r="K490" s="144">
        <v>1.22</v>
      </c>
      <c r="L490" s="149"/>
    </row>
    <row r="491" spans="1:12" ht="16.05" customHeight="1">
      <c r="A491" s="45" t="s">
        <v>1040</v>
      </c>
      <c r="B491" s="45" t="s">
        <v>540</v>
      </c>
      <c r="C491" s="45" t="s">
        <v>540</v>
      </c>
      <c r="D491" s="45" t="s">
        <v>863</v>
      </c>
      <c r="E491" s="45" t="s">
        <v>863</v>
      </c>
      <c r="F491" s="45">
        <v>0</v>
      </c>
      <c r="G491" s="45" t="s">
        <v>692</v>
      </c>
      <c r="H491" s="45">
        <v>42</v>
      </c>
      <c r="I491" s="45" t="s">
        <v>548</v>
      </c>
      <c r="J491" s="148">
        <v>11.85</v>
      </c>
      <c r="K491" s="144">
        <v>0.79</v>
      </c>
      <c r="L491" s="149"/>
    </row>
    <row r="492" spans="1:12" ht="16.05" customHeight="1">
      <c r="A492" s="45" t="s">
        <v>1041</v>
      </c>
      <c r="B492" s="45" t="s">
        <v>540</v>
      </c>
      <c r="C492" s="45" t="s">
        <v>540</v>
      </c>
      <c r="D492" s="45" t="s">
        <v>863</v>
      </c>
      <c r="E492" s="45" t="s">
        <v>863</v>
      </c>
      <c r="F492" s="45">
        <v>0</v>
      </c>
      <c r="G492" s="45" t="s">
        <v>692</v>
      </c>
      <c r="H492" s="45">
        <v>44</v>
      </c>
      <c r="I492" s="45" t="s">
        <v>548</v>
      </c>
      <c r="J492" s="148">
        <v>14</v>
      </c>
      <c r="K492" s="144">
        <v>0.94199999999999995</v>
      </c>
      <c r="L492" s="149"/>
    </row>
    <row r="493" spans="1:12" ht="16.05" customHeight="1">
      <c r="A493" s="45" t="s">
        <v>1042</v>
      </c>
      <c r="B493" s="45" t="s">
        <v>540</v>
      </c>
      <c r="C493" s="45" t="s">
        <v>540</v>
      </c>
      <c r="D493" s="45" t="s">
        <v>863</v>
      </c>
      <c r="E493" s="45" t="s">
        <v>863</v>
      </c>
      <c r="F493" s="45">
        <v>0</v>
      </c>
      <c r="G493" s="45" t="s">
        <v>692</v>
      </c>
      <c r="H493" s="45">
        <v>50</v>
      </c>
      <c r="I493" s="45" t="s">
        <v>548</v>
      </c>
      <c r="J493" s="148">
        <v>25</v>
      </c>
      <c r="K493" s="144">
        <v>1.66</v>
      </c>
      <c r="L493" s="149"/>
    </row>
    <row r="494" spans="1:12" ht="16.05" customHeight="1">
      <c r="A494" s="45" t="s">
        <v>1043</v>
      </c>
      <c r="B494" s="45" t="s">
        <v>540</v>
      </c>
      <c r="C494" s="45" t="s">
        <v>540</v>
      </c>
      <c r="D494" s="45" t="s">
        <v>863</v>
      </c>
      <c r="E494" s="45" t="s">
        <v>863</v>
      </c>
      <c r="F494" s="45">
        <v>0</v>
      </c>
      <c r="G494" s="45" t="s">
        <v>692</v>
      </c>
      <c r="H494" s="45">
        <v>50</v>
      </c>
      <c r="I494" s="45" t="s">
        <v>545</v>
      </c>
      <c r="J494" s="148">
        <v>17</v>
      </c>
      <c r="K494" s="144">
        <v>1.1399999999999999</v>
      </c>
      <c r="L494" s="149"/>
    </row>
    <row r="495" spans="1:12" ht="16.05" customHeight="1">
      <c r="A495" s="45" t="s">
        <v>1044</v>
      </c>
      <c r="B495" s="45" t="s">
        <v>540</v>
      </c>
      <c r="C495" s="45" t="s">
        <v>540</v>
      </c>
      <c r="D495" s="45" t="s">
        <v>863</v>
      </c>
      <c r="E495" s="45" t="s">
        <v>863</v>
      </c>
      <c r="F495" s="45">
        <v>0</v>
      </c>
      <c r="G495" s="45" t="s">
        <v>692</v>
      </c>
      <c r="H495" s="45">
        <v>53</v>
      </c>
      <c r="I495" s="45" t="s">
        <v>545</v>
      </c>
      <c r="J495" s="148">
        <v>17.399999999999999</v>
      </c>
      <c r="K495" s="144">
        <v>1.1599999999999999</v>
      </c>
      <c r="L495" s="149"/>
    </row>
    <row r="496" spans="1:12" ht="16.05" customHeight="1">
      <c r="A496" s="45" t="s">
        <v>1045</v>
      </c>
      <c r="B496" s="45" t="s">
        <v>540</v>
      </c>
      <c r="C496" s="45" t="s">
        <v>540</v>
      </c>
      <c r="D496" s="45" t="s">
        <v>863</v>
      </c>
      <c r="E496" s="45" t="s">
        <v>863</v>
      </c>
      <c r="F496" s="45">
        <v>0</v>
      </c>
      <c r="G496" s="45" t="s">
        <v>692</v>
      </c>
      <c r="H496" s="45">
        <v>45</v>
      </c>
      <c r="I496" s="45" t="s">
        <v>545</v>
      </c>
      <c r="J496" s="148">
        <v>14</v>
      </c>
      <c r="K496" s="144">
        <v>0.95799999999999996</v>
      </c>
      <c r="L496" s="149"/>
    </row>
    <row r="497" spans="1:12" ht="16.05" customHeight="1">
      <c r="A497" s="45" t="s">
        <v>1046</v>
      </c>
      <c r="B497" s="45" t="s">
        <v>540</v>
      </c>
      <c r="C497" s="45" t="s">
        <v>540</v>
      </c>
      <c r="D497" s="45" t="s">
        <v>863</v>
      </c>
      <c r="E497" s="45" t="s">
        <v>863</v>
      </c>
      <c r="F497" s="45">
        <v>0</v>
      </c>
      <c r="G497" s="45" t="s">
        <v>692</v>
      </c>
      <c r="H497" s="45">
        <v>50</v>
      </c>
      <c r="I497" s="45" t="s">
        <v>545</v>
      </c>
      <c r="J497" s="148">
        <v>16.8</v>
      </c>
      <c r="K497" s="144">
        <v>1.1200000000000001</v>
      </c>
      <c r="L497" s="149"/>
    </row>
    <row r="498" spans="1:12" ht="16.05" customHeight="1">
      <c r="A498" s="45" t="s">
        <v>1047</v>
      </c>
      <c r="B498" s="45" t="s">
        <v>540</v>
      </c>
      <c r="C498" s="45" t="s">
        <v>540</v>
      </c>
      <c r="D498" s="45" t="s">
        <v>863</v>
      </c>
      <c r="E498" s="45" t="s">
        <v>863</v>
      </c>
      <c r="F498" s="45">
        <v>0</v>
      </c>
      <c r="G498" s="45" t="s">
        <v>692</v>
      </c>
      <c r="H498" s="45">
        <v>55</v>
      </c>
      <c r="I498" s="45" t="s">
        <v>545</v>
      </c>
      <c r="J498" s="148">
        <v>24</v>
      </c>
      <c r="K498" s="144">
        <v>1.57</v>
      </c>
      <c r="L498" s="149"/>
    </row>
    <row r="499" spans="1:12" ht="16.05" customHeight="1">
      <c r="A499" s="45" t="s">
        <v>1048</v>
      </c>
      <c r="B499" s="45" t="s">
        <v>540</v>
      </c>
      <c r="C499" s="45" t="s">
        <v>540</v>
      </c>
      <c r="D499" s="45" t="s">
        <v>863</v>
      </c>
      <c r="E499" s="45" t="s">
        <v>863</v>
      </c>
      <c r="F499" s="45">
        <v>0</v>
      </c>
      <c r="G499" s="45" t="s">
        <v>692</v>
      </c>
      <c r="H499" s="45">
        <v>43</v>
      </c>
      <c r="I499" s="45" t="s">
        <v>545</v>
      </c>
      <c r="J499" s="148">
        <v>10</v>
      </c>
      <c r="K499" s="144">
        <v>0.67</v>
      </c>
      <c r="L499" s="149"/>
    </row>
    <row r="500" spans="1:12" ht="16.05" customHeight="1">
      <c r="A500" s="45" t="s">
        <v>1049</v>
      </c>
      <c r="B500" s="45" t="s">
        <v>540</v>
      </c>
      <c r="C500" s="45" t="s">
        <v>540</v>
      </c>
      <c r="D500" s="45" t="s">
        <v>863</v>
      </c>
      <c r="E500" s="45" t="s">
        <v>863</v>
      </c>
      <c r="F500" s="45">
        <v>0</v>
      </c>
      <c r="G500" s="45" t="s">
        <v>692</v>
      </c>
      <c r="H500" s="45">
        <v>48</v>
      </c>
      <c r="I500" s="45" t="s">
        <v>545</v>
      </c>
      <c r="J500" s="148">
        <v>10</v>
      </c>
      <c r="K500" s="144">
        <v>0.66600000000000004</v>
      </c>
      <c r="L500" s="149"/>
    </row>
    <row r="501" spans="1:12" ht="16.05" customHeight="1">
      <c r="A501" s="45" t="s">
        <v>1050</v>
      </c>
      <c r="B501" s="45" t="s">
        <v>540</v>
      </c>
      <c r="C501" s="45" t="s">
        <v>540</v>
      </c>
      <c r="D501" s="45" t="s">
        <v>863</v>
      </c>
      <c r="E501" s="45" t="s">
        <v>863</v>
      </c>
      <c r="F501" s="45">
        <v>0</v>
      </c>
      <c r="G501" s="45" t="s">
        <v>692</v>
      </c>
      <c r="H501" s="45">
        <v>52</v>
      </c>
      <c r="I501" s="45" t="s">
        <v>548</v>
      </c>
      <c r="J501" s="148">
        <v>17</v>
      </c>
      <c r="K501" s="144">
        <v>1.1399999999999999</v>
      </c>
      <c r="L501" s="149"/>
    </row>
    <row r="502" spans="1:12" ht="16.05" customHeight="1">
      <c r="A502" s="45" t="s">
        <v>1051</v>
      </c>
      <c r="B502" s="45" t="s">
        <v>540</v>
      </c>
      <c r="C502" s="45" t="s">
        <v>540</v>
      </c>
      <c r="D502" s="45" t="s">
        <v>863</v>
      </c>
      <c r="E502" s="45" t="s">
        <v>863</v>
      </c>
      <c r="F502" s="45">
        <v>0</v>
      </c>
      <c r="G502" s="45" t="s">
        <v>692</v>
      </c>
      <c r="H502" s="45">
        <v>47</v>
      </c>
      <c r="I502" s="45" t="s">
        <v>545</v>
      </c>
      <c r="J502" s="148">
        <v>18</v>
      </c>
      <c r="K502" s="144">
        <v>1.22</v>
      </c>
      <c r="L502" s="149"/>
    </row>
    <row r="503" spans="1:12" ht="16.05" customHeight="1">
      <c r="A503" s="45" t="s">
        <v>1052</v>
      </c>
      <c r="B503" s="45" t="s">
        <v>540</v>
      </c>
      <c r="C503" s="45" t="s">
        <v>540</v>
      </c>
      <c r="D503" s="45" t="s">
        <v>863</v>
      </c>
      <c r="E503" s="45" t="s">
        <v>863</v>
      </c>
      <c r="F503" s="45">
        <v>0</v>
      </c>
      <c r="G503" s="45" t="s">
        <v>692</v>
      </c>
      <c r="H503" s="45">
        <v>47</v>
      </c>
      <c r="I503" s="45" t="s">
        <v>545</v>
      </c>
      <c r="J503" s="148">
        <v>17</v>
      </c>
      <c r="K503" s="144">
        <v>1.1499999999999999</v>
      </c>
      <c r="L503" s="149"/>
    </row>
    <row r="504" spans="1:12" ht="16.05" customHeight="1">
      <c r="A504" s="45" t="s">
        <v>1053</v>
      </c>
      <c r="B504" s="45" t="s">
        <v>540</v>
      </c>
      <c r="C504" s="45" t="s">
        <v>540</v>
      </c>
      <c r="D504" s="45" t="s">
        <v>863</v>
      </c>
      <c r="E504" s="45" t="s">
        <v>863</v>
      </c>
      <c r="F504" s="45">
        <v>0</v>
      </c>
      <c r="G504" s="45" t="s">
        <v>692</v>
      </c>
      <c r="H504" s="45">
        <v>49</v>
      </c>
      <c r="I504" s="45" t="s">
        <v>545</v>
      </c>
      <c r="J504" s="148">
        <v>18</v>
      </c>
      <c r="K504" s="144">
        <v>1.22</v>
      </c>
      <c r="L504" s="149"/>
    </row>
    <row r="505" spans="1:12" ht="16.05" customHeight="1">
      <c r="A505" s="45" t="s">
        <v>1054</v>
      </c>
      <c r="B505" s="45" t="s">
        <v>540</v>
      </c>
      <c r="C505" s="45" t="s">
        <v>540</v>
      </c>
      <c r="D505" s="45" t="s">
        <v>863</v>
      </c>
      <c r="E505" s="45" t="s">
        <v>863</v>
      </c>
      <c r="F505" s="45">
        <v>0</v>
      </c>
      <c r="G505" s="45" t="s">
        <v>692</v>
      </c>
      <c r="H505" s="45">
        <v>42</v>
      </c>
      <c r="I505" s="45" t="s">
        <v>545</v>
      </c>
      <c r="J505" s="148">
        <v>18</v>
      </c>
      <c r="K505" s="144">
        <v>1.2</v>
      </c>
      <c r="L505" s="149"/>
    </row>
    <row r="506" spans="1:12" ht="16.05" customHeight="1">
      <c r="A506" s="45" t="s">
        <v>1055</v>
      </c>
      <c r="B506" s="45" t="s">
        <v>540</v>
      </c>
      <c r="C506" s="45" t="s">
        <v>540</v>
      </c>
      <c r="D506" s="45" t="s">
        <v>863</v>
      </c>
      <c r="E506" s="45" t="s">
        <v>863</v>
      </c>
      <c r="F506" s="45">
        <v>0</v>
      </c>
      <c r="G506" s="45" t="s">
        <v>692</v>
      </c>
      <c r="H506" s="45">
        <v>41</v>
      </c>
      <c r="I506" s="45" t="s">
        <v>545</v>
      </c>
      <c r="J506" s="148">
        <v>12.87</v>
      </c>
      <c r="K506" s="144">
        <v>0.85799999999999998</v>
      </c>
      <c r="L506" s="149"/>
    </row>
    <row r="507" spans="1:12" ht="16.05" customHeight="1">
      <c r="A507" s="45" t="s">
        <v>1056</v>
      </c>
      <c r="B507" s="45" t="s">
        <v>540</v>
      </c>
      <c r="C507" s="45" t="s">
        <v>540</v>
      </c>
      <c r="D507" s="45" t="s">
        <v>863</v>
      </c>
      <c r="E507" s="45" t="s">
        <v>863</v>
      </c>
      <c r="F507" s="45">
        <v>0</v>
      </c>
      <c r="G507" s="45" t="s">
        <v>692</v>
      </c>
      <c r="H507" s="45">
        <v>42</v>
      </c>
      <c r="I507" s="45" t="s">
        <v>545</v>
      </c>
      <c r="J507" s="148">
        <v>12</v>
      </c>
      <c r="K507" s="144">
        <v>0.79</v>
      </c>
      <c r="L507" s="149"/>
    </row>
    <row r="508" spans="1:12" ht="16.05" customHeight="1">
      <c r="A508" s="45" t="s">
        <v>1057</v>
      </c>
      <c r="B508" s="45" t="s">
        <v>540</v>
      </c>
      <c r="C508" s="45" t="s">
        <v>540</v>
      </c>
      <c r="D508" s="45" t="s">
        <v>863</v>
      </c>
      <c r="E508" s="45" t="s">
        <v>863</v>
      </c>
      <c r="F508" s="45">
        <v>0</v>
      </c>
      <c r="G508" s="45" t="s">
        <v>692</v>
      </c>
      <c r="H508" s="45">
        <v>41</v>
      </c>
      <c r="I508" s="45" t="s">
        <v>545</v>
      </c>
      <c r="J508" s="148">
        <v>24.6</v>
      </c>
      <c r="K508" s="144">
        <v>1.64</v>
      </c>
      <c r="L508" s="149"/>
    </row>
    <row r="509" spans="1:12" ht="16.05" customHeight="1">
      <c r="A509" s="45" t="s">
        <v>1058</v>
      </c>
      <c r="B509" s="45" t="s">
        <v>540</v>
      </c>
      <c r="C509" s="45" t="s">
        <v>540</v>
      </c>
      <c r="D509" s="45" t="s">
        <v>863</v>
      </c>
      <c r="E509" s="45" t="s">
        <v>863</v>
      </c>
      <c r="F509" s="45">
        <v>0</v>
      </c>
      <c r="G509" s="45" t="s">
        <v>692</v>
      </c>
      <c r="H509" s="45">
        <v>45</v>
      </c>
      <c r="I509" s="45" t="s">
        <v>545</v>
      </c>
      <c r="J509" s="148">
        <v>14</v>
      </c>
      <c r="K509" s="144">
        <v>0.95799999999999996</v>
      </c>
      <c r="L509" s="149"/>
    </row>
    <row r="510" spans="1:12" ht="16.05" customHeight="1">
      <c r="A510" s="45" t="s">
        <v>1059</v>
      </c>
      <c r="B510" s="45" t="s">
        <v>540</v>
      </c>
      <c r="C510" s="45" t="s">
        <v>540</v>
      </c>
      <c r="D510" s="45" t="s">
        <v>863</v>
      </c>
      <c r="E510" s="45" t="s">
        <v>863</v>
      </c>
      <c r="F510" s="45">
        <v>0</v>
      </c>
      <c r="G510" s="45" t="s">
        <v>692</v>
      </c>
      <c r="H510" s="45">
        <v>48</v>
      </c>
      <c r="I510" s="45" t="s">
        <v>545</v>
      </c>
      <c r="J510" s="148">
        <v>16</v>
      </c>
      <c r="K510" s="144">
        <v>1.08</v>
      </c>
      <c r="L510" s="149"/>
    </row>
    <row r="511" spans="1:12" ht="16.05" customHeight="1">
      <c r="A511" s="45" t="s">
        <v>1060</v>
      </c>
      <c r="B511" s="45" t="s">
        <v>540</v>
      </c>
      <c r="C511" s="45" t="s">
        <v>540</v>
      </c>
      <c r="D511" s="45" t="s">
        <v>863</v>
      </c>
      <c r="E511" s="45" t="s">
        <v>863</v>
      </c>
      <c r="F511" s="45">
        <v>0</v>
      </c>
      <c r="G511" s="45" t="s">
        <v>692</v>
      </c>
      <c r="H511" s="45">
        <v>41</v>
      </c>
      <c r="I511" s="45" t="s">
        <v>545</v>
      </c>
      <c r="J511" s="148">
        <v>11</v>
      </c>
      <c r="K511" s="144">
        <v>0.746</v>
      </c>
      <c r="L511" s="149"/>
    </row>
    <row r="512" spans="1:12" ht="16.05" customHeight="1">
      <c r="A512" s="45" t="s">
        <v>1061</v>
      </c>
      <c r="B512" s="45" t="s">
        <v>540</v>
      </c>
      <c r="C512" s="45" t="s">
        <v>540</v>
      </c>
      <c r="D512" s="45" t="s">
        <v>863</v>
      </c>
      <c r="E512" s="45" t="s">
        <v>863</v>
      </c>
      <c r="F512" s="45">
        <v>0</v>
      </c>
      <c r="G512" s="45" t="s">
        <v>692</v>
      </c>
      <c r="H512" s="45">
        <v>56</v>
      </c>
      <c r="I512" s="45" t="s">
        <v>545</v>
      </c>
      <c r="J512" s="148">
        <v>27</v>
      </c>
      <c r="K512" s="144">
        <v>1.78</v>
      </c>
      <c r="L512" s="149"/>
    </row>
    <row r="513" spans="1:12" ht="16.05" customHeight="1">
      <c r="A513" s="45" t="s">
        <v>1062</v>
      </c>
      <c r="B513" s="45" t="s">
        <v>540</v>
      </c>
      <c r="C513" s="45" t="s">
        <v>540</v>
      </c>
      <c r="D513" s="45" t="s">
        <v>863</v>
      </c>
      <c r="E513" s="45" t="s">
        <v>863</v>
      </c>
      <c r="F513" s="45">
        <v>0</v>
      </c>
      <c r="G513" s="45" t="s">
        <v>692</v>
      </c>
      <c r="H513" s="45">
        <v>45</v>
      </c>
      <c r="I513" s="45" t="s">
        <v>545</v>
      </c>
      <c r="J513" s="148">
        <v>11</v>
      </c>
      <c r="K513" s="144">
        <v>0.72799999999999998</v>
      </c>
      <c r="L513" s="149"/>
    </row>
    <row r="514" spans="1:12" ht="16.05" customHeight="1">
      <c r="A514" s="45" t="s">
        <v>1063</v>
      </c>
      <c r="B514" s="45" t="s">
        <v>540</v>
      </c>
      <c r="C514" s="45" t="s">
        <v>540</v>
      </c>
      <c r="D514" s="45" t="s">
        <v>863</v>
      </c>
      <c r="E514" s="45" t="s">
        <v>863</v>
      </c>
      <c r="F514" s="45">
        <v>0</v>
      </c>
      <c r="G514" s="45" t="s">
        <v>692</v>
      </c>
      <c r="H514" s="45">
        <v>46</v>
      </c>
      <c r="I514" s="45" t="s">
        <v>545</v>
      </c>
      <c r="J514" s="148">
        <v>13</v>
      </c>
      <c r="K514" s="144">
        <v>0.871</v>
      </c>
      <c r="L514" s="149"/>
    </row>
    <row r="515" spans="1:12" ht="16.05" customHeight="1">
      <c r="A515" s="45" t="s">
        <v>1064</v>
      </c>
      <c r="B515" s="45" t="s">
        <v>540</v>
      </c>
      <c r="C515" s="45" t="s">
        <v>540</v>
      </c>
      <c r="D515" s="45" t="s">
        <v>863</v>
      </c>
      <c r="E515" s="45" t="s">
        <v>863</v>
      </c>
      <c r="F515" s="45">
        <v>0</v>
      </c>
      <c r="G515" s="45" t="s">
        <v>692</v>
      </c>
      <c r="H515" s="45">
        <v>42</v>
      </c>
      <c r="I515" s="45" t="s">
        <v>545</v>
      </c>
      <c r="J515" s="148">
        <v>12</v>
      </c>
      <c r="K515" s="144">
        <v>0.77600000000000002</v>
      </c>
      <c r="L515" s="149"/>
    </row>
    <row r="516" spans="1:12" ht="16.05" customHeight="1">
      <c r="A516" s="45" t="s">
        <v>1065</v>
      </c>
      <c r="B516" s="45" t="s">
        <v>540</v>
      </c>
      <c r="C516" s="45" t="s">
        <v>540</v>
      </c>
      <c r="D516" s="45" t="s">
        <v>863</v>
      </c>
      <c r="E516" s="45" t="s">
        <v>863</v>
      </c>
      <c r="F516" s="45">
        <v>0</v>
      </c>
      <c r="G516" s="45" t="s">
        <v>692</v>
      </c>
      <c r="H516" s="45">
        <v>47</v>
      </c>
      <c r="I516" s="45" t="s">
        <v>545</v>
      </c>
      <c r="J516" s="148">
        <v>13</v>
      </c>
      <c r="K516" s="144">
        <v>0.86499999999999999</v>
      </c>
      <c r="L516" s="149"/>
    </row>
    <row r="517" spans="1:12" ht="16.05" customHeight="1">
      <c r="A517" s="45" t="s">
        <v>1066</v>
      </c>
      <c r="B517" s="45" t="s">
        <v>540</v>
      </c>
      <c r="C517" s="45" t="s">
        <v>540</v>
      </c>
      <c r="D517" s="45" t="s">
        <v>863</v>
      </c>
      <c r="E517" s="45" t="s">
        <v>863</v>
      </c>
      <c r="F517" s="45">
        <v>0</v>
      </c>
      <c r="G517" s="45" t="s">
        <v>692</v>
      </c>
      <c r="H517" s="45">
        <v>44</v>
      </c>
      <c r="I517" s="45" t="s">
        <v>545</v>
      </c>
      <c r="J517" s="148">
        <v>18.45</v>
      </c>
      <c r="K517" s="144">
        <v>1.23</v>
      </c>
      <c r="L517" s="149"/>
    </row>
    <row r="518" spans="1:12" ht="16.05" customHeight="1">
      <c r="A518" s="45" t="s">
        <v>1067</v>
      </c>
      <c r="B518" s="45" t="s">
        <v>540</v>
      </c>
      <c r="C518" s="45" t="s">
        <v>540</v>
      </c>
      <c r="D518" s="45" t="s">
        <v>863</v>
      </c>
      <c r="E518" s="45" t="s">
        <v>863</v>
      </c>
      <c r="F518" s="45">
        <v>0</v>
      </c>
      <c r="G518" s="45" t="s">
        <v>692</v>
      </c>
      <c r="H518" s="45">
        <v>50</v>
      </c>
      <c r="I518" s="45" t="s">
        <v>545</v>
      </c>
      <c r="J518" s="148">
        <v>11</v>
      </c>
      <c r="K518" s="144">
        <v>0.72499999999999998</v>
      </c>
      <c r="L518" s="149"/>
    </row>
    <row r="519" spans="1:12" ht="16.05" customHeight="1">
      <c r="A519" s="45" t="s">
        <v>1068</v>
      </c>
      <c r="B519" s="45" t="s">
        <v>540</v>
      </c>
      <c r="C519" s="45" t="s">
        <v>540</v>
      </c>
      <c r="D519" s="45" t="s">
        <v>863</v>
      </c>
      <c r="E519" s="45" t="s">
        <v>863</v>
      </c>
      <c r="F519" s="45">
        <v>0</v>
      </c>
      <c r="G519" s="45" t="s">
        <v>692</v>
      </c>
      <c r="H519" s="45">
        <v>44</v>
      </c>
      <c r="I519" s="45" t="s">
        <v>545</v>
      </c>
      <c r="J519" s="148">
        <v>13.73</v>
      </c>
      <c r="K519" s="144">
        <v>0.91500000000000004</v>
      </c>
      <c r="L519" s="149"/>
    </row>
    <row r="520" spans="1:12" ht="16.05" customHeight="1">
      <c r="A520" s="45" t="s">
        <v>1069</v>
      </c>
      <c r="B520" s="45" t="s">
        <v>540</v>
      </c>
      <c r="C520" s="45" t="s">
        <v>540</v>
      </c>
      <c r="D520" s="45" t="s">
        <v>863</v>
      </c>
      <c r="E520" s="45" t="s">
        <v>863</v>
      </c>
      <c r="F520" s="45">
        <v>0</v>
      </c>
      <c r="G520" s="45" t="s">
        <v>692</v>
      </c>
      <c r="H520" s="45">
        <v>51</v>
      </c>
      <c r="I520" s="45" t="s">
        <v>545</v>
      </c>
      <c r="J520" s="148">
        <v>12.51</v>
      </c>
      <c r="K520" s="144">
        <v>0.83399999999999996</v>
      </c>
      <c r="L520" s="149"/>
    </row>
    <row r="521" spans="1:12" ht="16.05" customHeight="1">
      <c r="A521" s="45" t="s">
        <v>1070</v>
      </c>
      <c r="B521" s="45" t="s">
        <v>540</v>
      </c>
      <c r="C521" s="45" t="s">
        <v>540</v>
      </c>
      <c r="D521" s="45" t="s">
        <v>863</v>
      </c>
      <c r="E521" s="45" t="s">
        <v>863</v>
      </c>
      <c r="F521" s="45">
        <v>0</v>
      </c>
      <c r="G521" s="45" t="s">
        <v>692</v>
      </c>
      <c r="H521" s="45">
        <v>40</v>
      </c>
      <c r="I521" s="45" t="s">
        <v>545</v>
      </c>
      <c r="J521" s="148">
        <v>17.25</v>
      </c>
      <c r="K521" s="144">
        <v>1.1499999999999999</v>
      </c>
      <c r="L521" s="149"/>
    </row>
    <row r="522" spans="1:12" ht="16.05" customHeight="1">
      <c r="A522" s="45" t="s">
        <v>1071</v>
      </c>
      <c r="B522" s="45" t="s">
        <v>540</v>
      </c>
      <c r="C522" s="45" t="s">
        <v>540</v>
      </c>
      <c r="D522" s="45" t="s">
        <v>863</v>
      </c>
      <c r="E522" s="45" t="s">
        <v>863</v>
      </c>
      <c r="F522" s="45">
        <v>0</v>
      </c>
      <c r="G522" s="45" t="s">
        <v>692</v>
      </c>
      <c r="H522" s="45">
        <v>40</v>
      </c>
      <c r="I522" s="45" t="s">
        <v>545</v>
      </c>
      <c r="J522" s="148">
        <v>12.32</v>
      </c>
      <c r="K522" s="144">
        <v>0.82099999999999995</v>
      </c>
      <c r="L522" s="149"/>
    </row>
    <row r="523" spans="1:12" ht="16.05" customHeight="1">
      <c r="A523" s="45" t="s">
        <v>1072</v>
      </c>
      <c r="B523" s="45" t="s">
        <v>540</v>
      </c>
      <c r="C523" s="45" t="s">
        <v>540</v>
      </c>
      <c r="D523" s="45" t="s">
        <v>863</v>
      </c>
      <c r="E523" s="45" t="s">
        <v>863</v>
      </c>
      <c r="F523" s="45">
        <v>0</v>
      </c>
      <c r="G523" s="45" t="s">
        <v>692</v>
      </c>
      <c r="H523" s="45">
        <v>52</v>
      </c>
      <c r="I523" s="45" t="s">
        <v>548</v>
      </c>
      <c r="J523" s="148">
        <v>20</v>
      </c>
      <c r="K523" s="144">
        <v>1.36</v>
      </c>
      <c r="L523" s="149"/>
    </row>
    <row r="524" spans="1:12" ht="16.05" customHeight="1">
      <c r="A524" s="45" t="s">
        <v>1073</v>
      </c>
      <c r="B524" s="45" t="s">
        <v>540</v>
      </c>
      <c r="C524" s="45" t="s">
        <v>540</v>
      </c>
      <c r="D524" s="45" t="s">
        <v>863</v>
      </c>
      <c r="E524" s="45" t="s">
        <v>863</v>
      </c>
      <c r="F524" s="45">
        <v>0</v>
      </c>
      <c r="G524" s="45" t="s">
        <v>692</v>
      </c>
      <c r="H524" s="45">
        <v>45</v>
      </c>
      <c r="I524" s="45" t="s">
        <v>548</v>
      </c>
      <c r="J524" s="148">
        <v>17</v>
      </c>
      <c r="K524" s="144">
        <v>1.1200000000000001</v>
      </c>
      <c r="L524" s="149"/>
    </row>
    <row r="525" spans="1:12" ht="16.05" customHeight="1">
      <c r="A525" s="45" t="s">
        <v>1074</v>
      </c>
      <c r="B525" s="45" t="s">
        <v>540</v>
      </c>
      <c r="C525" s="45" t="s">
        <v>540</v>
      </c>
      <c r="D525" s="45" t="s">
        <v>863</v>
      </c>
      <c r="E525" s="45" t="s">
        <v>863</v>
      </c>
      <c r="F525" s="45">
        <v>0</v>
      </c>
      <c r="G525" s="45" t="s">
        <v>692</v>
      </c>
      <c r="H525" s="45">
        <v>41</v>
      </c>
      <c r="I525" s="45" t="s">
        <v>545</v>
      </c>
      <c r="J525" s="148">
        <v>19</v>
      </c>
      <c r="K525" s="144">
        <v>1.26</v>
      </c>
      <c r="L525" s="149"/>
    </row>
    <row r="526" spans="1:12" ht="16.05" customHeight="1">
      <c r="A526" s="45" t="s">
        <v>1075</v>
      </c>
      <c r="B526" s="45" t="s">
        <v>540</v>
      </c>
      <c r="C526" s="45" t="s">
        <v>540</v>
      </c>
      <c r="D526" s="45" t="s">
        <v>863</v>
      </c>
      <c r="E526" s="45" t="s">
        <v>863</v>
      </c>
      <c r="F526" s="45">
        <v>0</v>
      </c>
      <c r="G526" s="45" t="s">
        <v>692</v>
      </c>
      <c r="H526" s="45">
        <v>40</v>
      </c>
      <c r="I526" s="45" t="s">
        <v>548</v>
      </c>
      <c r="J526" s="148">
        <v>14</v>
      </c>
      <c r="K526" s="144">
        <v>0.93400000000000005</v>
      </c>
      <c r="L526" s="149"/>
    </row>
    <row r="527" spans="1:12" ht="16.05" customHeight="1">
      <c r="A527" s="45" t="s">
        <v>1076</v>
      </c>
      <c r="B527" s="45" t="s">
        <v>540</v>
      </c>
      <c r="C527" s="45" t="s">
        <v>540</v>
      </c>
      <c r="D527" s="45" t="s">
        <v>863</v>
      </c>
      <c r="E527" s="45" t="s">
        <v>863</v>
      </c>
      <c r="F527" s="45">
        <v>0</v>
      </c>
      <c r="G527" s="45" t="s">
        <v>692</v>
      </c>
      <c r="H527" s="45">
        <v>50</v>
      </c>
      <c r="I527" s="45" t="s">
        <v>545</v>
      </c>
      <c r="J527" s="148">
        <v>12</v>
      </c>
      <c r="K527" s="144">
        <v>0.77100000000000002</v>
      </c>
      <c r="L527" s="149"/>
    </row>
    <row r="528" spans="1:12" ht="16.05" customHeight="1">
      <c r="A528" s="45" t="s">
        <v>1077</v>
      </c>
      <c r="B528" s="45" t="s">
        <v>540</v>
      </c>
      <c r="C528" s="45" t="s">
        <v>540</v>
      </c>
      <c r="D528" s="45" t="s">
        <v>863</v>
      </c>
      <c r="E528" s="45" t="s">
        <v>863</v>
      </c>
      <c r="F528" s="45">
        <v>0</v>
      </c>
      <c r="G528" s="45" t="s">
        <v>692</v>
      </c>
      <c r="H528" s="45">
        <v>44</v>
      </c>
      <c r="I528" s="45" t="s">
        <v>545</v>
      </c>
      <c r="J528" s="148">
        <v>11</v>
      </c>
      <c r="K528" s="144">
        <v>0.76100000000000001</v>
      </c>
      <c r="L528" s="149"/>
    </row>
    <row r="529" spans="1:12" ht="16.05" customHeight="1">
      <c r="A529" s="45" t="s">
        <v>1078</v>
      </c>
      <c r="B529" s="45" t="s">
        <v>540</v>
      </c>
      <c r="C529" s="45" t="s">
        <v>540</v>
      </c>
      <c r="D529" s="45" t="s">
        <v>863</v>
      </c>
      <c r="E529" s="45" t="s">
        <v>863</v>
      </c>
      <c r="F529" s="45">
        <v>0</v>
      </c>
      <c r="G529" s="45" t="s">
        <v>692</v>
      </c>
      <c r="H529" s="45">
        <v>48</v>
      </c>
      <c r="I529" s="45" t="s">
        <v>545</v>
      </c>
      <c r="J529" s="148">
        <v>10</v>
      </c>
      <c r="K529" s="144">
        <v>0.63500000000000001</v>
      </c>
      <c r="L529" s="149"/>
    </row>
    <row r="530" spans="1:12" ht="16.05" customHeight="1">
      <c r="A530" s="45" t="s">
        <v>1079</v>
      </c>
      <c r="B530" s="45" t="s">
        <v>540</v>
      </c>
      <c r="C530" s="45" t="s">
        <v>540</v>
      </c>
      <c r="D530" s="45" t="s">
        <v>863</v>
      </c>
      <c r="E530" s="45" t="s">
        <v>863</v>
      </c>
      <c r="F530" s="45">
        <v>0</v>
      </c>
      <c r="G530" s="45" t="s">
        <v>692</v>
      </c>
      <c r="H530" s="45">
        <v>45</v>
      </c>
      <c r="I530" s="45" t="s">
        <v>545</v>
      </c>
      <c r="J530" s="148">
        <v>16</v>
      </c>
      <c r="K530" s="144">
        <v>1.05</v>
      </c>
      <c r="L530" s="149"/>
    </row>
    <row r="531" spans="1:12" ht="16.05" customHeight="1">
      <c r="A531" s="45" t="s">
        <v>1080</v>
      </c>
      <c r="B531" s="45" t="s">
        <v>540</v>
      </c>
      <c r="C531" s="45" t="s">
        <v>540</v>
      </c>
      <c r="D531" s="45" t="s">
        <v>863</v>
      </c>
      <c r="E531" s="45" t="s">
        <v>863</v>
      </c>
      <c r="F531" s="45">
        <v>0</v>
      </c>
      <c r="G531" s="45" t="s">
        <v>692</v>
      </c>
      <c r="H531" s="45">
        <v>61</v>
      </c>
      <c r="I531" s="45" t="s">
        <v>548</v>
      </c>
      <c r="J531" s="148">
        <v>23</v>
      </c>
      <c r="K531" s="144">
        <v>1.55</v>
      </c>
      <c r="L531" s="149"/>
    </row>
    <row r="532" spans="1:12" ht="16.05" customHeight="1">
      <c r="A532" s="45" t="s">
        <v>1081</v>
      </c>
      <c r="B532" s="45" t="s">
        <v>540</v>
      </c>
      <c r="C532" s="45" t="s">
        <v>540</v>
      </c>
      <c r="D532" s="45" t="s">
        <v>863</v>
      </c>
      <c r="E532" s="45" t="s">
        <v>863</v>
      </c>
      <c r="F532" s="45">
        <v>0</v>
      </c>
      <c r="G532" s="45" t="s">
        <v>692</v>
      </c>
      <c r="H532" s="45">
        <v>79</v>
      </c>
      <c r="I532" s="45" t="s">
        <v>545</v>
      </c>
      <c r="J532" s="148">
        <v>14</v>
      </c>
      <c r="K532" s="144">
        <v>0.92500000000000004</v>
      </c>
      <c r="L532" s="149"/>
    </row>
    <row r="533" spans="1:12" ht="16.05" customHeight="1">
      <c r="A533" s="45" t="s">
        <v>1082</v>
      </c>
      <c r="B533" s="45" t="s">
        <v>540</v>
      </c>
      <c r="C533" s="45" t="s">
        <v>540</v>
      </c>
      <c r="D533" s="45" t="s">
        <v>863</v>
      </c>
      <c r="E533" s="45" t="s">
        <v>863</v>
      </c>
      <c r="F533" s="45">
        <v>0</v>
      </c>
      <c r="G533" s="45" t="s">
        <v>692</v>
      </c>
      <c r="H533" s="45">
        <v>52</v>
      </c>
      <c r="I533" s="45" t="s">
        <v>545</v>
      </c>
      <c r="J533" s="148">
        <v>14.28</v>
      </c>
      <c r="K533" s="144">
        <v>0.95199999999999996</v>
      </c>
      <c r="L533" s="149"/>
    </row>
    <row r="534" spans="1:12" ht="16.05" customHeight="1">
      <c r="A534" s="45" t="s">
        <v>1083</v>
      </c>
      <c r="B534" s="45" t="s">
        <v>540</v>
      </c>
      <c r="C534" s="45" t="s">
        <v>540</v>
      </c>
      <c r="D534" s="45" t="s">
        <v>863</v>
      </c>
      <c r="E534" s="45" t="s">
        <v>863</v>
      </c>
      <c r="F534" s="45">
        <v>0</v>
      </c>
      <c r="G534" s="45" t="s">
        <v>692</v>
      </c>
      <c r="H534" s="45">
        <v>41</v>
      </c>
      <c r="I534" s="45" t="s">
        <v>548</v>
      </c>
      <c r="J534" s="148">
        <v>18</v>
      </c>
      <c r="K534" s="144">
        <v>1.17</v>
      </c>
      <c r="L534" s="149"/>
    </row>
    <row r="535" spans="1:12" ht="16.05" customHeight="1">
      <c r="A535" s="45" t="s">
        <v>1084</v>
      </c>
      <c r="B535" s="45" t="s">
        <v>540</v>
      </c>
      <c r="C535" s="45" t="s">
        <v>540</v>
      </c>
      <c r="D535" s="45" t="s">
        <v>863</v>
      </c>
      <c r="E535" s="45" t="s">
        <v>863</v>
      </c>
      <c r="F535" s="45">
        <v>0</v>
      </c>
      <c r="G535" s="45" t="s">
        <v>692</v>
      </c>
      <c r="H535" s="45">
        <v>59</v>
      </c>
      <c r="I535" s="45" t="s">
        <v>545</v>
      </c>
      <c r="J535" s="148">
        <v>20</v>
      </c>
      <c r="K535" s="144">
        <v>1.33</v>
      </c>
      <c r="L535" s="149"/>
    </row>
    <row r="536" spans="1:12" ht="16.05" customHeight="1">
      <c r="A536" s="45" t="s">
        <v>1085</v>
      </c>
      <c r="B536" s="45" t="s">
        <v>540</v>
      </c>
      <c r="C536" s="45" t="s">
        <v>540</v>
      </c>
      <c r="D536" s="45" t="s">
        <v>863</v>
      </c>
      <c r="E536" s="45" t="s">
        <v>863</v>
      </c>
      <c r="F536" s="45">
        <v>0</v>
      </c>
      <c r="G536" s="45" t="s">
        <v>692</v>
      </c>
      <c r="H536" s="45">
        <v>47</v>
      </c>
      <c r="I536" s="45" t="s">
        <v>548</v>
      </c>
      <c r="J536" s="148">
        <v>20</v>
      </c>
      <c r="K536" s="144">
        <v>1.32</v>
      </c>
      <c r="L536" s="149"/>
    </row>
    <row r="537" spans="1:12" ht="16.05" customHeight="1">
      <c r="A537" s="45" t="s">
        <v>1086</v>
      </c>
      <c r="B537" s="45" t="s">
        <v>540</v>
      </c>
      <c r="C537" s="45" t="s">
        <v>540</v>
      </c>
      <c r="D537" s="45" t="s">
        <v>863</v>
      </c>
      <c r="E537" s="45" t="s">
        <v>863</v>
      </c>
      <c r="F537" s="45">
        <v>0</v>
      </c>
      <c r="G537" s="45" t="s">
        <v>692</v>
      </c>
      <c r="H537" s="45">
        <v>49</v>
      </c>
      <c r="I537" s="45" t="s">
        <v>548</v>
      </c>
      <c r="J537" s="148">
        <v>21</v>
      </c>
      <c r="K537" s="144">
        <v>1.38</v>
      </c>
      <c r="L537" s="149"/>
    </row>
    <row r="538" spans="1:12" ht="16.05" customHeight="1">
      <c r="A538" s="45" t="s">
        <v>1087</v>
      </c>
      <c r="B538" s="45" t="s">
        <v>540</v>
      </c>
      <c r="C538" s="45" t="s">
        <v>540</v>
      </c>
      <c r="D538" s="45" t="s">
        <v>863</v>
      </c>
      <c r="E538" s="45" t="s">
        <v>863</v>
      </c>
      <c r="F538" s="45">
        <v>0</v>
      </c>
      <c r="G538" s="45" t="s">
        <v>692</v>
      </c>
      <c r="H538" s="45">
        <v>48</v>
      </c>
      <c r="I538" s="45" t="s">
        <v>548</v>
      </c>
      <c r="J538" s="148">
        <v>21</v>
      </c>
      <c r="K538" s="144">
        <v>1.4</v>
      </c>
      <c r="L538" s="149"/>
    </row>
    <row r="539" spans="1:12" ht="16.05" customHeight="1">
      <c r="A539" s="45" t="s">
        <v>1088</v>
      </c>
      <c r="B539" s="45" t="s">
        <v>540</v>
      </c>
      <c r="C539" s="45" t="s">
        <v>540</v>
      </c>
      <c r="D539" s="45" t="s">
        <v>863</v>
      </c>
      <c r="E539" s="45" t="s">
        <v>863</v>
      </c>
      <c r="F539" s="45">
        <v>0</v>
      </c>
      <c r="G539" s="45" t="s">
        <v>692</v>
      </c>
      <c r="H539" s="45">
        <v>52</v>
      </c>
      <c r="I539" s="45" t="s">
        <v>545</v>
      </c>
      <c r="J539" s="148">
        <v>21</v>
      </c>
      <c r="K539" s="144">
        <v>1.4</v>
      </c>
      <c r="L539" s="149"/>
    </row>
    <row r="540" spans="1:12" ht="16.05" customHeight="1">
      <c r="A540" s="45" t="s">
        <v>1089</v>
      </c>
      <c r="B540" s="45" t="s">
        <v>540</v>
      </c>
      <c r="C540" s="45" t="s">
        <v>540</v>
      </c>
      <c r="D540" s="45" t="s">
        <v>863</v>
      </c>
      <c r="E540" s="45" t="s">
        <v>863</v>
      </c>
      <c r="F540" s="45">
        <v>0</v>
      </c>
      <c r="G540" s="45" t="s">
        <v>692</v>
      </c>
      <c r="H540" s="45">
        <v>48</v>
      </c>
      <c r="I540" s="45" t="s">
        <v>545</v>
      </c>
      <c r="J540" s="148">
        <v>16</v>
      </c>
      <c r="K540" s="144">
        <v>1.05</v>
      </c>
      <c r="L540" s="149"/>
    </row>
    <row r="541" spans="1:12" ht="16.05" customHeight="1">
      <c r="A541" s="45" t="s">
        <v>1090</v>
      </c>
      <c r="B541" s="45" t="s">
        <v>540</v>
      </c>
      <c r="C541" s="45" t="s">
        <v>540</v>
      </c>
      <c r="D541" s="45" t="s">
        <v>863</v>
      </c>
      <c r="E541" s="45" t="s">
        <v>863</v>
      </c>
      <c r="F541" s="45">
        <v>0</v>
      </c>
      <c r="G541" s="45" t="s">
        <v>692</v>
      </c>
      <c r="H541" s="45">
        <v>51</v>
      </c>
      <c r="I541" s="45" t="s">
        <v>545</v>
      </c>
      <c r="J541" s="148">
        <v>19</v>
      </c>
      <c r="K541" s="144">
        <v>1.27</v>
      </c>
      <c r="L541" s="149"/>
    </row>
    <row r="542" spans="1:12" ht="16.05" customHeight="1">
      <c r="A542" s="45" t="s">
        <v>1091</v>
      </c>
      <c r="B542" s="45" t="s">
        <v>540</v>
      </c>
      <c r="C542" s="45" t="s">
        <v>540</v>
      </c>
      <c r="D542" s="45" t="s">
        <v>863</v>
      </c>
      <c r="E542" s="45" t="s">
        <v>863</v>
      </c>
      <c r="F542" s="45">
        <v>0</v>
      </c>
      <c r="G542" s="45" t="s">
        <v>692</v>
      </c>
      <c r="H542" s="45">
        <v>51</v>
      </c>
      <c r="I542" s="45" t="s">
        <v>545</v>
      </c>
      <c r="J542" s="148">
        <v>18</v>
      </c>
      <c r="K542" s="144">
        <v>1.22</v>
      </c>
      <c r="L542" s="149"/>
    </row>
    <row r="543" spans="1:12" ht="16.05" customHeight="1">
      <c r="A543" s="45" t="s">
        <v>1092</v>
      </c>
      <c r="B543" s="45" t="s">
        <v>540</v>
      </c>
      <c r="C543" s="45" t="s">
        <v>540</v>
      </c>
      <c r="D543" s="45" t="s">
        <v>863</v>
      </c>
      <c r="E543" s="45" t="s">
        <v>863</v>
      </c>
      <c r="F543" s="45">
        <v>0</v>
      </c>
      <c r="G543" s="45" t="s">
        <v>692</v>
      </c>
      <c r="H543" s="45">
        <v>52</v>
      </c>
      <c r="I543" s="45" t="s">
        <v>545</v>
      </c>
      <c r="J543" s="148">
        <v>22</v>
      </c>
      <c r="K543" s="144">
        <v>1.46</v>
      </c>
      <c r="L543" s="149"/>
    </row>
    <row r="544" spans="1:12" ht="16.05" customHeight="1">
      <c r="A544" s="45" t="s">
        <v>1093</v>
      </c>
      <c r="B544" s="45" t="s">
        <v>540</v>
      </c>
      <c r="C544" s="45" t="s">
        <v>540</v>
      </c>
      <c r="D544" s="45" t="s">
        <v>863</v>
      </c>
      <c r="E544" s="45" t="s">
        <v>863</v>
      </c>
      <c r="F544" s="45">
        <v>0</v>
      </c>
      <c r="G544" s="45" t="s">
        <v>692</v>
      </c>
      <c r="H544" s="45">
        <v>64</v>
      </c>
      <c r="I544" s="45" t="s">
        <v>545</v>
      </c>
      <c r="J544" s="148">
        <v>17</v>
      </c>
      <c r="K544" s="144">
        <v>1.1200000000000001</v>
      </c>
      <c r="L544" s="149"/>
    </row>
    <row r="545" spans="1:12" ht="16.05" customHeight="1">
      <c r="A545" s="45" t="s">
        <v>1094</v>
      </c>
      <c r="B545" s="45" t="s">
        <v>540</v>
      </c>
      <c r="C545" s="45" t="s">
        <v>540</v>
      </c>
      <c r="D545" s="45" t="s">
        <v>863</v>
      </c>
      <c r="E545" s="45" t="s">
        <v>863</v>
      </c>
      <c r="F545" s="45">
        <v>0</v>
      </c>
      <c r="G545" s="45" t="s">
        <v>692</v>
      </c>
      <c r="H545" s="45">
        <v>57</v>
      </c>
      <c r="I545" s="45" t="s">
        <v>545</v>
      </c>
      <c r="J545" s="148">
        <v>24</v>
      </c>
      <c r="K545" s="144">
        <v>1.61</v>
      </c>
      <c r="L545" s="149"/>
    </row>
    <row r="546" spans="1:12" ht="16.05" customHeight="1">
      <c r="A546" s="45" t="s">
        <v>1095</v>
      </c>
      <c r="B546" s="45" t="s">
        <v>540</v>
      </c>
      <c r="C546" s="45" t="s">
        <v>540</v>
      </c>
      <c r="D546" s="45" t="s">
        <v>863</v>
      </c>
      <c r="E546" s="45" t="s">
        <v>863</v>
      </c>
      <c r="F546" s="45">
        <v>0</v>
      </c>
      <c r="G546" s="45" t="s">
        <v>692</v>
      </c>
      <c r="H546" s="45">
        <v>47</v>
      </c>
      <c r="I546" s="45" t="s">
        <v>545</v>
      </c>
      <c r="J546" s="148">
        <v>17</v>
      </c>
      <c r="K546" s="144">
        <v>1.1000000000000001</v>
      </c>
      <c r="L546" s="149"/>
    </row>
    <row r="547" spans="1:12" ht="16.05" customHeight="1">
      <c r="A547" s="45" t="s">
        <v>1096</v>
      </c>
      <c r="B547" s="45" t="s">
        <v>540</v>
      </c>
      <c r="C547" s="45" t="s">
        <v>540</v>
      </c>
      <c r="D547" s="45" t="s">
        <v>863</v>
      </c>
      <c r="E547" s="45" t="s">
        <v>863</v>
      </c>
      <c r="F547" s="45">
        <v>0</v>
      </c>
      <c r="G547" s="45" t="s">
        <v>692</v>
      </c>
      <c r="H547" s="45">
        <v>77</v>
      </c>
      <c r="I547" s="45" t="s">
        <v>548</v>
      </c>
      <c r="J547" s="148">
        <v>27</v>
      </c>
      <c r="K547" s="144">
        <v>1.82</v>
      </c>
      <c r="L547" s="149"/>
    </row>
    <row r="548" spans="1:12" ht="16.05" customHeight="1">
      <c r="A548" s="45" t="s">
        <v>1097</v>
      </c>
      <c r="B548" s="45" t="s">
        <v>540</v>
      </c>
      <c r="C548" s="45" t="s">
        <v>540</v>
      </c>
      <c r="D548" s="45" t="s">
        <v>863</v>
      </c>
      <c r="E548" s="45" t="s">
        <v>863</v>
      </c>
      <c r="F548" s="45">
        <v>0</v>
      </c>
      <c r="G548" s="45" t="s">
        <v>692</v>
      </c>
      <c r="H548" s="45">
        <v>47</v>
      </c>
      <c r="I548" s="45" t="s">
        <v>545</v>
      </c>
      <c r="J548" s="148">
        <v>14</v>
      </c>
      <c r="K548" s="144">
        <v>0.94199999999999995</v>
      </c>
      <c r="L548" s="149"/>
    </row>
    <row r="549" spans="1:12" ht="16.05" customHeight="1">
      <c r="A549" s="45" t="s">
        <v>1098</v>
      </c>
      <c r="B549" s="45" t="s">
        <v>540</v>
      </c>
      <c r="C549" s="45" t="s">
        <v>540</v>
      </c>
      <c r="D549" s="45" t="s">
        <v>863</v>
      </c>
      <c r="E549" s="45" t="s">
        <v>863</v>
      </c>
      <c r="F549" s="45">
        <v>0</v>
      </c>
      <c r="G549" s="45" t="s">
        <v>692</v>
      </c>
      <c r="H549" s="45">
        <v>48</v>
      </c>
      <c r="I549" s="45" t="s">
        <v>545</v>
      </c>
      <c r="J549" s="148">
        <v>24</v>
      </c>
      <c r="K549" s="144">
        <v>1.59</v>
      </c>
      <c r="L549" s="149"/>
    </row>
    <row r="550" spans="1:12" ht="16.05" customHeight="1">
      <c r="A550" s="45" t="s">
        <v>1099</v>
      </c>
      <c r="B550" s="45" t="s">
        <v>540</v>
      </c>
      <c r="C550" s="45" t="s">
        <v>540</v>
      </c>
      <c r="D550" s="45" t="s">
        <v>863</v>
      </c>
      <c r="E550" s="45" t="s">
        <v>863</v>
      </c>
      <c r="F550" s="45">
        <v>0</v>
      </c>
      <c r="G550" s="45" t="s">
        <v>692</v>
      </c>
      <c r="H550" s="45">
        <v>62</v>
      </c>
      <c r="I550" s="45" t="s">
        <v>545</v>
      </c>
      <c r="J550" s="148">
        <v>11</v>
      </c>
      <c r="K550" s="144">
        <v>0.76400000000000001</v>
      </c>
      <c r="L550" s="149"/>
    </row>
    <row r="551" spans="1:12" ht="16.05" customHeight="1">
      <c r="A551" s="45" t="s">
        <v>1100</v>
      </c>
      <c r="B551" s="45" t="s">
        <v>540</v>
      </c>
      <c r="C551" s="45" t="s">
        <v>540</v>
      </c>
      <c r="D551" s="45" t="s">
        <v>863</v>
      </c>
      <c r="E551" s="45" t="s">
        <v>863</v>
      </c>
      <c r="F551" s="45">
        <v>0</v>
      </c>
      <c r="G551" s="45" t="s">
        <v>692</v>
      </c>
      <c r="H551" s="45">
        <v>50</v>
      </c>
      <c r="I551" s="45" t="s">
        <v>545</v>
      </c>
      <c r="J551" s="148">
        <v>14</v>
      </c>
      <c r="K551" s="144">
        <v>0.93799999999999994</v>
      </c>
      <c r="L551" s="149"/>
    </row>
    <row r="552" spans="1:12" ht="16.05" customHeight="1">
      <c r="A552" s="45" t="s">
        <v>1101</v>
      </c>
      <c r="B552" s="45" t="s">
        <v>540</v>
      </c>
      <c r="C552" s="45" t="s">
        <v>540</v>
      </c>
      <c r="D552" s="45" t="s">
        <v>863</v>
      </c>
      <c r="E552" s="45" t="s">
        <v>863</v>
      </c>
      <c r="F552" s="45">
        <v>0</v>
      </c>
      <c r="G552" s="45" t="s">
        <v>692</v>
      </c>
      <c r="H552" s="45">
        <v>50</v>
      </c>
      <c r="I552" s="45" t="s">
        <v>548</v>
      </c>
      <c r="J552" s="148">
        <v>11</v>
      </c>
      <c r="K552" s="144">
        <v>0.76500000000000001</v>
      </c>
      <c r="L552" s="149"/>
    </row>
    <row r="553" spans="1:12" ht="16.05" customHeight="1">
      <c r="A553" s="45" t="s">
        <v>1102</v>
      </c>
      <c r="B553" s="45" t="s">
        <v>540</v>
      </c>
      <c r="C553" s="45" t="s">
        <v>540</v>
      </c>
      <c r="D553" s="45" t="s">
        <v>863</v>
      </c>
      <c r="E553" s="45" t="s">
        <v>863</v>
      </c>
      <c r="F553" s="45">
        <v>0</v>
      </c>
      <c r="G553" s="45" t="s">
        <v>692</v>
      </c>
      <c r="H553" s="45">
        <v>61</v>
      </c>
      <c r="I553" s="45" t="s">
        <v>548</v>
      </c>
      <c r="J553" s="148">
        <v>11</v>
      </c>
      <c r="K553" s="144">
        <v>0.71299999999999997</v>
      </c>
      <c r="L553" s="149"/>
    </row>
    <row r="554" spans="1:12" ht="16.05" customHeight="1">
      <c r="A554" s="45" t="s">
        <v>1103</v>
      </c>
      <c r="B554" s="45" t="s">
        <v>540</v>
      </c>
      <c r="C554" s="45" t="s">
        <v>540</v>
      </c>
      <c r="D554" s="45" t="s">
        <v>863</v>
      </c>
      <c r="E554" s="45" t="s">
        <v>863</v>
      </c>
      <c r="F554" s="45">
        <v>0</v>
      </c>
      <c r="G554" s="45" t="s">
        <v>692</v>
      </c>
      <c r="H554" s="45">
        <v>72</v>
      </c>
      <c r="I554" s="45" t="s">
        <v>545</v>
      </c>
      <c r="J554" s="148">
        <v>13</v>
      </c>
      <c r="K554" s="144">
        <v>0.85799999999999998</v>
      </c>
      <c r="L554" s="149"/>
    </row>
    <row r="555" spans="1:12" ht="16.05" customHeight="1">
      <c r="A555" s="45" t="s">
        <v>1104</v>
      </c>
      <c r="B555" s="45" t="s">
        <v>540</v>
      </c>
      <c r="C555" s="45" t="s">
        <v>540</v>
      </c>
      <c r="D555" s="45" t="s">
        <v>863</v>
      </c>
      <c r="E555" s="45" t="s">
        <v>863</v>
      </c>
      <c r="F555" s="45">
        <v>0</v>
      </c>
      <c r="G555" s="45" t="s">
        <v>692</v>
      </c>
      <c r="H555" s="45">
        <v>50</v>
      </c>
      <c r="I555" s="45" t="s">
        <v>545</v>
      </c>
      <c r="J555" s="148">
        <v>17</v>
      </c>
      <c r="K555" s="144">
        <v>1.1499999999999999</v>
      </c>
      <c r="L555" s="149"/>
    </row>
    <row r="556" spans="1:12" ht="16.05" customHeight="1">
      <c r="A556" s="45" t="s">
        <v>1105</v>
      </c>
      <c r="B556" s="45" t="s">
        <v>540</v>
      </c>
      <c r="C556" s="45" t="s">
        <v>540</v>
      </c>
      <c r="D556" s="45" t="s">
        <v>863</v>
      </c>
      <c r="E556" s="45" t="s">
        <v>863</v>
      </c>
      <c r="F556" s="45">
        <v>0</v>
      </c>
      <c r="G556" s="45" t="s">
        <v>692</v>
      </c>
      <c r="H556" s="45">
        <v>68</v>
      </c>
      <c r="I556" s="45" t="s">
        <v>548</v>
      </c>
      <c r="J556" s="148">
        <v>15</v>
      </c>
      <c r="K556" s="144">
        <v>0.99199999999999999</v>
      </c>
      <c r="L556" s="149"/>
    </row>
    <row r="557" spans="1:12" ht="16.05" customHeight="1">
      <c r="A557" s="45" t="s">
        <v>1106</v>
      </c>
      <c r="B557" s="45" t="s">
        <v>540</v>
      </c>
      <c r="C557" s="45" t="s">
        <v>540</v>
      </c>
      <c r="D557" s="45" t="s">
        <v>863</v>
      </c>
      <c r="E557" s="45" t="s">
        <v>863</v>
      </c>
      <c r="F557" s="45">
        <v>0</v>
      </c>
      <c r="G557" s="45" t="s">
        <v>692</v>
      </c>
      <c r="H557" s="45">
        <v>72</v>
      </c>
      <c r="I557" s="45" t="s">
        <v>548</v>
      </c>
      <c r="J557" s="148">
        <v>14</v>
      </c>
      <c r="K557" s="144">
        <v>0.93400000000000005</v>
      </c>
      <c r="L557" s="149"/>
    </row>
    <row r="558" spans="1:12" ht="16.05" customHeight="1">
      <c r="A558" s="45" t="s">
        <v>1107</v>
      </c>
      <c r="B558" s="45" t="s">
        <v>540</v>
      </c>
      <c r="C558" s="45" t="s">
        <v>540</v>
      </c>
      <c r="D558" s="45" t="s">
        <v>863</v>
      </c>
      <c r="E558" s="45" t="s">
        <v>863</v>
      </c>
      <c r="F558" s="45">
        <v>0</v>
      </c>
      <c r="G558" s="45" t="s">
        <v>692</v>
      </c>
      <c r="H558" s="45">
        <v>49</v>
      </c>
      <c r="I558" s="45" t="s">
        <v>545</v>
      </c>
      <c r="J558" s="148">
        <v>11</v>
      </c>
      <c r="K558" s="144">
        <v>0.746</v>
      </c>
      <c r="L558" s="149"/>
    </row>
    <row r="559" spans="1:12" ht="16.05" customHeight="1">
      <c r="A559" s="45" t="s">
        <v>1108</v>
      </c>
      <c r="B559" s="45" t="s">
        <v>540</v>
      </c>
      <c r="C559" s="45" t="s">
        <v>540</v>
      </c>
      <c r="D559" s="45" t="s">
        <v>863</v>
      </c>
      <c r="E559" s="45" t="s">
        <v>863</v>
      </c>
      <c r="F559" s="45">
        <v>0</v>
      </c>
      <c r="G559" s="45" t="s">
        <v>692</v>
      </c>
      <c r="H559" s="45">
        <v>50</v>
      </c>
      <c r="I559" s="45" t="s">
        <v>545</v>
      </c>
      <c r="J559" s="148">
        <v>11</v>
      </c>
      <c r="K559" s="144">
        <v>0.70799999999999996</v>
      </c>
      <c r="L559" s="149"/>
    </row>
    <row r="560" spans="1:12" ht="16.05" customHeight="1">
      <c r="A560" s="45" t="s">
        <v>1109</v>
      </c>
      <c r="B560" s="45" t="s">
        <v>540</v>
      </c>
      <c r="C560" s="45" t="s">
        <v>540</v>
      </c>
      <c r="D560" s="45" t="s">
        <v>1110</v>
      </c>
      <c r="E560" s="45" t="s">
        <v>1111</v>
      </c>
      <c r="F560" s="45">
        <v>1.5</v>
      </c>
      <c r="G560" s="45" t="s">
        <v>692</v>
      </c>
      <c r="H560" s="45">
        <v>66</v>
      </c>
      <c r="I560" s="99" t="s">
        <v>548</v>
      </c>
      <c r="J560" s="148">
        <v>10.7</v>
      </c>
      <c r="K560" s="144">
        <v>1.07</v>
      </c>
      <c r="L560" s="149"/>
    </row>
    <row r="561" spans="1:12" ht="16.05" customHeight="1">
      <c r="A561" s="45" t="s">
        <v>1112</v>
      </c>
      <c r="B561" s="45" t="s">
        <v>540</v>
      </c>
      <c r="C561" s="45" t="s">
        <v>540</v>
      </c>
      <c r="D561" s="45" t="s">
        <v>1110</v>
      </c>
      <c r="E561" s="45" t="s">
        <v>1113</v>
      </c>
      <c r="F561" s="45">
        <v>0.8</v>
      </c>
      <c r="G561" s="45" t="s">
        <v>692</v>
      </c>
      <c r="H561" s="45">
        <v>71</v>
      </c>
      <c r="I561" s="99" t="s">
        <v>545</v>
      </c>
      <c r="J561" s="148">
        <v>17.2</v>
      </c>
      <c r="K561" s="144">
        <v>1.72</v>
      </c>
      <c r="L561" s="149"/>
    </row>
    <row r="562" spans="1:12" ht="16.05" customHeight="1">
      <c r="A562" s="45" t="s">
        <v>1114</v>
      </c>
      <c r="B562" s="45" t="s">
        <v>1115</v>
      </c>
      <c r="C562" s="45" t="s">
        <v>540</v>
      </c>
      <c r="D562" s="45" t="s">
        <v>1110</v>
      </c>
      <c r="E562" s="45" t="s">
        <v>1111</v>
      </c>
      <c r="F562" s="45">
        <v>3</v>
      </c>
      <c r="G562" s="45" t="s">
        <v>692</v>
      </c>
      <c r="H562" s="45">
        <v>49</v>
      </c>
      <c r="I562" s="99" t="s">
        <v>548</v>
      </c>
      <c r="J562" s="148">
        <v>10.5</v>
      </c>
      <c r="K562" s="144">
        <v>1.05</v>
      </c>
      <c r="L562" s="149"/>
    </row>
    <row r="563" spans="1:12" ht="16.05" customHeight="1">
      <c r="A563" s="45" t="s">
        <v>1116</v>
      </c>
      <c r="B563" s="45" t="s">
        <v>540</v>
      </c>
      <c r="C563" s="45" t="s">
        <v>540</v>
      </c>
      <c r="D563" s="45" t="s">
        <v>1110</v>
      </c>
      <c r="E563" s="45" t="s">
        <v>1111</v>
      </c>
      <c r="F563" s="45">
        <v>2</v>
      </c>
      <c r="G563" s="45" t="s">
        <v>692</v>
      </c>
      <c r="H563" s="45">
        <v>59</v>
      </c>
      <c r="I563" s="99" t="s">
        <v>548</v>
      </c>
      <c r="J563" s="148">
        <v>10.6</v>
      </c>
      <c r="K563" s="144">
        <v>1.06</v>
      </c>
      <c r="L563" s="149"/>
    </row>
    <row r="564" spans="1:12" ht="16.05" customHeight="1">
      <c r="A564" s="45" t="s">
        <v>1117</v>
      </c>
      <c r="B564" s="45" t="s">
        <v>1118</v>
      </c>
      <c r="C564" s="45" t="s">
        <v>540</v>
      </c>
      <c r="D564" s="45" t="s">
        <v>1110</v>
      </c>
      <c r="E564" s="45" t="s">
        <v>1113</v>
      </c>
      <c r="F564" s="45">
        <v>1.2</v>
      </c>
      <c r="G564" s="45" t="s">
        <v>692</v>
      </c>
      <c r="H564" s="45">
        <v>50</v>
      </c>
      <c r="I564" s="99" t="s">
        <v>548</v>
      </c>
      <c r="J564" s="148">
        <v>10.17</v>
      </c>
      <c r="K564" s="144">
        <v>0.67800000000000005</v>
      </c>
      <c r="L564" s="149"/>
    </row>
    <row r="565" spans="1:12" ht="16.05" customHeight="1">
      <c r="A565" s="45" t="s">
        <v>1119</v>
      </c>
      <c r="B565" s="45" t="s">
        <v>540</v>
      </c>
      <c r="C565" s="45" t="s">
        <v>540</v>
      </c>
      <c r="D565" s="45" t="s">
        <v>1110</v>
      </c>
      <c r="E565" s="45" t="s">
        <v>1113</v>
      </c>
      <c r="F565" s="45">
        <v>0</v>
      </c>
      <c r="G565" s="45" t="s">
        <v>692</v>
      </c>
      <c r="H565" s="45">
        <v>47</v>
      </c>
      <c r="I565" s="99" t="s">
        <v>548</v>
      </c>
      <c r="J565" s="148">
        <v>35.4</v>
      </c>
      <c r="K565" s="144">
        <v>2.36</v>
      </c>
      <c r="L565" s="149"/>
    </row>
    <row r="566" spans="1:12" ht="16.05" customHeight="1">
      <c r="A566" s="45" t="s">
        <v>1120</v>
      </c>
      <c r="B566" s="45" t="s">
        <v>540</v>
      </c>
      <c r="C566" s="45" t="s">
        <v>540</v>
      </c>
      <c r="D566" s="45" t="s">
        <v>1110</v>
      </c>
      <c r="E566" s="45" t="s">
        <v>1111</v>
      </c>
      <c r="F566" s="45">
        <v>0</v>
      </c>
      <c r="G566" s="45" t="s">
        <v>692</v>
      </c>
      <c r="H566" s="45">
        <v>39</v>
      </c>
      <c r="I566" s="99" t="s">
        <v>548</v>
      </c>
      <c r="J566" s="148">
        <v>15.15</v>
      </c>
      <c r="K566" s="144">
        <v>1.01</v>
      </c>
      <c r="L566" s="149"/>
    </row>
    <row r="567" spans="1:12" ht="16.05" customHeight="1">
      <c r="A567" s="45" t="s">
        <v>1121</v>
      </c>
      <c r="B567" s="45" t="s">
        <v>540</v>
      </c>
      <c r="C567" s="45" t="s">
        <v>540</v>
      </c>
      <c r="D567" s="45" t="s">
        <v>1110</v>
      </c>
      <c r="E567" s="45" t="s">
        <v>1111</v>
      </c>
      <c r="F567" s="45">
        <v>1.1000000000000001</v>
      </c>
      <c r="G567" s="45" t="s">
        <v>692</v>
      </c>
      <c r="H567" s="45">
        <v>54</v>
      </c>
      <c r="I567" s="99" t="s">
        <v>545</v>
      </c>
      <c r="J567" s="148">
        <v>23.4</v>
      </c>
      <c r="K567" s="144">
        <v>1.56</v>
      </c>
      <c r="L567" s="149"/>
    </row>
    <row r="568" spans="1:12" ht="16.05" customHeight="1">
      <c r="A568" s="45" t="s">
        <v>1122</v>
      </c>
      <c r="B568" s="45" t="s">
        <v>540</v>
      </c>
      <c r="C568" s="45" t="s">
        <v>540</v>
      </c>
      <c r="D568" s="45" t="s">
        <v>1110</v>
      </c>
      <c r="E568" s="45" t="s">
        <v>1111</v>
      </c>
      <c r="F568" s="45">
        <v>4.2</v>
      </c>
      <c r="G568" s="45" t="s">
        <v>692</v>
      </c>
      <c r="H568" s="45">
        <v>65</v>
      </c>
      <c r="I568" s="99" t="s">
        <v>545</v>
      </c>
      <c r="J568" s="148">
        <v>15.5</v>
      </c>
      <c r="K568" s="144">
        <v>1.03</v>
      </c>
      <c r="L568" s="149"/>
    </row>
    <row r="569" spans="1:12" ht="16.05" customHeight="1">
      <c r="A569" s="45" t="s">
        <v>1123</v>
      </c>
      <c r="B569" s="45" t="s">
        <v>540</v>
      </c>
      <c r="C569" s="45" t="s">
        <v>540</v>
      </c>
      <c r="D569" s="45" t="s">
        <v>1110</v>
      </c>
      <c r="E569" s="45" t="s">
        <v>1113</v>
      </c>
      <c r="F569" s="45">
        <v>2.8</v>
      </c>
      <c r="G569" s="45" t="s">
        <v>692</v>
      </c>
      <c r="H569" s="45">
        <v>40</v>
      </c>
      <c r="I569" s="99" t="s">
        <v>545</v>
      </c>
      <c r="J569" s="148">
        <v>13.16</v>
      </c>
      <c r="K569" s="144">
        <v>0.877</v>
      </c>
      <c r="L569" s="149"/>
    </row>
    <row r="570" spans="1:12" ht="16.05" customHeight="1">
      <c r="A570" s="45" t="s">
        <v>1124</v>
      </c>
      <c r="B570" s="45" t="s">
        <v>540</v>
      </c>
      <c r="C570" s="45" t="s">
        <v>540</v>
      </c>
      <c r="D570" s="45" t="s">
        <v>1110</v>
      </c>
      <c r="E570" s="45" t="s">
        <v>1111</v>
      </c>
      <c r="F570" s="45">
        <v>1</v>
      </c>
      <c r="G570" s="45" t="s">
        <v>692</v>
      </c>
      <c r="H570" s="45">
        <v>49</v>
      </c>
      <c r="I570" s="99" t="s">
        <v>545</v>
      </c>
      <c r="J570" s="148">
        <v>12.18</v>
      </c>
      <c r="K570" s="144">
        <v>0.81200000000000006</v>
      </c>
      <c r="L570" s="149"/>
    </row>
    <row r="571" spans="1:12" ht="16.05" customHeight="1">
      <c r="A571" s="45" t="s">
        <v>1125</v>
      </c>
      <c r="B571" s="45" t="s">
        <v>540</v>
      </c>
      <c r="C571" s="45" t="s">
        <v>540</v>
      </c>
      <c r="D571" s="45" t="s">
        <v>1110</v>
      </c>
      <c r="E571" s="45" t="s">
        <v>1111</v>
      </c>
      <c r="F571" s="45">
        <v>1.1000000000000001</v>
      </c>
      <c r="G571" s="45" t="s">
        <v>692</v>
      </c>
      <c r="H571" s="45">
        <v>52</v>
      </c>
      <c r="I571" s="99" t="s">
        <v>545</v>
      </c>
      <c r="J571" s="148">
        <v>15.6</v>
      </c>
      <c r="K571" s="144">
        <v>1.04</v>
      </c>
      <c r="L571" s="149"/>
    </row>
    <row r="572" spans="1:12" ht="16.05" customHeight="1">
      <c r="A572" s="45" t="s">
        <v>1126</v>
      </c>
      <c r="B572" s="45" t="s">
        <v>540</v>
      </c>
      <c r="C572" s="45" t="s">
        <v>540</v>
      </c>
      <c r="D572" s="45" t="s">
        <v>1110</v>
      </c>
      <c r="E572" s="45" t="s">
        <v>1113</v>
      </c>
      <c r="F572" s="45">
        <v>0</v>
      </c>
      <c r="G572" s="45" t="s">
        <v>692</v>
      </c>
      <c r="H572" s="45">
        <v>58</v>
      </c>
      <c r="I572" s="99" t="s">
        <v>545</v>
      </c>
      <c r="J572" s="148">
        <v>27</v>
      </c>
      <c r="K572" s="144">
        <v>1.79</v>
      </c>
      <c r="L572" s="149"/>
    </row>
    <row r="573" spans="1:12" ht="16.05" customHeight="1">
      <c r="A573" s="45" t="s">
        <v>1127</v>
      </c>
      <c r="B573" s="45" t="s">
        <v>540</v>
      </c>
      <c r="C573" s="45" t="s">
        <v>540</v>
      </c>
      <c r="D573" s="45" t="s">
        <v>1110</v>
      </c>
      <c r="E573" s="45" t="s">
        <v>1128</v>
      </c>
      <c r="F573" s="45">
        <v>1.2</v>
      </c>
      <c r="G573" s="45" t="s">
        <v>692</v>
      </c>
      <c r="H573" s="45">
        <v>49</v>
      </c>
      <c r="I573" s="99" t="s">
        <v>548</v>
      </c>
      <c r="J573" s="148">
        <v>11.46</v>
      </c>
      <c r="K573" s="144">
        <v>0.76400000000000001</v>
      </c>
      <c r="L573" s="149"/>
    </row>
    <row r="574" spans="1:12" ht="16.05" customHeight="1">
      <c r="A574" s="49" t="s">
        <v>1129</v>
      </c>
      <c r="B574" s="49" t="s">
        <v>540</v>
      </c>
      <c r="C574" s="49" t="s">
        <v>540</v>
      </c>
      <c r="D574" s="49" t="s">
        <v>1110</v>
      </c>
      <c r="E574" s="49" t="s">
        <v>1111</v>
      </c>
      <c r="F574" s="49" t="s">
        <v>349</v>
      </c>
      <c r="G574" s="49" t="s">
        <v>692</v>
      </c>
      <c r="H574" s="49">
        <v>56</v>
      </c>
      <c r="I574" s="117" t="s">
        <v>548</v>
      </c>
      <c r="J574" s="150">
        <v>10.64</v>
      </c>
      <c r="K574" s="146">
        <v>0.70899999999999996</v>
      </c>
      <c r="L574" s="149"/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A5E04-61D8-43A3-9DFC-CC06AC8133E2}">
  <dimension ref="A1:U155"/>
  <sheetViews>
    <sheetView topLeftCell="A10" workbookViewId="0">
      <selection activeCell="D90" sqref="D90"/>
    </sheetView>
  </sheetViews>
  <sheetFormatPr defaultColWidth="13.44140625" defaultRowHeight="13.8"/>
  <cols>
    <col min="1" max="1" width="13" style="22" customWidth="1"/>
    <col min="2" max="2" width="14.21875" style="22" customWidth="1"/>
    <col min="3" max="3" width="18.88671875" style="22" customWidth="1"/>
    <col min="4" max="5" width="13" style="22" customWidth="1"/>
    <col min="6" max="7" width="14" style="22" customWidth="1"/>
    <col min="8" max="8" width="13" style="22" customWidth="1"/>
    <col min="9" max="9" width="13.44140625" style="22"/>
    <col min="10" max="10" width="19.5546875" style="22" customWidth="1"/>
    <col min="11" max="14" width="13.44140625" style="22"/>
    <col min="15" max="21" width="13.44140625" style="95"/>
  </cols>
  <sheetData>
    <row r="1" spans="1:21" s="20" customFormat="1" ht="16.05" customHeight="1">
      <c r="A1" s="100" t="s">
        <v>2036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54"/>
      <c r="P1" s="54"/>
      <c r="Q1" s="54"/>
      <c r="R1" s="54"/>
      <c r="S1" s="54"/>
      <c r="T1" s="54"/>
      <c r="U1" s="54"/>
    </row>
    <row r="2" spans="1:21" s="140" customFormat="1" ht="25.95" customHeight="1">
      <c r="A2" s="26" t="s">
        <v>1130</v>
      </c>
      <c r="B2" s="26" t="s">
        <v>1131</v>
      </c>
      <c r="C2" s="26" t="s">
        <v>1132</v>
      </c>
      <c r="D2" s="26" t="s">
        <v>531</v>
      </c>
      <c r="E2" s="26" t="s">
        <v>532</v>
      </c>
      <c r="F2" s="26" t="s">
        <v>1133</v>
      </c>
      <c r="G2" s="26" t="s">
        <v>1134</v>
      </c>
      <c r="H2" s="27" t="s">
        <v>1135</v>
      </c>
      <c r="I2" s="43"/>
      <c r="J2" s="43"/>
      <c r="K2" s="43"/>
      <c r="L2" s="43"/>
      <c r="M2" s="43"/>
      <c r="N2" s="43"/>
      <c r="O2" s="164"/>
      <c r="P2" s="164"/>
      <c r="Q2" s="141"/>
      <c r="R2" s="164"/>
      <c r="S2" s="164"/>
      <c r="T2" s="164"/>
      <c r="U2" s="164"/>
    </row>
    <row r="3" spans="1:21" ht="16.05" customHeight="1">
      <c r="A3" s="45" t="s">
        <v>1136</v>
      </c>
      <c r="B3" s="45" t="s">
        <v>974</v>
      </c>
      <c r="C3" s="45" t="s">
        <v>1137</v>
      </c>
      <c r="D3" s="45" t="s">
        <v>863</v>
      </c>
      <c r="E3" s="45" t="s">
        <v>863</v>
      </c>
      <c r="F3" s="45" t="s">
        <v>540</v>
      </c>
      <c r="G3" s="45">
        <v>0</v>
      </c>
      <c r="H3" s="46" t="s">
        <v>368</v>
      </c>
      <c r="I3" s="45"/>
      <c r="J3" s="45"/>
      <c r="K3" s="45"/>
      <c r="L3" s="45"/>
      <c r="M3" s="45"/>
      <c r="N3" s="45"/>
      <c r="O3" s="98"/>
      <c r="P3" s="98"/>
      <c r="R3" s="98"/>
      <c r="S3" s="98"/>
      <c r="T3" s="98"/>
      <c r="U3" s="98"/>
    </row>
    <row r="4" spans="1:21" ht="16.05" customHeight="1">
      <c r="A4" s="45" t="s">
        <v>1138</v>
      </c>
      <c r="B4" s="45" t="s">
        <v>1085</v>
      </c>
      <c r="C4" s="45" t="s">
        <v>1139</v>
      </c>
      <c r="D4" s="45" t="s">
        <v>863</v>
      </c>
      <c r="E4" s="45" t="s">
        <v>863</v>
      </c>
      <c r="F4" s="45" t="s">
        <v>540</v>
      </c>
      <c r="G4" s="45">
        <v>0</v>
      </c>
      <c r="H4" s="46" t="s">
        <v>368</v>
      </c>
      <c r="I4" s="45"/>
      <c r="J4" s="45"/>
      <c r="K4" s="45"/>
      <c r="L4" s="45"/>
      <c r="M4" s="45"/>
      <c r="N4" s="45"/>
      <c r="O4" s="98"/>
      <c r="P4" s="98"/>
      <c r="R4" s="98"/>
      <c r="S4" s="98"/>
      <c r="T4" s="98"/>
      <c r="U4" s="98"/>
    </row>
    <row r="5" spans="1:21" ht="16.05" customHeight="1">
      <c r="A5" s="45" t="s">
        <v>1140</v>
      </c>
      <c r="B5" s="45" t="s">
        <v>975</v>
      </c>
      <c r="C5" s="45" t="s">
        <v>1141</v>
      </c>
      <c r="D5" s="45" t="s">
        <v>863</v>
      </c>
      <c r="E5" s="45" t="s">
        <v>863</v>
      </c>
      <c r="F5" s="45" t="s">
        <v>540</v>
      </c>
      <c r="G5" s="45">
        <v>0</v>
      </c>
      <c r="H5" s="46" t="s">
        <v>368</v>
      </c>
      <c r="I5" s="45"/>
      <c r="J5" s="45"/>
      <c r="K5" s="45"/>
      <c r="L5" s="45"/>
      <c r="M5" s="45"/>
      <c r="N5" s="45"/>
      <c r="O5" s="98"/>
      <c r="P5" s="98"/>
      <c r="R5" s="98"/>
      <c r="S5" s="98"/>
      <c r="T5" s="98"/>
      <c r="U5" s="98"/>
    </row>
    <row r="6" spans="1:21" ht="16.05" customHeight="1">
      <c r="A6" s="45" t="s">
        <v>1142</v>
      </c>
      <c r="B6" s="45" t="s">
        <v>1086</v>
      </c>
      <c r="C6" s="45" t="s">
        <v>1143</v>
      </c>
      <c r="D6" s="45" t="s">
        <v>863</v>
      </c>
      <c r="E6" s="45" t="s">
        <v>863</v>
      </c>
      <c r="F6" s="45" t="s">
        <v>540</v>
      </c>
      <c r="G6" s="45">
        <v>0</v>
      </c>
      <c r="H6" s="46" t="s">
        <v>368</v>
      </c>
      <c r="I6" s="45"/>
      <c r="J6" s="45"/>
      <c r="K6" s="45"/>
      <c r="L6" s="45"/>
      <c r="M6" s="45"/>
      <c r="N6" s="45"/>
      <c r="O6" s="98"/>
      <c r="P6" s="98"/>
      <c r="R6" s="98"/>
      <c r="S6" s="98"/>
      <c r="T6" s="98"/>
      <c r="U6" s="98"/>
    </row>
    <row r="7" spans="1:21" ht="16.05" customHeight="1">
      <c r="A7" s="45" t="s">
        <v>1144</v>
      </c>
      <c r="B7" s="45" t="s">
        <v>1087</v>
      </c>
      <c r="C7" s="45" t="s">
        <v>1145</v>
      </c>
      <c r="D7" s="45" t="s">
        <v>863</v>
      </c>
      <c r="E7" s="45" t="s">
        <v>863</v>
      </c>
      <c r="F7" s="45" t="s">
        <v>540</v>
      </c>
      <c r="G7" s="45">
        <v>0</v>
      </c>
      <c r="H7" s="46" t="s">
        <v>368</v>
      </c>
      <c r="I7" s="45"/>
      <c r="J7" s="45"/>
      <c r="K7" s="45"/>
      <c r="L7" s="45"/>
      <c r="M7" s="45"/>
      <c r="N7" s="45"/>
      <c r="O7" s="98"/>
      <c r="P7" s="98"/>
      <c r="R7" s="98"/>
      <c r="S7" s="98"/>
      <c r="T7" s="98"/>
      <c r="U7" s="98"/>
    </row>
    <row r="8" spans="1:21" ht="16.05" customHeight="1">
      <c r="A8" s="45" t="s">
        <v>1146</v>
      </c>
      <c r="B8" s="45" t="s">
        <v>1084</v>
      </c>
      <c r="C8" s="45" t="s">
        <v>1147</v>
      </c>
      <c r="D8" s="45" t="s">
        <v>863</v>
      </c>
      <c r="E8" s="45" t="s">
        <v>863</v>
      </c>
      <c r="F8" s="45" t="s">
        <v>540</v>
      </c>
      <c r="G8" s="45">
        <v>0</v>
      </c>
      <c r="H8" s="46" t="s">
        <v>368</v>
      </c>
      <c r="I8" s="45"/>
      <c r="J8" s="45"/>
      <c r="K8" s="45"/>
      <c r="L8" s="45"/>
      <c r="M8" s="45"/>
      <c r="N8" s="45"/>
      <c r="O8" s="98"/>
      <c r="P8" s="98"/>
      <c r="R8" s="98"/>
      <c r="S8" s="98"/>
      <c r="T8" s="98"/>
      <c r="U8" s="98"/>
    </row>
    <row r="9" spans="1:21" ht="16.05" customHeight="1">
      <c r="A9" s="45" t="s">
        <v>1148</v>
      </c>
      <c r="B9" s="45" t="s">
        <v>952</v>
      </c>
      <c r="C9" s="45" t="s">
        <v>1149</v>
      </c>
      <c r="D9" s="45" t="s">
        <v>863</v>
      </c>
      <c r="E9" s="45" t="s">
        <v>863</v>
      </c>
      <c r="F9" s="45" t="s">
        <v>540</v>
      </c>
      <c r="G9" s="45">
        <v>0</v>
      </c>
      <c r="H9" s="46" t="s">
        <v>368</v>
      </c>
      <c r="I9" s="45"/>
      <c r="J9" s="45"/>
      <c r="K9" s="45"/>
      <c r="L9" s="45"/>
      <c r="M9" s="45"/>
      <c r="N9" s="45"/>
      <c r="O9" s="98"/>
      <c r="P9" s="98"/>
      <c r="R9" s="98"/>
      <c r="S9" s="98"/>
      <c r="T9" s="98"/>
      <c r="U9" s="98"/>
    </row>
    <row r="10" spans="1:21" ht="16.05" customHeight="1">
      <c r="A10" s="45" t="s">
        <v>1150</v>
      </c>
      <c r="B10" s="45" t="s">
        <v>1038</v>
      </c>
      <c r="C10" s="45" t="s">
        <v>1151</v>
      </c>
      <c r="D10" s="45" t="s">
        <v>863</v>
      </c>
      <c r="E10" s="45" t="s">
        <v>863</v>
      </c>
      <c r="F10" s="45" t="s">
        <v>540</v>
      </c>
      <c r="G10" s="45">
        <v>0</v>
      </c>
      <c r="H10" s="46" t="s">
        <v>368</v>
      </c>
      <c r="I10" s="45"/>
      <c r="J10" s="45"/>
      <c r="K10" s="45"/>
      <c r="L10" s="45"/>
      <c r="M10" s="45"/>
      <c r="N10" s="45"/>
      <c r="O10" s="98"/>
      <c r="P10" s="98"/>
      <c r="R10" s="98"/>
      <c r="S10" s="98"/>
      <c r="T10" s="98"/>
      <c r="U10" s="98"/>
    </row>
    <row r="11" spans="1:21" ht="16.05" customHeight="1">
      <c r="A11" s="45" t="s">
        <v>1152</v>
      </c>
      <c r="B11" s="45" t="s">
        <v>1039</v>
      </c>
      <c r="C11" s="45" t="s">
        <v>1153</v>
      </c>
      <c r="D11" s="45" t="s">
        <v>863</v>
      </c>
      <c r="E11" s="45" t="s">
        <v>863</v>
      </c>
      <c r="F11" s="45" t="s">
        <v>540</v>
      </c>
      <c r="G11" s="45">
        <v>0</v>
      </c>
      <c r="H11" s="46" t="s">
        <v>368</v>
      </c>
      <c r="I11" s="45"/>
      <c r="J11" s="45"/>
      <c r="K11" s="45"/>
      <c r="L11" s="45"/>
      <c r="M11" s="45"/>
      <c r="N11" s="45"/>
      <c r="O11" s="98"/>
      <c r="P11" s="98"/>
      <c r="R11" s="98"/>
      <c r="S11" s="98"/>
      <c r="T11" s="98"/>
      <c r="U11" s="98"/>
    </row>
    <row r="12" spans="1:21" ht="16.05" customHeight="1">
      <c r="A12" s="45" t="s">
        <v>1154</v>
      </c>
      <c r="B12" s="45" t="s">
        <v>1042</v>
      </c>
      <c r="C12" s="45" t="s">
        <v>1155</v>
      </c>
      <c r="D12" s="45" t="s">
        <v>863</v>
      </c>
      <c r="E12" s="45" t="s">
        <v>863</v>
      </c>
      <c r="F12" s="45" t="s">
        <v>540</v>
      </c>
      <c r="G12" s="45">
        <v>0</v>
      </c>
      <c r="H12" s="46" t="s">
        <v>368</v>
      </c>
      <c r="I12" s="45"/>
      <c r="J12" s="45"/>
      <c r="K12" s="45"/>
      <c r="L12" s="45"/>
      <c r="M12" s="45"/>
      <c r="N12" s="45"/>
      <c r="O12" s="98"/>
      <c r="P12" s="98"/>
      <c r="R12" s="98"/>
      <c r="S12" s="98"/>
      <c r="T12" s="98"/>
      <c r="U12" s="98"/>
    </row>
    <row r="13" spans="1:21" ht="16.05" customHeight="1">
      <c r="A13" s="45" t="s">
        <v>1156</v>
      </c>
      <c r="B13" s="45" t="s">
        <v>1051</v>
      </c>
      <c r="C13" s="45" t="s">
        <v>1157</v>
      </c>
      <c r="D13" s="45" t="s">
        <v>863</v>
      </c>
      <c r="E13" s="45" t="s">
        <v>863</v>
      </c>
      <c r="F13" s="45" t="s">
        <v>540</v>
      </c>
      <c r="G13" s="45">
        <v>0</v>
      </c>
      <c r="H13" s="46" t="s">
        <v>368</v>
      </c>
      <c r="I13" s="45"/>
      <c r="J13" s="45"/>
      <c r="K13" s="45"/>
      <c r="L13" s="45"/>
      <c r="M13" s="45"/>
      <c r="N13" s="45"/>
      <c r="O13" s="98"/>
      <c r="P13" s="98"/>
      <c r="R13" s="98"/>
      <c r="S13" s="98"/>
      <c r="T13" s="98"/>
      <c r="U13" s="98"/>
    </row>
    <row r="14" spans="1:21" ht="16.05" customHeight="1">
      <c r="A14" s="45" t="s">
        <v>1158</v>
      </c>
      <c r="B14" s="45" t="s">
        <v>963</v>
      </c>
      <c r="C14" s="45" t="s">
        <v>1159</v>
      </c>
      <c r="D14" s="45" t="s">
        <v>863</v>
      </c>
      <c r="E14" s="45" t="s">
        <v>863</v>
      </c>
      <c r="F14" s="45" t="s">
        <v>540</v>
      </c>
      <c r="G14" s="45">
        <v>0</v>
      </c>
      <c r="H14" s="46" t="s">
        <v>368</v>
      </c>
      <c r="I14" s="45"/>
      <c r="J14" s="45"/>
      <c r="K14" s="45"/>
      <c r="L14" s="45"/>
      <c r="M14" s="45"/>
      <c r="N14" s="45"/>
      <c r="O14" s="98"/>
      <c r="P14" s="98"/>
      <c r="R14" s="98"/>
      <c r="S14" s="98"/>
      <c r="T14" s="98"/>
      <c r="U14" s="98"/>
    </row>
    <row r="15" spans="1:21" ht="16.05" customHeight="1">
      <c r="A15" s="45" t="s">
        <v>1160</v>
      </c>
      <c r="B15" s="45" t="s">
        <v>965</v>
      </c>
      <c r="C15" s="45" t="s">
        <v>1161</v>
      </c>
      <c r="D15" s="45" t="s">
        <v>863</v>
      </c>
      <c r="E15" s="45" t="s">
        <v>863</v>
      </c>
      <c r="F15" s="45" t="s">
        <v>540</v>
      </c>
      <c r="G15" s="45">
        <v>0</v>
      </c>
      <c r="H15" s="46" t="s">
        <v>368</v>
      </c>
      <c r="I15" s="45"/>
      <c r="J15" s="45"/>
      <c r="K15" s="45"/>
      <c r="L15" s="45"/>
      <c r="M15" s="45"/>
      <c r="N15" s="45"/>
      <c r="O15" s="98"/>
      <c r="P15" s="98"/>
      <c r="R15" s="98"/>
      <c r="S15" s="98"/>
      <c r="T15" s="98"/>
      <c r="U15" s="98"/>
    </row>
    <row r="16" spans="1:21" ht="16.05" customHeight="1">
      <c r="A16" s="45" t="s">
        <v>1162</v>
      </c>
      <c r="B16" s="45" t="s">
        <v>969</v>
      </c>
      <c r="C16" s="45" t="s">
        <v>1163</v>
      </c>
      <c r="D16" s="45" t="s">
        <v>863</v>
      </c>
      <c r="E16" s="45" t="s">
        <v>863</v>
      </c>
      <c r="F16" s="45" t="s">
        <v>540</v>
      </c>
      <c r="G16" s="45">
        <v>0</v>
      </c>
      <c r="H16" s="46" t="s">
        <v>368</v>
      </c>
      <c r="I16" s="45"/>
      <c r="J16" s="45"/>
      <c r="K16" s="45"/>
      <c r="L16" s="45"/>
      <c r="M16" s="45"/>
      <c r="N16" s="45"/>
      <c r="O16" s="98"/>
      <c r="P16" s="98"/>
      <c r="R16" s="98"/>
      <c r="S16" s="98"/>
      <c r="T16" s="98"/>
      <c r="U16" s="98"/>
    </row>
    <row r="17" spans="1:21" ht="16.05" customHeight="1">
      <c r="A17" s="45" t="s">
        <v>1164</v>
      </c>
      <c r="B17" s="45" t="s">
        <v>970</v>
      </c>
      <c r="C17" s="45" t="s">
        <v>1165</v>
      </c>
      <c r="D17" s="45" t="s">
        <v>863</v>
      </c>
      <c r="E17" s="45" t="s">
        <v>863</v>
      </c>
      <c r="F17" s="45" t="s">
        <v>540</v>
      </c>
      <c r="G17" s="45">
        <v>0</v>
      </c>
      <c r="H17" s="46" t="s">
        <v>368</v>
      </c>
      <c r="I17" s="45"/>
      <c r="J17" s="45"/>
      <c r="K17" s="45"/>
      <c r="L17" s="45"/>
      <c r="M17" s="45"/>
      <c r="N17" s="45"/>
      <c r="O17" s="98"/>
      <c r="P17" s="98"/>
      <c r="R17" s="98"/>
      <c r="S17" s="98"/>
      <c r="T17" s="98"/>
      <c r="U17" s="98"/>
    </row>
    <row r="18" spans="1:21" ht="16.05" customHeight="1">
      <c r="A18" s="45" t="s">
        <v>1166</v>
      </c>
      <c r="B18" s="45" t="s">
        <v>1088</v>
      </c>
      <c r="C18" s="45" t="s">
        <v>1167</v>
      </c>
      <c r="D18" s="45" t="s">
        <v>863</v>
      </c>
      <c r="E18" s="45" t="s">
        <v>863</v>
      </c>
      <c r="F18" s="45" t="s">
        <v>540</v>
      </c>
      <c r="G18" s="45">
        <v>0</v>
      </c>
      <c r="H18" s="46" t="s">
        <v>368</v>
      </c>
      <c r="I18" s="45"/>
      <c r="J18" s="45"/>
      <c r="K18" s="45"/>
      <c r="L18" s="45"/>
      <c r="M18" s="45"/>
      <c r="N18" s="45"/>
      <c r="O18" s="98"/>
      <c r="P18" s="98"/>
      <c r="R18" s="98"/>
      <c r="S18" s="98"/>
      <c r="T18" s="98"/>
      <c r="U18" s="98"/>
    </row>
    <row r="19" spans="1:21" ht="16.05" customHeight="1">
      <c r="A19" s="45" t="s">
        <v>1168</v>
      </c>
      <c r="B19" s="45" t="s">
        <v>976</v>
      </c>
      <c r="C19" s="45" t="s">
        <v>1169</v>
      </c>
      <c r="D19" s="45" t="s">
        <v>863</v>
      </c>
      <c r="E19" s="45" t="s">
        <v>863</v>
      </c>
      <c r="F19" s="45" t="s">
        <v>540</v>
      </c>
      <c r="G19" s="45">
        <v>0</v>
      </c>
      <c r="H19" s="46" t="s">
        <v>368</v>
      </c>
      <c r="I19" s="45"/>
      <c r="J19" s="45"/>
      <c r="K19" s="45"/>
      <c r="L19" s="45"/>
      <c r="M19" s="45"/>
      <c r="N19" s="45"/>
      <c r="O19" s="98"/>
      <c r="P19" s="98"/>
      <c r="R19" s="98"/>
      <c r="S19" s="98"/>
      <c r="T19" s="98"/>
      <c r="U19" s="98"/>
    </row>
    <row r="20" spans="1:21" ht="16.05" customHeight="1">
      <c r="A20" s="45" t="s">
        <v>1170</v>
      </c>
      <c r="B20" s="45" t="s">
        <v>977</v>
      </c>
      <c r="C20" s="45" t="s">
        <v>1171</v>
      </c>
      <c r="D20" s="45" t="s">
        <v>863</v>
      </c>
      <c r="E20" s="45" t="s">
        <v>863</v>
      </c>
      <c r="F20" s="45" t="s">
        <v>540</v>
      </c>
      <c r="G20" s="45">
        <v>0</v>
      </c>
      <c r="H20" s="46" t="s">
        <v>368</v>
      </c>
      <c r="I20" s="45"/>
      <c r="J20" s="45"/>
      <c r="K20" s="45"/>
      <c r="L20" s="45"/>
      <c r="M20" s="45"/>
      <c r="N20" s="45"/>
      <c r="O20" s="98"/>
      <c r="P20" s="98"/>
      <c r="R20" s="98"/>
      <c r="S20" s="98"/>
      <c r="T20" s="98"/>
      <c r="U20" s="98"/>
    </row>
    <row r="21" spans="1:21" ht="16.05" customHeight="1">
      <c r="A21" s="45" t="s">
        <v>1172</v>
      </c>
      <c r="B21" s="45" t="s">
        <v>978</v>
      </c>
      <c r="C21" s="45" t="s">
        <v>1173</v>
      </c>
      <c r="D21" s="45" t="s">
        <v>863</v>
      </c>
      <c r="E21" s="45" t="s">
        <v>863</v>
      </c>
      <c r="F21" s="45" t="s">
        <v>540</v>
      </c>
      <c r="G21" s="45">
        <v>0</v>
      </c>
      <c r="H21" s="46" t="s">
        <v>368</v>
      </c>
      <c r="I21" s="45"/>
      <c r="J21" s="45"/>
      <c r="K21" s="45"/>
      <c r="L21" s="45"/>
      <c r="M21" s="45"/>
      <c r="N21" s="45"/>
      <c r="O21" s="98"/>
      <c r="P21" s="98"/>
      <c r="R21" s="98"/>
      <c r="S21" s="98"/>
      <c r="T21" s="98"/>
      <c r="U21" s="98"/>
    </row>
    <row r="22" spans="1:21" ht="16.05" customHeight="1">
      <c r="A22" s="45" t="s">
        <v>1174</v>
      </c>
      <c r="B22" s="45" t="s">
        <v>979</v>
      </c>
      <c r="C22" s="45" t="s">
        <v>1175</v>
      </c>
      <c r="D22" s="45" t="s">
        <v>863</v>
      </c>
      <c r="E22" s="45" t="s">
        <v>863</v>
      </c>
      <c r="F22" s="45" t="s">
        <v>540</v>
      </c>
      <c r="G22" s="45">
        <v>0</v>
      </c>
      <c r="H22" s="46" t="s">
        <v>368</v>
      </c>
      <c r="I22" s="45"/>
      <c r="J22" s="45"/>
      <c r="K22" s="45"/>
      <c r="L22" s="45"/>
      <c r="M22" s="45"/>
      <c r="N22" s="45"/>
      <c r="O22" s="98"/>
      <c r="P22" s="98"/>
      <c r="R22" s="98"/>
      <c r="S22" s="98"/>
      <c r="T22" s="98"/>
      <c r="U22" s="98"/>
    </row>
    <row r="23" spans="1:21" ht="16.05" customHeight="1">
      <c r="A23" s="45" t="s">
        <v>1176</v>
      </c>
      <c r="B23" s="45" t="s">
        <v>980</v>
      </c>
      <c r="C23" s="45" t="s">
        <v>1177</v>
      </c>
      <c r="D23" s="45" t="s">
        <v>863</v>
      </c>
      <c r="E23" s="45" t="s">
        <v>863</v>
      </c>
      <c r="F23" s="45" t="s">
        <v>540</v>
      </c>
      <c r="G23" s="45">
        <v>0</v>
      </c>
      <c r="H23" s="46" t="s">
        <v>368</v>
      </c>
      <c r="I23" s="45"/>
      <c r="J23" s="45"/>
      <c r="K23" s="45"/>
      <c r="L23" s="45"/>
      <c r="M23" s="45"/>
      <c r="N23" s="45"/>
      <c r="O23" s="98"/>
      <c r="P23" s="98"/>
      <c r="R23" s="98"/>
      <c r="S23" s="98"/>
      <c r="T23" s="98"/>
      <c r="U23" s="98"/>
    </row>
    <row r="24" spans="1:21" ht="16.05" customHeight="1">
      <c r="A24" s="45" t="s">
        <v>1178</v>
      </c>
      <c r="B24" s="45" t="s">
        <v>982</v>
      </c>
      <c r="C24" s="45" t="s">
        <v>1179</v>
      </c>
      <c r="D24" s="45" t="s">
        <v>863</v>
      </c>
      <c r="E24" s="45" t="s">
        <v>863</v>
      </c>
      <c r="F24" s="45" t="s">
        <v>540</v>
      </c>
      <c r="G24" s="45">
        <v>0</v>
      </c>
      <c r="H24" s="46" t="s">
        <v>368</v>
      </c>
      <c r="I24" s="45"/>
      <c r="J24" s="45"/>
      <c r="K24" s="45"/>
      <c r="L24" s="45"/>
      <c r="M24" s="45"/>
      <c r="N24" s="45"/>
      <c r="O24" s="98"/>
      <c r="P24" s="98"/>
      <c r="R24" s="98"/>
      <c r="S24" s="98"/>
      <c r="T24" s="98"/>
      <c r="U24" s="98"/>
    </row>
    <row r="25" spans="1:21" ht="16.05" customHeight="1">
      <c r="A25" s="45" t="s">
        <v>1180</v>
      </c>
      <c r="B25" s="45" t="s">
        <v>1092</v>
      </c>
      <c r="C25" s="45" t="s">
        <v>1181</v>
      </c>
      <c r="D25" s="45" t="s">
        <v>863</v>
      </c>
      <c r="E25" s="45" t="s">
        <v>863</v>
      </c>
      <c r="F25" s="45" t="s">
        <v>540</v>
      </c>
      <c r="G25" s="45">
        <v>0</v>
      </c>
      <c r="H25" s="46" t="s">
        <v>368</v>
      </c>
      <c r="I25" s="45"/>
      <c r="J25" s="45"/>
      <c r="K25" s="45"/>
      <c r="L25" s="45"/>
      <c r="M25" s="45"/>
      <c r="N25" s="45"/>
      <c r="O25" s="98"/>
      <c r="P25" s="98"/>
      <c r="R25" s="98"/>
      <c r="S25" s="98"/>
      <c r="T25" s="98"/>
      <c r="U25" s="98"/>
    </row>
    <row r="26" spans="1:21" ht="16.05" customHeight="1">
      <c r="A26" s="45" t="s">
        <v>1182</v>
      </c>
      <c r="B26" s="45" t="s">
        <v>986</v>
      </c>
      <c r="C26" s="45" t="s">
        <v>1183</v>
      </c>
      <c r="D26" s="45" t="s">
        <v>863</v>
      </c>
      <c r="E26" s="45" t="s">
        <v>863</v>
      </c>
      <c r="F26" s="45" t="s">
        <v>540</v>
      </c>
      <c r="G26" s="45">
        <v>0</v>
      </c>
      <c r="H26" s="46" t="s">
        <v>368</v>
      </c>
      <c r="I26" s="45"/>
      <c r="J26" s="45"/>
      <c r="K26" s="45"/>
      <c r="L26" s="45"/>
      <c r="M26" s="45"/>
      <c r="N26" s="45"/>
      <c r="O26" s="98"/>
      <c r="P26" s="98"/>
      <c r="R26" s="98"/>
      <c r="S26" s="98"/>
      <c r="T26" s="98"/>
      <c r="U26" s="98"/>
    </row>
    <row r="27" spans="1:21" ht="16.05" customHeight="1">
      <c r="A27" s="45" t="s">
        <v>1184</v>
      </c>
      <c r="B27" s="45" t="s">
        <v>945</v>
      </c>
      <c r="C27" s="45" t="s">
        <v>1185</v>
      </c>
      <c r="D27" s="45" t="s">
        <v>863</v>
      </c>
      <c r="E27" s="45" t="s">
        <v>863</v>
      </c>
      <c r="F27" s="45" t="s">
        <v>540</v>
      </c>
      <c r="G27" s="45">
        <v>0</v>
      </c>
      <c r="H27" s="46" t="s">
        <v>368</v>
      </c>
      <c r="I27" s="45"/>
      <c r="J27" s="45"/>
      <c r="K27" s="45"/>
      <c r="L27" s="45"/>
      <c r="M27" s="45"/>
      <c r="N27" s="45"/>
      <c r="O27" s="98"/>
      <c r="P27" s="98"/>
      <c r="R27" s="98"/>
      <c r="S27" s="98"/>
      <c r="T27" s="98"/>
      <c r="U27" s="98"/>
    </row>
    <row r="28" spans="1:21" ht="16.05" customHeight="1">
      <c r="A28" s="45" t="s">
        <v>1186</v>
      </c>
      <c r="B28" s="45" t="s">
        <v>1036</v>
      </c>
      <c r="C28" s="45" t="s">
        <v>1187</v>
      </c>
      <c r="D28" s="45" t="s">
        <v>863</v>
      </c>
      <c r="E28" s="45" t="s">
        <v>863</v>
      </c>
      <c r="F28" s="45" t="s">
        <v>540</v>
      </c>
      <c r="G28" s="45">
        <v>0</v>
      </c>
      <c r="H28" s="46" t="s">
        <v>368</v>
      </c>
      <c r="I28" s="45"/>
      <c r="J28" s="45"/>
      <c r="K28" s="45"/>
      <c r="L28" s="45"/>
      <c r="M28" s="45"/>
      <c r="N28" s="45"/>
      <c r="O28" s="98"/>
      <c r="P28" s="98"/>
      <c r="R28" s="98"/>
      <c r="S28" s="98"/>
      <c r="T28" s="98"/>
      <c r="U28" s="98"/>
    </row>
    <row r="29" spans="1:21" ht="16.05" customHeight="1">
      <c r="A29" s="45" t="s">
        <v>1188</v>
      </c>
      <c r="B29" s="45" t="s">
        <v>949</v>
      </c>
      <c r="C29" s="45" t="s">
        <v>1189</v>
      </c>
      <c r="D29" s="45" t="s">
        <v>863</v>
      </c>
      <c r="E29" s="45" t="s">
        <v>863</v>
      </c>
      <c r="F29" s="45" t="s">
        <v>540</v>
      </c>
      <c r="G29" s="45">
        <v>0</v>
      </c>
      <c r="H29" s="46" t="s">
        <v>368</v>
      </c>
      <c r="I29" s="45"/>
      <c r="J29" s="45"/>
      <c r="K29" s="45"/>
      <c r="L29" s="45"/>
      <c r="M29" s="45"/>
      <c r="N29" s="45"/>
      <c r="O29" s="98"/>
      <c r="P29" s="98"/>
      <c r="R29" s="98"/>
      <c r="S29" s="98"/>
      <c r="T29" s="98"/>
      <c r="U29" s="98"/>
    </row>
    <row r="30" spans="1:21" ht="16.05" customHeight="1">
      <c r="A30" s="45" t="s">
        <v>1190</v>
      </c>
      <c r="B30" s="45" t="s">
        <v>1057</v>
      </c>
      <c r="C30" s="45" t="s">
        <v>1191</v>
      </c>
      <c r="D30" s="45" t="s">
        <v>863</v>
      </c>
      <c r="E30" s="45" t="s">
        <v>863</v>
      </c>
      <c r="F30" s="45" t="s">
        <v>540</v>
      </c>
      <c r="G30" s="45">
        <v>0</v>
      </c>
      <c r="H30" s="46" t="s">
        <v>368</v>
      </c>
      <c r="I30" s="45"/>
      <c r="J30" s="45"/>
      <c r="K30" s="45"/>
      <c r="L30" s="45"/>
      <c r="M30" s="45"/>
      <c r="N30" s="45"/>
      <c r="O30" s="98"/>
      <c r="P30" s="98"/>
      <c r="R30" s="98"/>
      <c r="S30" s="98"/>
      <c r="T30" s="98"/>
      <c r="U30" s="98"/>
    </row>
    <row r="31" spans="1:21" ht="16.05" customHeight="1">
      <c r="A31" s="45" t="s">
        <v>1192</v>
      </c>
      <c r="B31" s="45" t="s">
        <v>547</v>
      </c>
      <c r="C31" s="45" t="s">
        <v>1193</v>
      </c>
      <c r="D31" s="45" t="s">
        <v>1194</v>
      </c>
      <c r="E31" s="45" t="s">
        <v>543</v>
      </c>
      <c r="F31" s="45" t="s">
        <v>540</v>
      </c>
      <c r="G31" s="45">
        <v>0</v>
      </c>
      <c r="H31" s="46" t="s">
        <v>368</v>
      </c>
      <c r="J31" s="45"/>
      <c r="K31" s="45"/>
      <c r="L31" s="45"/>
      <c r="M31" s="45"/>
      <c r="N31" s="45"/>
      <c r="O31" s="98"/>
      <c r="P31" s="98"/>
      <c r="R31" s="98"/>
      <c r="S31" s="98"/>
      <c r="T31" s="98"/>
      <c r="U31" s="98"/>
    </row>
    <row r="32" spans="1:21" ht="16.05" customHeight="1">
      <c r="A32" s="45" t="s">
        <v>1195</v>
      </c>
      <c r="B32" s="45" t="s">
        <v>560</v>
      </c>
      <c r="C32" s="45" t="s">
        <v>1196</v>
      </c>
      <c r="D32" s="45" t="s">
        <v>1194</v>
      </c>
      <c r="E32" s="45" t="s">
        <v>543</v>
      </c>
      <c r="F32" s="45" t="s">
        <v>540</v>
      </c>
      <c r="G32" s="45">
        <v>0</v>
      </c>
      <c r="H32" s="46" t="s">
        <v>368</v>
      </c>
      <c r="J32" s="45"/>
      <c r="K32" s="45"/>
      <c r="L32" s="45"/>
      <c r="M32" s="45"/>
      <c r="N32" s="45"/>
      <c r="O32" s="98"/>
      <c r="P32" s="98"/>
      <c r="R32" s="98"/>
      <c r="S32" s="98"/>
      <c r="T32" s="98"/>
      <c r="U32" s="98"/>
    </row>
    <row r="33" spans="1:21" ht="16.05" customHeight="1">
      <c r="A33" s="45" t="s">
        <v>1197</v>
      </c>
      <c r="B33" s="45" t="s">
        <v>579</v>
      </c>
      <c r="C33" s="45" t="s">
        <v>1198</v>
      </c>
      <c r="D33" s="45" t="s">
        <v>1194</v>
      </c>
      <c r="E33" s="45" t="s">
        <v>543</v>
      </c>
      <c r="F33" s="45" t="s">
        <v>541</v>
      </c>
      <c r="G33" s="81">
        <v>0.01</v>
      </c>
      <c r="H33" s="46" t="s">
        <v>1199</v>
      </c>
      <c r="J33" s="45"/>
      <c r="K33" s="45"/>
      <c r="L33" s="45"/>
      <c r="M33" s="45"/>
      <c r="N33" s="45"/>
      <c r="O33" s="98"/>
      <c r="P33" s="98"/>
      <c r="R33" s="98"/>
      <c r="S33" s="98"/>
      <c r="T33" s="98"/>
      <c r="U33" s="98"/>
    </row>
    <row r="34" spans="1:21" ht="16.05" customHeight="1">
      <c r="A34" s="45" t="s">
        <v>1200</v>
      </c>
      <c r="B34" s="45" t="s">
        <v>565</v>
      </c>
      <c r="C34" s="45" t="s">
        <v>1201</v>
      </c>
      <c r="D34" s="45" t="s">
        <v>1194</v>
      </c>
      <c r="E34" s="45" t="s">
        <v>543</v>
      </c>
      <c r="F34" s="45" t="s">
        <v>540</v>
      </c>
      <c r="G34" s="45">
        <v>0</v>
      </c>
      <c r="H34" s="46" t="s">
        <v>368</v>
      </c>
      <c r="J34" s="45"/>
      <c r="K34" s="45"/>
      <c r="L34" s="45"/>
      <c r="M34" s="45"/>
      <c r="N34" s="45"/>
      <c r="O34" s="98"/>
      <c r="P34" s="98"/>
      <c r="R34" s="98"/>
      <c r="S34" s="98"/>
      <c r="T34" s="98"/>
      <c r="U34" s="98"/>
    </row>
    <row r="35" spans="1:21" ht="16.05" customHeight="1">
      <c r="A35" s="45" t="s">
        <v>1202</v>
      </c>
      <c r="B35" s="45" t="s">
        <v>580</v>
      </c>
      <c r="C35" s="45" t="s">
        <v>1203</v>
      </c>
      <c r="D35" s="45" t="s">
        <v>1194</v>
      </c>
      <c r="E35" s="45" t="s">
        <v>552</v>
      </c>
      <c r="F35" s="45" t="s">
        <v>540</v>
      </c>
      <c r="G35" s="45">
        <v>0</v>
      </c>
      <c r="H35" s="46" t="s">
        <v>368</v>
      </c>
      <c r="J35" s="45"/>
      <c r="K35" s="45"/>
      <c r="L35" s="45"/>
      <c r="M35" s="45"/>
      <c r="N35" s="45"/>
      <c r="O35" s="98"/>
      <c r="P35" s="98"/>
      <c r="R35" s="98"/>
      <c r="S35" s="98"/>
      <c r="T35" s="98"/>
      <c r="U35" s="98"/>
    </row>
    <row r="36" spans="1:21" ht="16.05" customHeight="1">
      <c r="A36" s="45" t="s">
        <v>1204</v>
      </c>
      <c r="B36" s="45" t="s">
        <v>714</v>
      </c>
      <c r="C36" s="45" t="s">
        <v>1205</v>
      </c>
      <c r="D36" s="45" t="s">
        <v>1194</v>
      </c>
      <c r="E36" s="45" t="s">
        <v>543</v>
      </c>
      <c r="F36" s="45" t="s">
        <v>540</v>
      </c>
      <c r="G36" s="45">
        <v>0</v>
      </c>
      <c r="H36" s="46" t="s">
        <v>368</v>
      </c>
      <c r="J36" s="45"/>
      <c r="K36" s="45"/>
      <c r="L36" s="45"/>
      <c r="M36" s="45"/>
      <c r="N36" s="45"/>
      <c r="O36" s="98"/>
      <c r="P36" s="98"/>
      <c r="R36" s="98"/>
      <c r="S36" s="98"/>
      <c r="T36" s="98"/>
      <c r="U36" s="98"/>
    </row>
    <row r="37" spans="1:21" ht="16.05" customHeight="1">
      <c r="A37" s="45" t="s">
        <v>1206</v>
      </c>
      <c r="B37" s="45" t="s">
        <v>701</v>
      </c>
      <c r="C37" s="45" t="s">
        <v>1207</v>
      </c>
      <c r="D37" s="45" t="s">
        <v>1194</v>
      </c>
      <c r="E37" s="45" t="s">
        <v>543</v>
      </c>
      <c r="F37" s="45" t="s">
        <v>540</v>
      </c>
      <c r="G37" s="45">
        <v>0</v>
      </c>
      <c r="H37" s="46" t="s">
        <v>368</v>
      </c>
      <c r="J37" s="45"/>
      <c r="K37" s="45"/>
      <c r="L37" s="45"/>
      <c r="M37" s="45"/>
      <c r="N37" s="45"/>
      <c r="O37" s="98"/>
      <c r="P37" s="98"/>
      <c r="R37" s="98"/>
      <c r="S37" s="98"/>
      <c r="T37" s="98"/>
      <c r="U37" s="98"/>
    </row>
    <row r="38" spans="1:21" ht="16.05" customHeight="1">
      <c r="A38" s="45" t="s">
        <v>1208</v>
      </c>
      <c r="B38" s="45" t="s">
        <v>713</v>
      </c>
      <c r="C38" s="45" t="s">
        <v>1209</v>
      </c>
      <c r="D38" s="45" t="s">
        <v>1194</v>
      </c>
      <c r="E38" s="45" t="s">
        <v>543</v>
      </c>
      <c r="F38" s="45" t="s">
        <v>541</v>
      </c>
      <c r="G38" s="45">
        <v>0</v>
      </c>
      <c r="H38" s="46" t="s">
        <v>368</v>
      </c>
      <c r="J38" s="45"/>
      <c r="K38" s="45"/>
      <c r="L38" s="45"/>
      <c r="M38" s="45"/>
      <c r="N38" s="45"/>
      <c r="O38" s="98"/>
      <c r="P38" s="98"/>
      <c r="R38" s="98"/>
      <c r="S38" s="98"/>
      <c r="T38" s="98"/>
      <c r="U38" s="98"/>
    </row>
    <row r="39" spans="1:21" ht="16.05" customHeight="1">
      <c r="A39" s="45" t="s">
        <v>1210</v>
      </c>
      <c r="B39" s="45" t="s">
        <v>557</v>
      </c>
      <c r="C39" s="45" t="s">
        <v>1211</v>
      </c>
      <c r="D39" s="45" t="s">
        <v>1194</v>
      </c>
      <c r="E39" s="45" t="s">
        <v>543</v>
      </c>
      <c r="F39" s="45" t="s">
        <v>541</v>
      </c>
      <c r="G39" s="45">
        <v>0</v>
      </c>
      <c r="H39" s="46" t="s">
        <v>368</v>
      </c>
      <c r="J39" s="45"/>
      <c r="K39" s="45"/>
      <c r="L39" s="45"/>
      <c r="M39" s="45"/>
      <c r="N39" s="45"/>
      <c r="O39" s="98"/>
      <c r="P39" s="98"/>
      <c r="R39" s="98"/>
      <c r="S39" s="98"/>
      <c r="T39" s="98"/>
      <c r="U39" s="98"/>
    </row>
    <row r="40" spans="1:21" ht="16.05" customHeight="1">
      <c r="A40" s="45" t="s">
        <v>1212</v>
      </c>
      <c r="B40" s="45" t="s">
        <v>708</v>
      </c>
      <c r="C40" s="45" t="s">
        <v>1213</v>
      </c>
      <c r="D40" s="45" t="s">
        <v>1194</v>
      </c>
      <c r="E40" s="45" t="s">
        <v>543</v>
      </c>
      <c r="F40" s="45" t="s">
        <v>541</v>
      </c>
      <c r="G40" s="45">
        <v>0</v>
      </c>
      <c r="H40" s="46" t="s">
        <v>368</v>
      </c>
      <c r="J40" s="45"/>
      <c r="K40" s="45"/>
      <c r="L40" s="45"/>
      <c r="M40" s="45"/>
      <c r="N40" s="45"/>
      <c r="O40" s="98"/>
      <c r="P40" s="98"/>
      <c r="R40" s="98"/>
      <c r="S40" s="98"/>
      <c r="T40" s="98"/>
      <c r="U40" s="98"/>
    </row>
    <row r="41" spans="1:21" ht="16.05" customHeight="1">
      <c r="A41" s="45" t="s">
        <v>1214</v>
      </c>
      <c r="B41" s="45" t="s">
        <v>610</v>
      </c>
      <c r="C41" s="45" t="s">
        <v>1215</v>
      </c>
      <c r="D41" s="45" t="s">
        <v>555</v>
      </c>
      <c r="E41" s="45" t="s">
        <v>552</v>
      </c>
      <c r="F41" s="45" t="s">
        <v>541</v>
      </c>
      <c r="G41" s="45">
        <v>0</v>
      </c>
      <c r="H41" s="46" t="s">
        <v>368</v>
      </c>
      <c r="J41" s="45"/>
      <c r="K41" s="45"/>
      <c r="L41" s="45"/>
      <c r="M41" s="45"/>
      <c r="N41" s="45"/>
      <c r="O41" s="98"/>
      <c r="P41" s="98"/>
      <c r="R41" s="98"/>
      <c r="S41" s="98"/>
      <c r="T41" s="98"/>
      <c r="U41" s="98"/>
    </row>
    <row r="42" spans="1:21" ht="16.05" customHeight="1">
      <c r="A42" s="45" t="s">
        <v>1216</v>
      </c>
      <c r="B42" s="45" t="s">
        <v>554</v>
      </c>
      <c r="C42" s="45" t="s">
        <v>1217</v>
      </c>
      <c r="D42" s="45" t="s">
        <v>555</v>
      </c>
      <c r="E42" s="45" t="s">
        <v>552</v>
      </c>
      <c r="F42" s="45" t="s">
        <v>541</v>
      </c>
      <c r="G42" s="45">
        <v>0</v>
      </c>
      <c r="H42" s="46" t="s">
        <v>368</v>
      </c>
      <c r="J42" s="45"/>
      <c r="K42" s="45"/>
      <c r="L42" s="45"/>
      <c r="M42" s="45"/>
      <c r="N42" s="45"/>
      <c r="O42" s="98"/>
      <c r="P42" s="98"/>
      <c r="R42" s="98"/>
      <c r="S42" s="98"/>
      <c r="T42" s="98"/>
      <c r="U42" s="98"/>
    </row>
    <row r="43" spans="1:21" ht="16.05" customHeight="1">
      <c r="A43" s="45" t="s">
        <v>1218</v>
      </c>
      <c r="B43" s="45" t="s">
        <v>632</v>
      </c>
      <c r="C43" s="45" t="s">
        <v>1219</v>
      </c>
      <c r="D43" s="45" t="s">
        <v>555</v>
      </c>
      <c r="E43" s="45" t="s">
        <v>543</v>
      </c>
      <c r="F43" s="45" t="s">
        <v>541</v>
      </c>
      <c r="G43" s="81">
        <v>2E-3</v>
      </c>
      <c r="H43" s="46" t="s">
        <v>1199</v>
      </c>
      <c r="J43" s="45"/>
      <c r="K43" s="45"/>
      <c r="L43" s="45"/>
      <c r="M43" s="45"/>
      <c r="N43" s="45"/>
      <c r="O43" s="98"/>
      <c r="P43" s="98"/>
      <c r="R43" s="98"/>
      <c r="S43" s="98"/>
      <c r="T43" s="98"/>
      <c r="U43" s="98"/>
    </row>
    <row r="44" spans="1:21" ht="16.05" customHeight="1">
      <c r="A44" s="45" t="s">
        <v>1220</v>
      </c>
      <c r="B44" s="45" t="s">
        <v>558</v>
      </c>
      <c r="C44" s="45" t="s">
        <v>1221</v>
      </c>
      <c r="D44" s="45" t="s">
        <v>559</v>
      </c>
      <c r="E44" s="45" t="s">
        <v>552</v>
      </c>
      <c r="F44" s="45" t="s">
        <v>540</v>
      </c>
      <c r="G44" s="81">
        <v>8.3000000000000001E-3</v>
      </c>
      <c r="H44" s="46" t="s">
        <v>1199</v>
      </c>
      <c r="J44" s="45"/>
      <c r="K44" s="45"/>
      <c r="L44" s="45"/>
      <c r="M44" s="45"/>
      <c r="N44" s="45"/>
      <c r="O44" s="98"/>
      <c r="P44" s="98"/>
      <c r="R44" s="98"/>
      <c r="S44" s="98"/>
      <c r="T44" s="98"/>
      <c r="U44" s="98"/>
    </row>
    <row r="45" spans="1:21" ht="16.05" customHeight="1">
      <c r="A45" s="45" t="s">
        <v>1222</v>
      </c>
      <c r="B45" s="45" t="s">
        <v>577</v>
      </c>
      <c r="C45" s="45" t="s">
        <v>1223</v>
      </c>
      <c r="D45" s="45" t="s">
        <v>559</v>
      </c>
      <c r="E45" s="45" t="s">
        <v>543</v>
      </c>
      <c r="F45" s="45" t="s">
        <v>541</v>
      </c>
      <c r="G45" s="45">
        <v>0</v>
      </c>
      <c r="H45" s="46" t="s">
        <v>368</v>
      </c>
      <c r="J45" s="45"/>
      <c r="K45" s="45"/>
      <c r="L45" s="45"/>
      <c r="M45" s="45"/>
      <c r="N45" s="45"/>
      <c r="O45" s="98"/>
      <c r="P45" s="98"/>
      <c r="R45" s="98"/>
      <c r="S45" s="98"/>
      <c r="T45" s="98"/>
      <c r="U45" s="98"/>
    </row>
    <row r="46" spans="1:21" ht="16.05" customHeight="1">
      <c r="A46" s="45" t="s">
        <v>1224</v>
      </c>
      <c r="B46" s="45" t="s">
        <v>583</v>
      </c>
      <c r="C46" s="45" t="s">
        <v>1225</v>
      </c>
      <c r="D46" s="45" t="s">
        <v>559</v>
      </c>
      <c r="E46" s="45" t="s">
        <v>543</v>
      </c>
      <c r="F46" s="45" t="s">
        <v>541</v>
      </c>
      <c r="G46" s="45">
        <v>0</v>
      </c>
      <c r="H46" s="46" t="s">
        <v>368</v>
      </c>
      <c r="J46" s="45"/>
      <c r="K46" s="45"/>
      <c r="L46" s="45"/>
      <c r="M46" s="45"/>
      <c r="N46" s="45"/>
      <c r="O46" s="98"/>
      <c r="P46" s="98"/>
      <c r="R46" s="98"/>
      <c r="S46" s="98"/>
      <c r="T46" s="98"/>
      <c r="U46" s="98"/>
    </row>
    <row r="47" spans="1:21" ht="16.05" customHeight="1">
      <c r="A47" s="45" t="s">
        <v>1226</v>
      </c>
      <c r="B47" s="45" t="s">
        <v>603</v>
      </c>
      <c r="C47" s="45" t="s">
        <v>1227</v>
      </c>
      <c r="D47" s="45" t="s">
        <v>559</v>
      </c>
      <c r="E47" s="45" t="s">
        <v>552</v>
      </c>
      <c r="F47" s="45" t="s">
        <v>541</v>
      </c>
      <c r="G47" s="45">
        <v>0</v>
      </c>
      <c r="H47" s="46" t="s">
        <v>368</v>
      </c>
      <c r="J47" s="45"/>
      <c r="K47" s="45"/>
      <c r="L47" s="45"/>
      <c r="M47" s="45"/>
      <c r="N47" s="45"/>
      <c r="O47" s="98"/>
      <c r="P47" s="98"/>
      <c r="R47" s="98"/>
      <c r="S47" s="98"/>
      <c r="T47" s="98"/>
      <c r="U47" s="98"/>
    </row>
    <row r="48" spans="1:21" ht="16.05" customHeight="1">
      <c r="A48" s="45" t="s">
        <v>1228</v>
      </c>
      <c r="B48" s="45" t="s">
        <v>581</v>
      </c>
      <c r="C48" s="45" t="s">
        <v>1229</v>
      </c>
      <c r="D48" s="45" t="s">
        <v>559</v>
      </c>
      <c r="E48" s="45" t="s">
        <v>543</v>
      </c>
      <c r="F48" s="45" t="s">
        <v>541</v>
      </c>
      <c r="G48" s="45">
        <v>0</v>
      </c>
      <c r="H48" s="46" t="s">
        <v>368</v>
      </c>
      <c r="J48" s="45"/>
      <c r="K48" s="45"/>
      <c r="L48" s="45"/>
      <c r="M48" s="45"/>
      <c r="N48" s="45"/>
      <c r="O48" s="98"/>
      <c r="P48" s="98"/>
      <c r="R48" s="98"/>
      <c r="S48" s="98"/>
      <c r="T48" s="98"/>
      <c r="U48" s="98"/>
    </row>
    <row r="49" spans="1:21" ht="16.05" customHeight="1">
      <c r="A49" s="45" t="s">
        <v>1230</v>
      </c>
      <c r="B49" s="45" t="s">
        <v>582</v>
      </c>
      <c r="C49" s="45" t="s">
        <v>1231</v>
      </c>
      <c r="D49" s="45" t="s">
        <v>559</v>
      </c>
      <c r="E49" s="45" t="s">
        <v>552</v>
      </c>
      <c r="F49" s="45" t="s">
        <v>541</v>
      </c>
      <c r="G49" s="45">
        <v>0</v>
      </c>
      <c r="H49" s="46" t="s">
        <v>368</v>
      </c>
      <c r="J49" s="45"/>
      <c r="K49" s="45"/>
      <c r="L49" s="45"/>
      <c r="M49" s="45"/>
      <c r="N49" s="45"/>
      <c r="O49" s="98"/>
      <c r="P49" s="98"/>
      <c r="R49" s="98"/>
      <c r="S49" s="98"/>
      <c r="T49" s="98"/>
      <c r="U49" s="98"/>
    </row>
    <row r="50" spans="1:21" ht="16.05" customHeight="1">
      <c r="A50" s="45" t="s">
        <v>1232</v>
      </c>
      <c r="B50" s="45" t="s">
        <v>602</v>
      </c>
      <c r="C50" s="45" t="s">
        <v>1233</v>
      </c>
      <c r="D50" s="45" t="s">
        <v>559</v>
      </c>
      <c r="E50" s="45" t="s">
        <v>564</v>
      </c>
      <c r="F50" s="45" t="s">
        <v>541</v>
      </c>
      <c r="G50" s="81">
        <v>2.5999999999999999E-3</v>
      </c>
      <c r="H50" s="46" t="s">
        <v>1199</v>
      </c>
      <c r="J50" s="45"/>
      <c r="K50" s="45"/>
      <c r="L50" s="45"/>
      <c r="M50" s="45"/>
      <c r="N50" s="45"/>
      <c r="O50" s="98"/>
      <c r="P50" s="98"/>
      <c r="R50" s="98"/>
      <c r="S50" s="98"/>
      <c r="T50" s="98"/>
      <c r="U50" s="98"/>
    </row>
    <row r="51" spans="1:21" ht="16.05" customHeight="1">
      <c r="A51" s="45" t="s">
        <v>1234</v>
      </c>
      <c r="B51" s="45" t="s">
        <v>586</v>
      </c>
      <c r="C51" s="45" t="s">
        <v>1235</v>
      </c>
      <c r="D51" s="45" t="s">
        <v>559</v>
      </c>
      <c r="E51" s="45" t="s">
        <v>552</v>
      </c>
      <c r="F51" s="45" t="s">
        <v>541</v>
      </c>
      <c r="G51" s="81">
        <v>2.29E-2</v>
      </c>
      <c r="H51" s="46" t="s">
        <v>1199</v>
      </c>
      <c r="J51" s="45"/>
      <c r="K51" s="45"/>
      <c r="L51" s="45"/>
      <c r="M51" s="45"/>
      <c r="N51" s="45"/>
      <c r="O51" s="98"/>
      <c r="P51" s="98"/>
      <c r="R51" s="98"/>
      <c r="S51" s="98"/>
      <c r="T51" s="98"/>
      <c r="U51" s="98"/>
    </row>
    <row r="52" spans="1:21" ht="16.05" customHeight="1">
      <c r="A52" s="45" t="s">
        <v>1236</v>
      </c>
      <c r="B52" s="45" t="s">
        <v>589</v>
      </c>
      <c r="C52" s="45" t="s">
        <v>1237</v>
      </c>
      <c r="D52" s="45" t="s">
        <v>559</v>
      </c>
      <c r="E52" s="45" t="s">
        <v>543</v>
      </c>
      <c r="F52" s="45" t="s">
        <v>541</v>
      </c>
      <c r="G52" s="45">
        <v>4.0000000000000001E-3</v>
      </c>
      <c r="H52" s="46" t="s">
        <v>1199</v>
      </c>
      <c r="J52" s="45"/>
      <c r="K52" s="45"/>
      <c r="L52" s="45"/>
      <c r="M52" s="45"/>
      <c r="N52" s="45"/>
      <c r="O52" s="98"/>
      <c r="P52" s="98"/>
      <c r="R52" s="98"/>
      <c r="S52" s="98"/>
      <c r="T52" s="98"/>
      <c r="U52" s="98"/>
    </row>
    <row r="53" spans="1:21" ht="16.05" customHeight="1">
      <c r="A53" s="45" t="s">
        <v>1238</v>
      </c>
      <c r="B53" s="45" t="s">
        <v>599</v>
      </c>
      <c r="C53" s="45" t="s">
        <v>1239</v>
      </c>
      <c r="D53" s="45" t="s">
        <v>559</v>
      </c>
      <c r="E53" s="45" t="s">
        <v>564</v>
      </c>
      <c r="F53" s="45" t="s">
        <v>541</v>
      </c>
      <c r="G53" s="45">
        <v>0.159</v>
      </c>
      <c r="H53" s="46" t="s">
        <v>1199</v>
      </c>
      <c r="J53" s="45"/>
      <c r="K53" s="45"/>
      <c r="L53" s="45"/>
      <c r="M53" s="45"/>
      <c r="N53" s="45"/>
      <c r="O53" s="98"/>
      <c r="P53" s="98"/>
      <c r="R53" s="98"/>
      <c r="S53" s="98"/>
      <c r="T53" s="98"/>
      <c r="U53" s="98"/>
    </row>
    <row r="54" spans="1:21" ht="16.05" customHeight="1">
      <c r="A54" s="45" t="s">
        <v>1240</v>
      </c>
      <c r="B54" s="45" t="s">
        <v>611</v>
      </c>
      <c r="C54" s="45" t="s">
        <v>1241</v>
      </c>
      <c r="D54" s="45" t="s">
        <v>559</v>
      </c>
      <c r="E54" s="45" t="s">
        <v>543</v>
      </c>
      <c r="F54" s="45" t="s">
        <v>541</v>
      </c>
      <c r="G54" s="81">
        <v>3.8999999999999998E-3</v>
      </c>
      <c r="H54" s="46" t="s">
        <v>1199</v>
      </c>
      <c r="J54" s="45"/>
      <c r="K54" s="45"/>
      <c r="L54" s="45"/>
      <c r="M54" s="45"/>
      <c r="N54" s="45"/>
      <c r="O54" s="98"/>
      <c r="P54" s="98"/>
      <c r="R54" s="98"/>
      <c r="S54" s="98"/>
      <c r="T54" s="98"/>
      <c r="U54" s="98"/>
    </row>
    <row r="55" spans="1:21" ht="16.05" customHeight="1">
      <c r="A55" s="45" t="s">
        <v>1242</v>
      </c>
      <c r="B55" s="45" t="s">
        <v>615</v>
      </c>
      <c r="C55" s="45" t="s">
        <v>1243</v>
      </c>
      <c r="D55" s="45" t="s">
        <v>559</v>
      </c>
      <c r="E55" s="45" t="s">
        <v>543</v>
      </c>
      <c r="F55" s="45" t="s">
        <v>541</v>
      </c>
      <c r="G55" s="45">
        <v>0</v>
      </c>
      <c r="H55" s="46" t="s">
        <v>368</v>
      </c>
      <c r="J55" s="45"/>
      <c r="K55" s="45"/>
      <c r="L55" s="45"/>
      <c r="M55" s="45"/>
      <c r="N55" s="45"/>
      <c r="O55" s="98"/>
      <c r="P55" s="98"/>
      <c r="R55" s="98"/>
      <c r="S55" s="98"/>
      <c r="T55" s="98"/>
      <c r="U55" s="98"/>
    </row>
    <row r="56" spans="1:21" ht="16.05" customHeight="1">
      <c r="A56" s="45" t="s">
        <v>1244</v>
      </c>
      <c r="B56" s="45" t="s">
        <v>619</v>
      </c>
      <c r="C56" s="45" t="s">
        <v>1245</v>
      </c>
      <c r="D56" s="45" t="s">
        <v>559</v>
      </c>
      <c r="E56" s="45" t="s">
        <v>543</v>
      </c>
      <c r="F56" s="45" t="s">
        <v>541</v>
      </c>
      <c r="G56" s="45">
        <v>0</v>
      </c>
      <c r="H56" s="46" t="s">
        <v>368</v>
      </c>
      <c r="J56" s="45"/>
      <c r="K56" s="45"/>
      <c r="L56" s="45"/>
      <c r="M56" s="45"/>
      <c r="N56" s="45"/>
      <c r="O56" s="98"/>
      <c r="P56" s="98"/>
      <c r="R56" s="98"/>
      <c r="S56" s="98"/>
      <c r="T56" s="98"/>
      <c r="U56" s="98"/>
    </row>
    <row r="57" spans="1:21" ht="16.05" customHeight="1">
      <c r="A57" s="45" t="s">
        <v>1246</v>
      </c>
      <c r="B57" s="45" t="s">
        <v>609</v>
      </c>
      <c r="C57" s="45" t="s">
        <v>1247</v>
      </c>
      <c r="D57" s="45" t="s">
        <v>559</v>
      </c>
      <c r="E57" s="45" t="s">
        <v>552</v>
      </c>
      <c r="F57" s="45" t="s">
        <v>540</v>
      </c>
      <c r="G57" s="45">
        <v>0</v>
      </c>
      <c r="H57" s="46" t="s">
        <v>368</v>
      </c>
      <c r="J57" s="45"/>
      <c r="K57" s="45"/>
      <c r="L57" s="45"/>
      <c r="M57" s="45"/>
      <c r="N57" s="45"/>
      <c r="O57" s="98"/>
      <c r="P57" s="98"/>
      <c r="R57" s="98"/>
      <c r="S57" s="98"/>
      <c r="T57" s="98"/>
      <c r="U57" s="98"/>
    </row>
    <row r="58" spans="1:21" ht="16.05" customHeight="1">
      <c r="A58" s="45" t="s">
        <v>1248</v>
      </c>
      <c r="B58" s="45" t="s">
        <v>636</v>
      </c>
      <c r="C58" s="45" t="s">
        <v>1249</v>
      </c>
      <c r="D58" s="45" t="s">
        <v>559</v>
      </c>
      <c r="E58" s="45" t="s">
        <v>543</v>
      </c>
      <c r="F58" s="45" t="s">
        <v>541</v>
      </c>
      <c r="G58" s="81">
        <v>2.8E-3</v>
      </c>
      <c r="H58" s="46" t="s">
        <v>1199</v>
      </c>
      <c r="J58" s="45"/>
      <c r="K58" s="45"/>
      <c r="L58" s="45"/>
      <c r="M58" s="45"/>
      <c r="N58" s="45"/>
      <c r="O58" s="98"/>
      <c r="P58" s="98"/>
      <c r="R58" s="98"/>
      <c r="S58" s="98"/>
      <c r="T58" s="98"/>
      <c r="U58" s="98"/>
    </row>
    <row r="59" spans="1:21" ht="16.05" customHeight="1">
      <c r="A59" s="45" t="s">
        <v>1250</v>
      </c>
      <c r="B59" s="45" t="s">
        <v>549</v>
      </c>
      <c r="C59" s="45" t="s">
        <v>1251</v>
      </c>
      <c r="D59" s="45" t="s">
        <v>550</v>
      </c>
      <c r="E59" s="45" t="s">
        <v>543</v>
      </c>
      <c r="F59" s="45" t="s">
        <v>540</v>
      </c>
      <c r="G59" s="81">
        <v>9.1000000000000004E-3</v>
      </c>
      <c r="H59" s="46" t="s">
        <v>1199</v>
      </c>
      <c r="J59" s="45"/>
      <c r="K59" s="45"/>
      <c r="L59" s="45"/>
      <c r="M59" s="45"/>
      <c r="N59" s="45"/>
      <c r="O59" s="98"/>
      <c r="P59" s="98"/>
      <c r="R59" s="98"/>
      <c r="S59" s="98"/>
      <c r="T59" s="98"/>
      <c r="U59" s="98"/>
    </row>
    <row r="60" spans="1:21" ht="16.05" customHeight="1">
      <c r="A60" s="45" t="s">
        <v>1252</v>
      </c>
      <c r="B60" s="45" t="s">
        <v>553</v>
      </c>
      <c r="C60" s="45" t="s">
        <v>1253</v>
      </c>
      <c r="D60" s="45" t="s">
        <v>550</v>
      </c>
      <c r="E60" s="45" t="s">
        <v>543</v>
      </c>
      <c r="F60" s="45" t="s">
        <v>540</v>
      </c>
      <c r="G60" s="81">
        <v>8.2000000000000007E-3</v>
      </c>
      <c r="H60" s="46" t="s">
        <v>1199</v>
      </c>
      <c r="J60" s="45"/>
      <c r="K60" s="45"/>
      <c r="L60" s="45"/>
      <c r="M60" s="45"/>
      <c r="N60" s="45"/>
      <c r="O60" s="98"/>
      <c r="P60" s="98"/>
      <c r="R60" s="98"/>
      <c r="S60" s="98"/>
      <c r="T60" s="98"/>
      <c r="U60" s="98"/>
    </row>
    <row r="61" spans="1:21" ht="16.05" customHeight="1">
      <c r="A61" s="45" t="s">
        <v>1254</v>
      </c>
      <c r="B61" s="45" t="s">
        <v>551</v>
      </c>
      <c r="C61" s="45" t="s">
        <v>1255</v>
      </c>
      <c r="D61" s="45" t="s">
        <v>550</v>
      </c>
      <c r="E61" s="45" t="s">
        <v>552</v>
      </c>
      <c r="F61" s="45" t="s">
        <v>541</v>
      </c>
      <c r="G61" s="81">
        <v>0.1021</v>
      </c>
      <c r="H61" s="46" t="s">
        <v>1199</v>
      </c>
      <c r="J61" s="45"/>
      <c r="K61" s="45"/>
      <c r="L61" s="45"/>
      <c r="M61" s="45"/>
      <c r="N61" s="45"/>
      <c r="O61" s="98"/>
      <c r="P61" s="98"/>
      <c r="R61" s="98"/>
      <c r="S61" s="98"/>
      <c r="T61" s="98"/>
      <c r="U61" s="98"/>
    </row>
    <row r="62" spans="1:21" ht="16.05" customHeight="1">
      <c r="A62" s="45" t="s">
        <v>1256</v>
      </c>
      <c r="B62" s="45" t="s">
        <v>608</v>
      </c>
      <c r="C62" s="45" t="s">
        <v>1257</v>
      </c>
      <c r="D62" s="45" t="s">
        <v>550</v>
      </c>
      <c r="E62" s="45" t="s">
        <v>564</v>
      </c>
      <c r="F62" s="45" t="s">
        <v>541</v>
      </c>
      <c r="G62" s="45">
        <v>0</v>
      </c>
      <c r="H62" s="46" t="s">
        <v>368</v>
      </c>
      <c r="J62" s="45"/>
      <c r="K62" s="45"/>
      <c r="L62" s="45"/>
      <c r="M62" s="45"/>
      <c r="N62" s="45"/>
      <c r="O62" s="98"/>
      <c r="P62" s="98"/>
      <c r="R62" s="98"/>
      <c r="S62" s="98"/>
      <c r="T62" s="98"/>
      <c r="U62" s="98"/>
    </row>
    <row r="63" spans="1:21" ht="16.05" customHeight="1">
      <c r="A63" s="45" t="s">
        <v>1258</v>
      </c>
      <c r="B63" s="45" t="s">
        <v>613</v>
      </c>
      <c r="C63" s="45" t="s">
        <v>1259</v>
      </c>
      <c r="D63" s="45" t="s">
        <v>550</v>
      </c>
      <c r="E63" s="45" t="s">
        <v>543</v>
      </c>
      <c r="F63" s="45" t="s">
        <v>541</v>
      </c>
      <c r="G63" s="45">
        <v>0</v>
      </c>
      <c r="H63" s="46" t="s">
        <v>368</v>
      </c>
      <c r="J63" s="45"/>
      <c r="K63" s="45"/>
      <c r="L63" s="45"/>
      <c r="M63" s="45"/>
      <c r="N63" s="45"/>
      <c r="O63" s="98"/>
      <c r="P63" s="98"/>
      <c r="R63" s="98"/>
      <c r="S63" s="98"/>
      <c r="T63" s="98"/>
      <c r="U63" s="98"/>
    </row>
    <row r="64" spans="1:21" ht="16.05" customHeight="1">
      <c r="A64" s="49" t="s">
        <v>1260</v>
      </c>
      <c r="B64" s="49" t="s">
        <v>627</v>
      </c>
      <c r="C64" s="49" t="s">
        <v>1261</v>
      </c>
      <c r="D64" s="49" t="s">
        <v>550</v>
      </c>
      <c r="E64" s="49" t="s">
        <v>543</v>
      </c>
      <c r="F64" s="49" t="s">
        <v>541</v>
      </c>
      <c r="G64" s="84">
        <v>0.1028</v>
      </c>
      <c r="H64" s="50" t="s">
        <v>1199</v>
      </c>
    </row>
    <row r="65" spans="1:21" ht="16.05" customHeight="1">
      <c r="A65" s="45"/>
      <c r="B65" s="45"/>
      <c r="C65" s="45"/>
      <c r="D65" s="45"/>
      <c r="E65" s="45"/>
      <c r="F65" s="45"/>
      <c r="G65" s="45"/>
    </row>
    <row r="66" spans="1:21" s="20" customFormat="1" ht="16.05" customHeight="1">
      <c r="A66" s="100" t="s">
        <v>2037</v>
      </c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54"/>
      <c r="P66" s="54"/>
      <c r="Q66" s="54"/>
      <c r="R66" s="54"/>
      <c r="S66" s="54"/>
      <c r="T66" s="54"/>
      <c r="U66" s="54"/>
    </row>
    <row r="67" spans="1:21" s="151" customFormat="1" ht="25.95" customHeight="1">
      <c r="A67" s="26" t="s">
        <v>1132</v>
      </c>
      <c r="B67" s="26" t="s">
        <v>308</v>
      </c>
      <c r="C67" s="26" t="s">
        <v>309</v>
      </c>
      <c r="D67" s="26" t="s">
        <v>310</v>
      </c>
      <c r="E67" s="26" t="s">
        <v>311</v>
      </c>
      <c r="F67" s="26" t="s">
        <v>316</v>
      </c>
      <c r="G67" s="26" t="s">
        <v>318</v>
      </c>
      <c r="H67" s="26" t="s">
        <v>319</v>
      </c>
      <c r="I67" s="26" t="s">
        <v>362</v>
      </c>
      <c r="J67" s="26" t="s">
        <v>363</v>
      </c>
      <c r="K67" s="26" t="s">
        <v>364</v>
      </c>
      <c r="L67" s="26" t="s">
        <v>320</v>
      </c>
      <c r="M67" s="26" t="s">
        <v>321</v>
      </c>
      <c r="N67" s="27" t="s">
        <v>1262</v>
      </c>
      <c r="O67" s="164"/>
      <c r="P67" s="164"/>
      <c r="Q67" s="164"/>
      <c r="R67" s="164"/>
      <c r="S67" s="164"/>
      <c r="T67" s="164"/>
      <c r="U67" s="164"/>
    </row>
    <row r="68" spans="1:21" s="96" customFormat="1" ht="16.05" customHeight="1">
      <c r="A68" s="45" t="s">
        <v>1251</v>
      </c>
      <c r="B68" s="45" t="s">
        <v>1263</v>
      </c>
      <c r="C68" s="45" t="s">
        <v>324</v>
      </c>
      <c r="D68" s="45">
        <v>23</v>
      </c>
      <c r="E68" s="45" t="s">
        <v>1264</v>
      </c>
      <c r="F68" s="45">
        <v>9.1000000000000004E-3</v>
      </c>
      <c r="G68" s="45">
        <v>11</v>
      </c>
      <c r="H68" s="45">
        <v>92616283</v>
      </c>
      <c r="I68" s="45" t="s">
        <v>1265</v>
      </c>
      <c r="J68" s="45" t="s">
        <v>1266</v>
      </c>
      <c r="K68" s="45" t="s">
        <v>1267</v>
      </c>
      <c r="L68" s="45" t="s">
        <v>327</v>
      </c>
      <c r="M68" s="45" t="s">
        <v>328</v>
      </c>
      <c r="N68" s="46" t="s">
        <v>1268</v>
      </c>
      <c r="O68" s="98"/>
      <c r="P68" s="98"/>
      <c r="Q68" s="98"/>
      <c r="R68" s="98"/>
      <c r="S68" s="98"/>
      <c r="T68" s="98"/>
      <c r="U68" s="98"/>
    </row>
    <row r="69" spans="1:21" s="96" customFormat="1" ht="16.05" customHeight="1">
      <c r="A69" s="45" t="s">
        <v>1253</v>
      </c>
      <c r="B69" s="45" t="s">
        <v>1269</v>
      </c>
      <c r="C69" s="45" t="s">
        <v>324</v>
      </c>
      <c r="D69" s="45">
        <v>3</v>
      </c>
      <c r="E69" s="45" t="s">
        <v>1270</v>
      </c>
      <c r="F69" s="45">
        <v>1.4E-3</v>
      </c>
      <c r="G69" s="45">
        <v>3</v>
      </c>
      <c r="H69" s="45">
        <v>41266113</v>
      </c>
      <c r="I69" s="45" t="s">
        <v>1271</v>
      </c>
      <c r="J69" s="45" t="s">
        <v>1272</v>
      </c>
      <c r="K69" s="45" t="s">
        <v>1273</v>
      </c>
      <c r="L69" s="45" t="s">
        <v>1274</v>
      </c>
      <c r="M69" s="45" t="s">
        <v>1275</v>
      </c>
      <c r="N69" s="46" t="s">
        <v>1268</v>
      </c>
      <c r="O69" s="98"/>
      <c r="P69" s="98"/>
      <c r="Q69" s="98"/>
      <c r="R69" s="98"/>
      <c r="S69" s="98"/>
      <c r="T69" s="98"/>
      <c r="U69" s="98"/>
    </row>
    <row r="70" spans="1:21" s="96" customFormat="1" ht="16.05" customHeight="1">
      <c r="A70" s="45" t="s">
        <v>1253</v>
      </c>
      <c r="B70" s="45" t="s">
        <v>323</v>
      </c>
      <c r="C70" s="45" t="s">
        <v>324</v>
      </c>
      <c r="D70" s="45">
        <v>21</v>
      </c>
      <c r="E70" s="45" t="s">
        <v>1276</v>
      </c>
      <c r="F70" s="45">
        <v>8.2000000000000007E-3</v>
      </c>
      <c r="G70" s="45">
        <v>7</v>
      </c>
      <c r="H70" s="45">
        <v>55259515</v>
      </c>
      <c r="I70" s="45" t="s">
        <v>1277</v>
      </c>
      <c r="J70" s="45" t="s">
        <v>1278</v>
      </c>
      <c r="K70" s="45" t="s">
        <v>1279</v>
      </c>
      <c r="L70" s="45" t="s">
        <v>1275</v>
      </c>
      <c r="M70" s="45" t="s">
        <v>327</v>
      </c>
      <c r="N70" s="46" t="s">
        <v>1280</v>
      </c>
      <c r="O70" s="98"/>
      <c r="P70" s="98"/>
      <c r="Q70" s="98"/>
      <c r="R70" s="98"/>
      <c r="S70" s="98"/>
      <c r="T70" s="98"/>
      <c r="U70" s="98"/>
    </row>
    <row r="71" spans="1:21" s="96" customFormat="1" ht="16.05" customHeight="1">
      <c r="A71" s="45" t="s">
        <v>1255</v>
      </c>
      <c r="B71" s="45" t="s">
        <v>381</v>
      </c>
      <c r="C71" s="45" t="s">
        <v>324</v>
      </c>
      <c r="D71" s="45">
        <v>5</v>
      </c>
      <c r="E71" s="45" t="s">
        <v>1281</v>
      </c>
      <c r="F71" s="45">
        <v>0.1021</v>
      </c>
      <c r="G71" s="45">
        <v>17</v>
      </c>
      <c r="H71" s="45">
        <v>7578406</v>
      </c>
      <c r="I71" s="45" t="s">
        <v>1282</v>
      </c>
      <c r="J71" s="45" t="s">
        <v>1283</v>
      </c>
      <c r="K71" s="45" t="s">
        <v>1284</v>
      </c>
      <c r="L71" s="45" t="s">
        <v>1274</v>
      </c>
      <c r="M71" s="45" t="s">
        <v>1275</v>
      </c>
      <c r="N71" s="46" t="s">
        <v>1280</v>
      </c>
      <c r="O71" s="98"/>
      <c r="P71" s="98"/>
      <c r="Q71" s="98"/>
      <c r="R71" s="98"/>
      <c r="S71" s="98"/>
      <c r="T71" s="98"/>
      <c r="U71" s="98"/>
    </row>
    <row r="72" spans="1:21" s="96" customFormat="1" ht="16.05" customHeight="1">
      <c r="A72" s="45" t="s">
        <v>1221</v>
      </c>
      <c r="B72" s="45" t="s">
        <v>1285</v>
      </c>
      <c r="C72" s="45" t="s">
        <v>324</v>
      </c>
      <c r="D72" s="45">
        <v>2</v>
      </c>
      <c r="E72" s="45" t="s">
        <v>1286</v>
      </c>
      <c r="F72" s="45">
        <v>2.5000000000000001E-3</v>
      </c>
      <c r="G72" s="45">
        <v>12</v>
      </c>
      <c r="H72" s="45">
        <v>25398285</v>
      </c>
      <c r="I72" s="45" t="s">
        <v>1287</v>
      </c>
      <c r="J72" s="45" t="s">
        <v>1288</v>
      </c>
      <c r="K72" s="45" t="s">
        <v>1289</v>
      </c>
      <c r="L72" s="45" t="s">
        <v>1274</v>
      </c>
      <c r="M72" s="45" t="s">
        <v>328</v>
      </c>
      <c r="N72" s="46" t="s">
        <v>1280</v>
      </c>
      <c r="O72" s="98"/>
      <c r="P72" s="98"/>
      <c r="Q72" s="98"/>
      <c r="R72" s="98"/>
      <c r="S72" s="98"/>
      <c r="T72" s="98"/>
      <c r="U72" s="98"/>
    </row>
    <row r="73" spans="1:21" s="96" customFormat="1" ht="16.05" customHeight="1">
      <c r="A73" s="45" t="s">
        <v>1221</v>
      </c>
      <c r="B73" s="45" t="s">
        <v>381</v>
      </c>
      <c r="C73" s="45" t="s">
        <v>324</v>
      </c>
      <c r="D73" s="45">
        <v>8</v>
      </c>
      <c r="E73" s="45" t="s">
        <v>1290</v>
      </c>
      <c r="F73" s="45">
        <v>4.0000000000000001E-3</v>
      </c>
      <c r="G73" s="45">
        <v>17</v>
      </c>
      <c r="H73" s="45">
        <v>7577124</v>
      </c>
      <c r="I73" s="45" t="s">
        <v>1291</v>
      </c>
      <c r="J73" s="45" t="s">
        <v>1292</v>
      </c>
      <c r="K73" s="45" t="s">
        <v>1293</v>
      </c>
      <c r="L73" s="45" t="s">
        <v>1274</v>
      </c>
      <c r="M73" s="45" t="s">
        <v>1275</v>
      </c>
      <c r="N73" s="46" t="s">
        <v>1268</v>
      </c>
      <c r="O73" s="98"/>
      <c r="P73" s="98"/>
      <c r="Q73" s="98"/>
      <c r="R73" s="98"/>
      <c r="S73" s="98"/>
      <c r="T73" s="98"/>
      <c r="U73" s="98"/>
    </row>
    <row r="74" spans="1:21" s="96" customFormat="1" ht="16.05" customHeight="1">
      <c r="A74" s="45" t="s">
        <v>1221</v>
      </c>
      <c r="B74" s="45" t="s">
        <v>381</v>
      </c>
      <c r="C74" s="45" t="s">
        <v>1294</v>
      </c>
      <c r="D74" s="45">
        <v>7</v>
      </c>
      <c r="E74" s="45" t="s">
        <v>1295</v>
      </c>
      <c r="F74" s="45">
        <v>4.1999999999999997E-3</v>
      </c>
      <c r="G74" s="45">
        <v>17</v>
      </c>
      <c r="H74" s="45">
        <v>7577609</v>
      </c>
      <c r="I74" s="45" t="s">
        <v>349</v>
      </c>
      <c r="J74" s="45" t="s">
        <v>1296</v>
      </c>
      <c r="K74" s="45" t="s">
        <v>1297</v>
      </c>
      <c r="L74" s="45" t="s">
        <v>1274</v>
      </c>
      <c r="M74" s="45" t="s">
        <v>328</v>
      </c>
      <c r="N74" s="46" t="s">
        <v>1268</v>
      </c>
      <c r="O74" s="98"/>
      <c r="P74" s="98"/>
      <c r="Q74" s="98"/>
      <c r="R74" s="98"/>
      <c r="S74" s="98"/>
      <c r="T74" s="98"/>
      <c r="U74" s="98"/>
    </row>
    <row r="75" spans="1:21" s="96" customFormat="1" ht="16.05" customHeight="1">
      <c r="A75" s="45" t="s">
        <v>1221</v>
      </c>
      <c r="B75" s="45" t="s">
        <v>1298</v>
      </c>
      <c r="C75" s="45" t="s">
        <v>324</v>
      </c>
      <c r="D75" s="45">
        <v>3</v>
      </c>
      <c r="E75" s="45" t="s">
        <v>1299</v>
      </c>
      <c r="F75" s="45">
        <v>8.3000000000000001E-3</v>
      </c>
      <c r="G75" s="45">
        <v>19</v>
      </c>
      <c r="H75" s="45">
        <v>10602872</v>
      </c>
      <c r="I75" s="45" t="s">
        <v>349</v>
      </c>
      <c r="J75" s="45" t="s">
        <v>1300</v>
      </c>
      <c r="K75" s="45" t="s">
        <v>1301</v>
      </c>
      <c r="L75" s="45" t="s">
        <v>1274</v>
      </c>
      <c r="M75" s="45" t="s">
        <v>1275</v>
      </c>
      <c r="N75" s="46" t="s">
        <v>1268</v>
      </c>
      <c r="O75" s="98"/>
      <c r="P75" s="98"/>
      <c r="Q75" s="98"/>
      <c r="R75" s="98"/>
      <c r="S75" s="98"/>
      <c r="T75" s="98"/>
      <c r="U75" s="98"/>
    </row>
    <row r="76" spans="1:21" s="96" customFormat="1" ht="16.05" customHeight="1">
      <c r="A76" s="45" t="s">
        <v>1233</v>
      </c>
      <c r="B76" s="45" t="s">
        <v>381</v>
      </c>
      <c r="C76" s="45" t="s">
        <v>324</v>
      </c>
      <c r="D76" s="45">
        <v>8</v>
      </c>
      <c r="E76" s="45" t="s">
        <v>1302</v>
      </c>
      <c r="F76" s="45">
        <v>2.5999999999999999E-3</v>
      </c>
      <c r="G76" s="45">
        <v>17</v>
      </c>
      <c r="H76" s="45">
        <v>7577088</v>
      </c>
      <c r="I76" s="45" t="s">
        <v>349</v>
      </c>
      <c r="J76" s="45" t="s">
        <v>1303</v>
      </c>
      <c r="K76" s="45" t="s">
        <v>1304</v>
      </c>
      <c r="L76" s="45" t="s">
        <v>1275</v>
      </c>
      <c r="M76" s="45" t="s">
        <v>327</v>
      </c>
      <c r="N76" s="46" t="s">
        <v>1268</v>
      </c>
      <c r="O76" s="98"/>
      <c r="P76" s="98"/>
      <c r="Q76" s="98"/>
      <c r="R76" s="98"/>
      <c r="S76" s="98"/>
      <c r="T76" s="98"/>
      <c r="U76" s="98"/>
    </row>
    <row r="77" spans="1:21" s="96" customFormat="1" ht="16.05" customHeight="1">
      <c r="A77" s="45" t="s">
        <v>1235</v>
      </c>
      <c r="B77" s="45" t="s">
        <v>381</v>
      </c>
      <c r="C77" s="45" t="s">
        <v>324</v>
      </c>
      <c r="D77" s="45">
        <v>8</v>
      </c>
      <c r="E77" s="45" t="s">
        <v>1305</v>
      </c>
      <c r="F77" s="45">
        <v>2.29E-2</v>
      </c>
      <c r="G77" s="45">
        <v>17</v>
      </c>
      <c r="H77" s="45">
        <v>7577106</v>
      </c>
      <c r="I77" s="45" t="s">
        <v>349</v>
      </c>
      <c r="J77" s="45" t="s">
        <v>1306</v>
      </c>
      <c r="K77" s="45" t="s">
        <v>1307</v>
      </c>
      <c r="L77" s="45" t="s">
        <v>327</v>
      </c>
      <c r="M77" s="45" t="s">
        <v>328</v>
      </c>
      <c r="N77" s="46" t="s">
        <v>1268</v>
      </c>
      <c r="O77" s="98"/>
      <c r="P77" s="98"/>
      <c r="Q77" s="98"/>
      <c r="R77" s="98"/>
      <c r="S77" s="98"/>
      <c r="T77" s="98"/>
      <c r="U77" s="98"/>
    </row>
    <row r="78" spans="1:21" s="96" customFormat="1" ht="16.05" customHeight="1">
      <c r="A78" s="45" t="s">
        <v>1235</v>
      </c>
      <c r="B78" s="45" t="s">
        <v>1308</v>
      </c>
      <c r="C78" s="45" t="s">
        <v>324</v>
      </c>
      <c r="D78" s="45">
        <v>10</v>
      </c>
      <c r="E78" s="45" t="s">
        <v>1309</v>
      </c>
      <c r="F78" s="45">
        <v>1.8700000000000001E-2</v>
      </c>
      <c r="G78" s="45">
        <v>4</v>
      </c>
      <c r="H78" s="45">
        <v>153247246</v>
      </c>
      <c r="I78" s="45" t="s">
        <v>349</v>
      </c>
      <c r="J78" s="45" t="s">
        <v>1310</v>
      </c>
      <c r="K78" s="45" t="s">
        <v>1311</v>
      </c>
      <c r="L78" s="45" t="s">
        <v>1275</v>
      </c>
      <c r="M78" s="45" t="s">
        <v>1274</v>
      </c>
      <c r="N78" s="46" t="s">
        <v>1268</v>
      </c>
      <c r="O78" s="98"/>
      <c r="P78" s="98"/>
      <c r="Q78" s="98"/>
      <c r="R78" s="98"/>
      <c r="S78" s="98"/>
      <c r="T78" s="98"/>
      <c r="U78" s="98"/>
    </row>
    <row r="79" spans="1:21" s="96" customFormat="1" ht="16.05" customHeight="1">
      <c r="A79" s="45" t="s">
        <v>1237</v>
      </c>
      <c r="B79" s="45" t="s">
        <v>1312</v>
      </c>
      <c r="C79" s="45" t="s">
        <v>324</v>
      </c>
      <c r="D79" s="45">
        <v>14</v>
      </c>
      <c r="E79" s="45" t="s">
        <v>1313</v>
      </c>
      <c r="F79" s="45">
        <v>4.0000000000000001E-3</v>
      </c>
      <c r="G79" s="45">
        <v>16</v>
      </c>
      <c r="H79" s="45">
        <v>9858210</v>
      </c>
      <c r="I79" s="45" t="s">
        <v>1314</v>
      </c>
      <c r="J79" s="45" t="s">
        <v>1315</v>
      </c>
      <c r="K79" s="45" t="s">
        <v>1316</v>
      </c>
      <c r="L79" s="45" t="s">
        <v>327</v>
      </c>
      <c r="M79" s="45" t="s">
        <v>328</v>
      </c>
      <c r="N79" s="46" t="s">
        <v>1268</v>
      </c>
      <c r="O79" s="98"/>
      <c r="P79" s="98"/>
      <c r="Q79" s="98"/>
      <c r="R79" s="98"/>
      <c r="S79" s="98"/>
      <c r="T79" s="98"/>
      <c r="U79" s="98"/>
    </row>
    <row r="80" spans="1:21" s="96" customFormat="1" ht="16.05" customHeight="1">
      <c r="A80" s="45" t="s">
        <v>1239</v>
      </c>
      <c r="B80" s="45" t="s">
        <v>381</v>
      </c>
      <c r="C80" s="45" t="s">
        <v>1317</v>
      </c>
      <c r="D80" s="45">
        <v>5</v>
      </c>
      <c r="E80" s="45" t="s">
        <v>1318</v>
      </c>
      <c r="F80" s="45">
        <v>0.159</v>
      </c>
      <c r="G80" s="45">
        <v>17</v>
      </c>
      <c r="H80" s="45">
        <v>7578369</v>
      </c>
      <c r="I80" s="45" t="s">
        <v>349</v>
      </c>
      <c r="J80" s="45" t="s">
        <v>1319</v>
      </c>
      <c r="K80" s="45" t="s">
        <v>1320</v>
      </c>
      <c r="L80" s="45" t="s">
        <v>328</v>
      </c>
      <c r="M80" s="45" t="s">
        <v>1275</v>
      </c>
      <c r="N80" s="46" t="s">
        <v>1268</v>
      </c>
      <c r="O80" s="98"/>
      <c r="P80" s="98"/>
      <c r="Q80" s="98"/>
      <c r="R80" s="98"/>
      <c r="S80" s="98"/>
      <c r="T80" s="98"/>
      <c r="U80" s="98"/>
    </row>
    <row r="81" spans="1:21" s="96" customFormat="1" ht="16.05" customHeight="1">
      <c r="A81" s="45" t="s">
        <v>1241</v>
      </c>
      <c r="B81" s="45" t="s">
        <v>1321</v>
      </c>
      <c r="C81" s="45" t="s">
        <v>324</v>
      </c>
      <c r="D81" s="45">
        <v>19</v>
      </c>
      <c r="E81" s="45" t="s">
        <v>1322</v>
      </c>
      <c r="F81" s="45">
        <v>3.8999999999999998E-3</v>
      </c>
      <c r="G81" s="45">
        <v>15</v>
      </c>
      <c r="H81" s="45">
        <v>88423505</v>
      </c>
      <c r="I81" s="45" t="s">
        <v>1323</v>
      </c>
      <c r="J81" s="45" t="s">
        <v>1324</v>
      </c>
      <c r="K81" s="45" t="s">
        <v>1325</v>
      </c>
      <c r="L81" s="45" t="s">
        <v>327</v>
      </c>
      <c r="M81" s="45" t="s">
        <v>328</v>
      </c>
      <c r="N81" s="46" t="s">
        <v>1268</v>
      </c>
      <c r="O81" s="98"/>
      <c r="P81" s="98"/>
      <c r="Q81" s="98"/>
      <c r="R81" s="98"/>
      <c r="S81" s="98"/>
      <c r="T81" s="98"/>
      <c r="U81" s="98"/>
    </row>
    <row r="82" spans="1:21" s="96" customFormat="1" ht="16.05" customHeight="1">
      <c r="A82" s="45" t="s">
        <v>1261</v>
      </c>
      <c r="B82" s="45" t="s">
        <v>381</v>
      </c>
      <c r="C82" s="45" t="s">
        <v>324</v>
      </c>
      <c r="D82" s="45">
        <v>8</v>
      </c>
      <c r="E82" s="45" t="s">
        <v>1290</v>
      </c>
      <c r="F82" s="45">
        <v>0.1028</v>
      </c>
      <c r="G82" s="45">
        <v>17</v>
      </c>
      <c r="H82" s="45">
        <v>7577124</v>
      </c>
      <c r="I82" s="45" t="s">
        <v>1291</v>
      </c>
      <c r="J82" s="45" t="s">
        <v>1292</v>
      </c>
      <c r="K82" s="45" t="s">
        <v>1293</v>
      </c>
      <c r="L82" s="45" t="s">
        <v>1274</v>
      </c>
      <c r="M82" s="45" t="s">
        <v>1275</v>
      </c>
      <c r="N82" s="46" t="s">
        <v>1268</v>
      </c>
      <c r="O82" s="98"/>
      <c r="P82" s="98"/>
      <c r="Q82" s="98"/>
      <c r="R82" s="98"/>
      <c r="S82" s="98"/>
      <c r="T82" s="98"/>
      <c r="U82" s="98"/>
    </row>
    <row r="83" spans="1:21" s="96" customFormat="1" ht="16.05" customHeight="1">
      <c r="A83" s="45" t="s">
        <v>1261</v>
      </c>
      <c r="B83" s="45" t="s">
        <v>1326</v>
      </c>
      <c r="C83" s="45" t="s">
        <v>324</v>
      </c>
      <c r="D83" s="45">
        <v>6</v>
      </c>
      <c r="E83" s="45" t="s">
        <v>1327</v>
      </c>
      <c r="F83" s="45">
        <v>2.9100000000000001E-2</v>
      </c>
      <c r="G83" s="45">
        <v>20</v>
      </c>
      <c r="H83" s="45">
        <v>9546620</v>
      </c>
      <c r="I83" s="45" t="s">
        <v>1328</v>
      </c>
      <c r="J83" s="45" t="s">
        <v>1329</v>
      </c>
      <c r="K83" s="45" t="s">
        <v>1330</v>
      </c>
      <c r="L83" s="45" t="s">
        <v>1274</v>
      </c>
      <c r="M83" s="45" t="s">
        <v>1275</v>
      </c>
      <c r="N83" s="46" t="s">
        <v>1268</v>
      </c>
      <c r="O83" s="98"/>
      <c r="P83" s="98"/>
      <c r="Q83" s="98"/>
      <c r="R83" s="98"/>
      <c r="S83" s="98"/>
      <c r="T83" s="98"/>
      <c r="U83" s="98"/>
    </row>
    <row r="84" spans="1:21" s="96" customFormat="1" ht="16.05" customHeight="1">
      <c r="A84" s="45" t="s">
        <v>1261</v>
      </c>
      <c r="B84" s="45" t="s">
        <v>1331</v>
      </c>
      <c r="C84" s="45" t="s">
        <v>324</v>
      </c>
      <c r="D84" s="45">
        <v>12</v>
      </c>
      <c r="E84" s="45" t="s">
        <v>1332</v>
      </c>
      <c r="F84" s="45">
        <v>8.6400000000000005E-2</v>
      </c>
      <c r="G84" s="45">
        <v>4</v>
      </c>
      <c r="H84" s="45">
        <v>66230818</v>
      </c>
      <c r="I84" s="45" t="s">
        <v>349</v>
      </c>
      <c r="J84" s="45" t="s">
        <v>1333</v>
      </c>
      <c r="K84" s="45" t="s">
        <v>1334</v>
      </c>
      <c r="L84" s="45" t="s">
        <v>1274</v>
      </c>
      <c r="M84" s="45" t="s">
        <v>1275</v>
      </c>
      <c r="N84" s="46" t="s">
        <v>1268</v>
      </c>
      <c r="O84" s="98"/>
      <c r="P84" s="98"/>
      <c r="Q84" s="98"/>
      <c r="R84" s="98"/>
      <c r="S84" s="98"/>
      <c r="T84" s="98"/>
      <c r="U84" s="98"/>
    </row>
    <row r="85" spans="1:21" s="96" customFormat="1" ht="16.05" customHeight="1">
      <c r="A85" s="45" t="s">
        <v>1261</v>
      </c>
      <c r="B85" s="45" t="s">
        <v>1331</v>
      </c>
      <c r="C85" s="45" t="s">
        <v>324</v>
      </c>
      <c r="D85" s="45">
        <v>3</v>
      </c>
      <c r="E85" s="45" t="s">
        <v>1335</v>
      </c>
      <c r="F85" s="45">
        <v>4.5999999999999999E-3</v>
      </c>
      <c r="G85" s="45">
        <v>4</v>
      </c>
      <c r="H85" s="45">
        <v>66467877</v>
      </c>
      <c r="I85" s="45" t="s">
        <v>349</v>
      </c>
      <c r="J85" s="45" t="s">
        <v>1336</v>
      </c>
      <c r="K85" s="45" t="s">
        <v>1337</v>
      </c>
      <c r="L85" s="45" t="s">
        <v>1275</v>
      </c>
      <c r="M85" s="45" t="s">
        <v>327</v>
      </c>
      <c r="N85" s="46" t="s">
        <v>1268</v>
      </c>
      <c r="O85" s="98"/>
      <c r="P85" s="98"/>
      <c r="Q85" s="98"/>
      <c r="R85" s="98"/>
      <c r="S85" s="98"/>
      <c r="T85" s="98"/>
      <c r="U85" s="98"/>
    </row>
    <row r="86" spans="1:21" s="96" customFormat="1" ht="16.05" customHeight="1">
      <c r="A86" s="45" t="s">
        <v>1261</v>
      </c>
      <c r="B86" s="45" t="s">
        <v>1338</v>
      </c>
      <c r="C86" s="45" t="s">
        <v>324</v>
      </c>
      <c r="D86" s="45">
        <v>12</v>
      </c>
      <c r="E86" s="45" t="s">
        <v>1339</v>
      </c>
      <c r="F86" s="45">
        <v>8.6900000000000005E-2</v>
      </c>
      <c r="G86" s="45">
        <v>7</v>
      </c>
      <c r="H86" s="45">
        <v>140477861</v>
      </c>
      <c r="I86" s="45" t="s">
        <v>349</v>
      </c>
      <c r="J86" s="45" t="s">
        <v>1340</v>
      </c>
      <c r="K86" s="45" t="s">
        <v>1341</v>
      </c>
      <c r="L86" s="45" t="s">
        <v>1275</v>
      </c>
      <c r="M86" s="45" t="s">
        <v>1274</v>
      </c>
      <c r="N86" s="46" t="s">
        <v>1268</v>
      </c>
      <c r="O86" s="98"/>
      <c r="P86" s="98"/>
      <c r="Q86" s="98"/>
      <c r="R86" s="98"/>
      <c r="S86" s="98"/>
      <c r="T86" s="98"/>
      <c r="U86" s="98"/>
    </row>
    <row r="87" spans="1:21" s="96" customFormat="1" ht="16.05" customHeight="1">
      <c r="A87" s="45" t="s">
        <v>1249</v>
      </c>
      <c r="B87" s="45" t="s">
        <v>381</v>
      </c>
      <c r="C87" s="45" t="s">
        <v>324</v>
      </c>
      <c r="D87" s="45">
        <v>8</v>
      </c>
      <c r="E87" s="45" t="s">
        <v>1342</v>
      </c>
      <c r="F87" s="45">
        <v>2.8E-3</v>
      </c>
      <c r="G87" s="45">
        <v>17</v>
      </c>
      <c r="H87" s="45">
        <v>7577121</v>
      </c>
      <c r="I87" s="45" t="s">
        <v>1343</v>
      </c>
      <c r="J87" s="45" t="s">
        <v>1344</v>
      </c>
      <c r="K87" s="45" t="s">
        <v>1345</v>
      </c>
      <c r="L87" s="45" t="s">
        <v>327</v>
      </c>
      <c r="M87" s="45" t="s">
        <v>328</v>
      </c>
      <c r="N87" s="46" t="s">
        <v>1280</v>
      </c>
      <c r="O87" s="98"/>
      <c r="P87" s="98"/>
      <c r="Q87" s="98"/>
      <c r="R87" s="98"/>
      <c r="S87" s="98"/>
      <c r="T87" s="98"/>
      <c r="U87" s="98"/>
    </row>
    <row r="88" spans="1:21" s="96" customFormat="1" ht="16.05" customHeight="1">
      <c r="A88" s="45" t="s">
        <v>1249</v>
      </c>
      <c r="B88" s="45" t="s">
        <v>381</v>
      </c>
      <c r="C88" s="45" t="s">
        <v>1294</v>
      </c>
      <c r="D88" s="45">
        <v>5</v>
      </c>
      <c r="E88" s="45" t="s">
        <v>1346</v>
      </c>
      <c r="F88" s="45">
        <v>1.9E-3</v>
      </c>
      <c r="G88" s="45">
        <v>17</v>
      </c>
      <c r="H88" s="45">
        <v>7578555</v>
      </c>
      <c r="I88" s="45" t="s">
        <v>1347</v>
      </c>
      <c r="J88" s="45" t="s">
        <v>1348</v>
      </c>
      <c r="K88" s="45" t="s">
        <v>1320</v>
      </c>
      <c r="L88" s="45" t="s">
        <v>1274</v>
      </c>
      <c r="M88" s="45" t="s">
        <v>1275</v>
      </c>
      <c r="N88" s="46" t="s">
        <v>1268</v>
      </c>
      <c r="O88" s="98"/>
      <c r="P88" s="98"/>
      <c r="Q88" s="98"/>
      <c r="R88" s="98"/>
      <c r="S88" s="98"/>
      <c r="T88" s="98"/>
      <c r="U88" s="98"/>
    </row>
    <row r="89" spans="1:21" s="96" customFormat="1" ht="16.05" customHeight="1">
      <c r="A89" s="45" t="s">
        <v>1198</v>
      </c>
      <c r="B89" s="45" t="s">
        <v>1349</v>
      </c>
      <c r="C89" s="45" t="s">
        <v>1350</v>
      </c>
      <c r="D89" s="45">
        <v>1</v>
      </c>
      <c r="E89" s="45" t="s">
        <v>1351</v>
      </c>
      <c r="F89" s="45">
        <v>1.04E-2</v>
      </c>
      <c r="G89" s="45">
        <v>6</v>
      </c>
      <c r="H89" s="45">
        <v>26056052</v>
      </c>
      <c r="I89" s="45" t="s">
        <v>1352</v>
      </c>
      <c r="J89" s="45" t="s">
        <v>1353</v>
      </c>
      <c r="K89" s="45" t="s">
        <v>1354</v>
      </c>
      <c r="L89" s="45" t="s">
        <v>1355</v>
      </c>
      <c r="M89" s="45" t="s">
        <v>328</v>
      </c>
      <c r="N89" s="46" t="s">
        <v>1268</v>
      </c>
      <c r="O89" s="98"/>
      <c r="P89" s="98"/>
      <c r="Q89" s="98"/>
      <c r="R89" s="98"/>
      <c r="S89" s="98"/>
      <c r="T89" s="98"/>
      <c r="U89" s="98"/>
    </row>
    <row r="90" spans="1:21" s="96" customFormat="1" ht="16.05" customHeight="1">
      <c r="A90" s="49" t="s">
        <v>1219</v>
      </c>
      <c r="B90" s="49" t="s">
        <v>381</v>
      </c>
      <c r="C90" s="49" t="s">
        <v>324</v>
      </c>
      <c r="D90" s="49">
        <v>5</v>
      </c>
      <c r="E90" s="49" t="s">
        <v>1356</v>
      </c>
      <c r="F90" s="49">
        <v>2E-3</v>
      </c>
      <c r="G90" s="49">
        <v>17</v>
      </c>
      <c r="H90" s="49">
        <v>7578490</v>
      </c>
      <c r="I90" s="49" t="s">
        <v>349</v>
      </c>
      <c r="J90" s="49" t="s">
        <v>1357</v>
      </c>
      <c r="K90" s="49" t="s">
        <v>1358</v>
      </c>
      <c r="L90" s="49" t="s">
        <v>328</v>
      </c>
      <c r="M90" s="49" t="s">
        <v>1275</v>
      </c>
      <c r="N90" s="50" t="s">
        <v>1268</v>
      </c>
      <c r="O90" s="98"/>
      <c r="P90" s="98"/>
      <c r="Q90" s="98"/>
      <c r="R90" s="98"/>
      <c r="S90" s="98"/>
      <c r="T90" s="98"/>
      <c r="U90" s="98"/>
    </row>
    <row r="92" spans="1:21" s="20" customFormat="1" ht="16.05" customHeight="1">
      <c r="A92" s="100" t="s">
        <v>2038</v>
      </c>
      <c r="B92" s="47"/>
      <c r="C92" s="47"/>
      <c r="D92" s="47"/>
      <c r="E92" s="47"/>
      <c r="F92" s="47"/>
      <c r="G92" s="47"/>
      <c r="H92" s="47"/>
      <c r="I92" s="47"/>
      <c r="J92" s="47"/>
      <c r="K92" s="47"/>
      <c r="L92" s="47"/>
      <c r="M92" s="47"/>
      <c r="N92" s="47"/>
      <c r="O92" s="54"/>
      <c r="P92" s="54"/>
      <c r="Q92" s="54"/>
      <c r="R92" s="54"/>
      <c r="S92" s="54"/>
      <c r="T92" s="54"/>
      <c r="U92" s="54"/>
    </row>
    <row r="93" spans="1:21" s="151" customFormat="1" ht="25.95" customHeight="1">
      <c r="A93" s="26" t="s">
        <v>1132</v>
      </c>
      <c r="B93" s="26" t="s">
        <v>1359</v>
      </c>
      <c r="C93" s="26" t="s">
        <v>1678</v>
      </c>
      <c r="D93" s="26" t="s">
        <v>1679</v>
      </c>
      <c r="E93" s="26" t="s">
        <v>1360</v>
      </c>
      <c r="F93" s="26" t="s">
        <v>1361</v>
      </c>
      <c r="G93" s="26" t="s">
        <v>1362</v>
      </c>
      <c r="H93" s="26" t="s">
        <v>1363</v>
      </c>
      <c r="I93" s="26" t="s">
        <v>1364</v>
      </c>
      <c r="J93" s="27" t="s">
        <v>1365</v>
      </c>
      <c r="K93" s="43"/>
      <c r="L93" s="43"/>
      <c r="M93" s="164"/>
      <c r="N93" s="164"/>
      <c r="O93" s="164"/>
      <c r="P93" s="164"/>
      <c r="Q93" s="164"/>
      <c r="R93" s="164"/>
      <c r="S93" s="164"/>
      <c r="T93" s="164"/>
      <c r="U93" s="164"/>
    </row>
    <row r="94" spans="1:21" s="152" customFormat="1" ht="16.05" customHeight="1">
      <c r="A94" s="99" t="s">
        <v>1137</v>
      </c>
      <c r="B94" s="99">
        <v>153216300</v>
      </c>
      <c r="C94" s="99">
        <v>119910574</v>
      </c>
      <c r="D94" s="99">
        <v>7507000</v>
      </c>
      <c r="E94" s="99">
        <v>0.78300000000000003</v>
      </c>
      <c r="F94" s="99">
        <v>57898</v>
      </c>
      <c r="G94" s="99">
        <v>3367</v>
      </c>
      <c r="H94" s="99">
        <v>4531</v>
      </c>
      <c r="I94" s="71">
        <v>7.4</v>
      </c>
      <c r="J94" s="66" t="s">
        <v>1366</v>
      </c>
      <c r="K94" s="22"/>
      <c r="L94" s="22"/>
      <c r="M94" s="165"/>
      <c r="N94" s="165"/>
      <c r="O94" s="165"/>
      <c r="P94" s="165"/>
      <c r="Q94" s="165"/>
      <c r="R94" s="165"/>
      <c r="S94" s="165"/>
      <c r="T94" s="165"/>
      <c r="U94" s="165"/>
    </row>
    <row r="95" spans="1:21" s="152" customFormat="1" ht="16.05" customHeight="1">
      <c r="A95" s="99" t="s">
        <v>1139</v>
      </c>
      <c r="B95" s="99">
        <v>141041566</v>
      </c>
      <c r="C95" s="99">
        <v>108827312</v>
      </c>
      <c r="D95" s="99">
        <v>5984082</v>
      </c>
      <c r="E95" s="99">
        <v>0.77200000000000002</v>
      </c>
      <c r="F95" s="99">
        <v>52689</v>
      </c>
      <c r="G95" s="99">
        <v>2564</v>
      </c>
      <c r="H95" s="99">
        <v>3366</v>
      </c>
      <c r="I95" s="71">
        <v>8.86</v>
      </c>
      <c r="J95" s="66" t="s">
        <v>1366</v>
      </c>
      <c r="K95" s="22"/>
      <c r="L95" s="22"/>
      <c r="M95" s="165"/>
      <c r="N95" s="165"/>
      <c r="O95" s="165"/>
      <c r="P95" s="165"/>
      <c r="Q95" s="165"/>
      <c r="R95" s="165"/>
      <c r="S95" s="165"/>
      <c r="T95" s="165"/>
      <c r="U95" s="165"/>
    </row>
    <row r="96" spans="1:21" s="152" customFormat="1" ht="16.05" customHeight="1">
      <c r="A96" s="99" t="s">
        <v>1141</v>
      </c>
      <c r="B96" s="99">
        <v>132107380</v>
      </c>
      <c r="C96" s="99">
        <v>103299444</v>
      </c>
      <c r="D96" s="99">
        <v>6731205</v>
      </c>
      <c r="E96" s="99">
        <v>0.78200000000000003</v>
      </c>
      <c r="F96" s="99">
        <v>49934</v>
      </c>
      <c r="G96" s="99">
        <v>2951</v>
      </c>
      <c r="H96" s="99">
        <v>3913</v>
      </c>
      <c r="I96" s="71">
        <v>7.33</v>
      </c>
      <c r="J96" s="66" t="s">
        <v>1366</v>
      </c>
      <c r="K96" s="22"/>
      <c r="L96" s="22"/>
      <c r="M96" s="165"/>
      <c r="N96" s="165"/>
      <c r="O96" s="165"/>
      <c r="P96" s="165"/>
      <c r="Q96" s="165"/>
      <c r="R96" s="165"/>
      <c r="S96" s="165"/>
      <c r="T96" s="165"/>
      <c r="U96" s="165"/>
    </row>
    <row r="97" spans="1:21" s="152" customFormat="1" ht="16.05" customHeight="1">
      <c r="A97" s="99" t="s">
        <v>1143</v>
      </c>
      <c r="B97" s="99">
        <v>137323442</v>
      </c>
      <c r="C97" s="99">
        <v>110328367</v>
      </c>
      <c r="D97" s="99">
        <v>6347970</v>
      </c>
      <c r="E97" s="99">
        <v>0.80400000000000005</v>
      </c>
      <c r="F97" s="99">
        <v>53589</v>
      </c>
      <c r="G97" s="99">
        <v>2533</v>
      </c>
      <c r="H97" s="99">
        <v>3599</v>
      </c>
      <c r="I97" s="71">
        <v>8.36</v>
      </c>
      <c r="J97" s="66" t="s">
        <v>1366</v>
      </c>
      <c r="K97" s="22"/>
      <c r="L97" s="22"/>
      <c r="M97" s="165"/>
      <c r="N97" s="165"/>
      <c r="O97" s="165"/>
      <c r="P97" s="165"/>
      <c r="Q97" s="165"/>
      <c r="R97" s="165"/>
      <c r="S97" s="165"/>
      <c r="T97" s="165"/>
      <c r="U97" s="165"/>
    </row>
    <row r="98" spans="1:21" s="152" customFormat="1" ht="16.05" customHeight="1">
      <c r="A98" s="99" t="s">
        <v>1145</v>
      </c>
      <c r="B98" s="99">
        <v>155416878</v>
      </c>
      <c r="C98" s="99">
        <v>122474289</v>
      </c>
      <c r="D98" s="99">
        <v>6591702</v>
      </c>
      <c r="E98" s="99">
        <v>0.78800000000000003</v>
      </c>
      <c r="F98" s="99">
        <v>59549</v>
      </c>
      <c r="G98" s="99">
        <v>2830</v>
      </c>
      <c r="H98" s="99">
        <v>3871</v>
      </c>
      <c r="I98" s="71">
        <v>8.75</v>
      </c>
      <c r="J98" s="66" t="s">
        <v>1366</v>
      </c>
      <c r="K98" s="22"/>
      <c r="L98" s="22"/>
      <c r="M98" s="165"/>
      <c r="N98" s="165"/>
      <c r="O98" s="165"/>
      <c r="P98" s="165"/>
      <c r="Q98" s="165"/>
      <c r="R98" s="165"/>
      <c r="S98" s="165"/>
      <c r="T98" s="165"/>
      <c r="U98" s="165"/>
    </row>
    <row r="99" spans="1:21" s="152" customFormat="1" ht="16.05" customHeight="1">
      <c r="A99" s="99" t="s">
        <v>1147</v>
      </c>
      <c r="B99" s="99">
        <v>149530216</v>
      </c>
      <c r="C99" s="99">
        <v>117730866</v>
      </c>
      <c r="D99" s="99">
        <v>4584914</v>
      </c>
      <c r="E99" s="99">
        <v>0.78800000000000003</v>
      </c>
      <c r="F99" s="99">
        <v>56968</v>
      </c>
      <c r="G99" s="99">
        <v>1817</v>
      </c>
      <c r="H99" s="99">
        <v>2506</v>
      </c>
      <c r="I99" s="71">
        <v>12.51</v>
      </c>
      <c r="J99" s="66" t="s">
        <v>1366</v>
      </c>
      <c r="K99" s="22"/>
      <c r="L99" s="22"/>
      <c r="M99" s="165"/>
      <c r="N99" s="165"/>
      <c r="O99" s="165"/>
      <c r="P99" s="165"/>
      <c r="Q99" s="165"/>
      <c r="R99" s="165"/>
      <c r="S99" s="165"/>
      <c r="T99" s="165"/>
      <c r="U99" s="165"/>
    </row>
    <row r="100" spans="1:21" s="152" customFormat="1" ht="16.05" customHeight="1">
      <c r="A100" s="99" t="s">
        <v>1149</v>
      </c>
      <c r="B100" s="99">
        <v>157110370</v>
      </c>
      <c r="C100" s="99">
        <v>124631567</v>
      </c>
      <c r="D100" s="99">
        <v>7620799</v>
      </c>
      <c r="E100" s="99">
        <v>0.79400000000000004</v>
      </c>
      <c r="F100" s="99">
        <v>60363</v>
      </c>
      <c r="G100" s="99">
        <v>3240</v>
      </c>
      <c r="H100" s="99">
        <v>4642</v>
      </c>
      <c r="I100" s="71">
        <v>7.51</v>
      </c>
      <c r="J100" s="66" t="s">
        <v>1366</v>
      </c>
      <c r="K100" s="22"/>
      <c r="L100" s="22"/>
      <c r="M100" s="165"/>
      <c r="N100" s="165"/>
      <c r="O100" s="165"/>
      <c r="P100" s="165"/>
      <c r="Q100" s="165"/>
      <c r="R100" s="165"/>
      <c r="S100" s="165"/>
      <c r="T100" s="165"/>
      <c r="U100" s="165"/>
    </row>
    <row r="101" spans="1:21" s="152" customFormat="1" ht="16.05" customHeight="1">
      <c r="A101" s="99" t="s">
        <v>1151</v>
      </c>
      <c r="B101" s="99">
        <v>130066196</v>
      </c>
      <c r="C101" s="99">
        <v>97876489</v>
      </c>
      <c r="D101" s="99">
        <v>5645142</v>
      </c>
      <c r="E101" s="99">
        <v>0.753</v>
      </c>
      <c r="F101" s="99">
        <v>47062</v>
      </c>
      <c r="G101" s="99">
        <v>2440</v>
      </c>
      <c r="H101" s="99">
        <v>3012</v>
      </c>
      <c r="I101" s="71">
        <v>8.91</v>
      </c>
      <c r="J101" s="66" t="s">
        <v>1366</v>
      </c>
      <c r="K101" s="22"/>
      <c r="L101" s="22"/>
      <c r="M101" s="165"/>
      <c r="N101" s="165"/>
      <c r="O101" s="165"/>
      <c r="P101" s="165"/>
      <c r="Q101" s="165"/>
      <c r="R101" s="165"/>
      <c r="S101" s="165"/>
      <c r="T101" s="165"/>
      <c r="U101" s="165"/>
    </row>
    <row r="102" spans="1:21" s="152" customFormat="1" ht="16.05" customHeight="1">
      <c r="A102" s="99" t="s">
        <v>1153</v>
      </c>
      <c r="B102" s="99">
        <v>173761468</v>
      </c>
      <c r="C102" s="99">
        <v>137532635</v>
      </c>
      <c r="D102" s="99">
        <v>6316097</v>
      </c>
      <c r="E102" s="99">
        <v>0.79200000000000004</v>
      </c>
      <c r="F102" s="99">
        <v>67169</v>
      </c>
      <c r="G102" s="99">
        <v>2591</v>
      </c>
      <c r="H102" s="99">
        <v>3694</v>
      </c>
      <c r="I102" s="71">
        <v>10.210000000000001</v>
      </c>
      <c r="J102" s="66" t="s">
        <v>1366</v>
      </c>
      <c r="K102" s="22"/>
      <c r="L102" s="22"/>
      <c r="M102" s="165"/>
      <c r="N102" s="165"/>
      <c r="O102" s="165"/>
      <c r="P102" s="165"/>
      <c r="Q102" s="165"/>
      <c r="R102" s="165"/>
      <c r="S102" s="165"/>
      <c r="T102" s="165"/>
      <c r="U102" s="165"/>
    </row>
    <row r="103" spans="1:21" s="152" customFormat="1" ht="16.05" customHeight="1">
      <c r="A103" s="99" t="s">
        <v>1155</v>
      </c>
      <c r="B103" s="99">
        <v>143948254</v>
      </c>
      <c r="C103" s="99">
        <v>117615909</v>
      </c>
      <c r="D103" s="99">
        <v>9450027</v>
      </c>
      <c r="E103" s="99">
        <v>0.81699999999999995</v>
      </c>
      <c r="F103" s="99">
        <v>57553</v>
      </c>
      <c r="G103" s="99">
        <v>4138</v>
      </c>
      <c r="H103" s="99">
        <v>6307</v>
      </c>
      <c r="I103" s="71">
        <v>5.31</v>
      </c>
      <c r="J103" s="66" t="s">
        <v>1366</v>
      </c>
      <c r="K103" s="22"/>
      <c r="L103" s="22"/>
      <c r="M103" s="165"/>
      <c r="N103" s="165"/>
      <c r="O103" s="165"/>
      <c r="P103" s="165"/>
      <c r="Q103" s="165"/>
      <c r="R103" s="165"/>
      <c r="S103" s="165"/>
      <c r="T103" s="165"/>
      <c r="U103" s="165"/>
    </row>
    <row r="104" spans="1:21" s="152" customFormat="1" ht="16.05" customHeight="1">
      <c r="A104" s="99" t="s">
        <v>1157</v>
      </c>
      <c r="B104" s="99">
        <v>152030074</v>
      </c>
      <c r="C104" s="99">
        <v>121421731</v>
      </c>
      <c r="D104" s="99">
        <v>6987665</v>
      </c>
      <c r="E104" s="99">
        <v>0.79900000000000004</v>
      </c>
      <c r="F104" s="99">
        <v>58998</v>
      </c>
      <c r="G104" s="99">
        <v>2960</v>
      </c>
      <c r="H104" s="99">
        <v>4250</v>
      </c>
      <c r="I104" s="71">
        <v>7.99</v>
      </c>
      <c r="J104" s="66" t="s">
        <v>1366</v>
      </c>
      <c r="K104" s="22"/>
      <c r="L104" s="22"/>
      <c r="M104" s="165"/>
      <c r="N104" s="165"/>
      <c r="O104" s="165"/>
      <c r="P104" s="165"/>
      <c r="Q104" s="165"/>
      <c r="R104" s="165"/>
      <c r="S104" s="165"/>
      <c r="T104" s="165"/>
      <c r="U104" s="165"/>
    </row>
    <row r="105" spans="1:21" s="152" customFormat="1" ht="16.05" customHeight="1">
      <c r="A105" s="99" t="s">
        <v>1159</v>
      </c>
      <c r="B105" s="99">
        <v>130911746</v>
      </c>
      <c r="C105" s="99">
        <v>103278916</v>
      </c>
      <c r="D105" s="99">
        <v>7146952</v>
      </c>
      <c r="E105" s="99">
        <v>0.78900000000000003</v>
      </c>
      <c r="F105" s="99">
        <v>50468</v>
      </c>
      <c r="G105" s="99">
        <v>3146</v>
      </c>
      <c r="H105" s="99">
        <v>4310</v>
      </c>
      <c r="I105" s="71">
        <v>6.79</v>
      </c>
      <c r="J105" s="66" t="s">
        <v>1366</v>
      </c>
      <c r="K105" s="22"/>
      <c r="L105" s="22"/>
      <c r="M105" s="165"/>
      <c r="N105" s="165"/>
      <c r="O105" s="165"/>
      <c r="P105" s="165"/>
      <c r="Q105" s="165"/>
      <c r="R105" s="165"/>
      <c r="S105" s="165"/>
      <c r="T105" s="165"/>
      <c r="U105" s="165"/>
    </row>
    <row r="106" spans="1:21" s="152" customFormat="1" ht="16.05" customHeight="1">
      <c r="A106" s="99" t="s">
        <v>1161</v>
      </c>
      <c r="B106" s="99">
        <v>153882076</v>
      </c>
      <c r="C106" s="99">
        <v>121502405</v>
      </c>
      <c r="D106" s="99">
        <v>6052027</v>
      </c>
      <c r="E106" s="99">
        <v>0.79</v>
      </c>
      <c r="F106" s="99">
        <v>59221</v>
      </c>
      <c r="G106" s="99">
        <v>2513</v>
      </c>
      <c r="H106" s="99">
        <v>3445</v>
      </c>
      <c r="I106" s="71">
        <v>9.6999999999999993</v>
      </c>
      <c r="J106" s="66" t="s">
        <v>1366</v>
      </c>
      <c r="K106" s="22"/>
      <c r="L106" s="22"/>
      <c r="M106" s="165"/>
      <c r="N106" s="165"/>
      <c r="O106" s="165"/>
      <c r="P106" s="165"/>
      <c r="Q106" s="165"/>
      <c r="R106" s="165"/>
      <c r="S106" s="165"/>
      <c r="T106" s="165"/>
      <c r="U106" s="165"/>
    </row>
    <row r="107" spans="1:21" s="152" customFormat="1" ht="16.05" customHeight="1">
      <c r="A107" s="99" t="s">
        <v>1163</v>
      </c>
      <c r="B107" s="99">
        <v>134256088</v>
      </c>
      <c r="C107" s="99">
        <v>103123817</v>
      </c>
      <c r="D107" s="99">
        <v>6618874</v>
      </c>
      <c r="E107" s="99">
        <v>0.76800000000000002</v>
      </c>
      <c r="F107" s="99">
        <v>49811</v>
      </c>
      <c r="G107" s="99">
        <v>2931</v>
      </c>
      <c r="H107" s="99">
        <v>3769</v>
      </c>
      <c r="I107" s="71">
        <v>7.59</v>
      </c>
      <c r="J107" s="66" t="s">
        <v>1366</v>
      </c>
      <c r="K107" s="22"/>
      <c r="L107" s="22"/>
      <c r="M107" s="165"/>
      <c r="N107" s="165"/>
      <c r="O107" s="165"/>
      <c r="P107" s="165"/>
      <c r="Q107" s="165"/>
      <c r="R107" s="165"/>
      <c r="S107" s="165"/>
      <c r="T107" s="165"/>
      <c r="U107" s="165"/>
    </row>
    <row r="108" spans="1:21" s="152" customFormat="1" ht="16.05" customHeight="1">
      <c r="A108" s="99" t="s">
        <v>1165</v>
      </c>
      <c r="B108" s="99">
        <v>172451006</v>
      </c>
      <c r="C108" s="99">
        <v>139028620</v>
      </c>
      <c r="D108" s="99">
        <v>6170724</v>
      </c>
      <c r="E108" s="99">
        <v>0.80600000000000005</v>
      </c>
      <c r="F108" s="99">
        <v>68362</v>
      </c>
      <c r="G108" s="99">
        <v>2452</v>
      </c>
      <c r="H108" s="99">
        <v>3693</v>
      </c>
      <c r="I108" s="71">
        <v>10.47</v>
      </c>
      <c r="J108" s="66" t="s">
        <v>1366</v>
      </c>
      <c r="K108" s="22"/>
      <c r="L108" s="22"/>
      <c r="M108" s="165"/>
      <c r="N108" s="165"/>
      <c r="O108" s="165"/>
      <c r="P108" s="165"/>
      <c r="Q108" s="165"/>
      <c r="R108" s="165"/>
      <c r="S108" s="165"/>
      <c r="T108" s="165"/>
      <c r="U108" s="165"/>
    </row>
    <row r="109" spans="1:21" s="152" customFormat="1" ht="16.05" customHeight="1">
      <c r="A109" s="99" t="s">
        <v>1167</v>
      </c>
      <c r="B109" s="99">
        <v>145151686</v>
      </c>
      <c r="C109" s="99">
        <v>112556546</v>
      </c>
      <c r="D109" s="99">
        <v>6903355</v>
      </c>
      <c r="E109" s="99">
        <v>0.77600000000000002</v>
      </c>
      <c r="F109" s="99">
        <v>54070</v>
      </c>
      <c r="G109" s="99">
        <v>3098</v>
      </c>
      <c r="H109" s="99">
        <v>4052</v>
      </c>
      <c r="I109" s="71">
        <v>7.76</v>
      </c>
      <c r="J109" s="66" t="s">
        <v>1366</v>
      </c>
      <c r="K109" s="22"/>
      <c r="L109" s="22"/>
      <c r="M109" s="165"/>
      <c r="N109" s="165"/>
      <c r="O109" s="165"/>
      <c r="P109" s="165"/>
      <c r="Q109" s="165"/>
      <c r="R109" s="165"/>
      <c r="S109" s="165"/>
      <c r="T109" s="165"/>
      <c r="U109" s="165"/>
    </row>
    <row r="110" spans="1:21" s="152" customFormat="1" ht="16.05" customHeight="1">
      <c r="A110" s="99" t="s">
        <v>1169</v>
      </c>
      <c r="B110" s="99">
        <v>197345384</v>
      </c>
      <c r="C110" s="99">
        <v>158161022</v>
      </c>
      <c r="D110" s="99">
        <v>5315605</v>
      </c>
      <c r="E110" s="99">
        <v>0.80200000000000005</v>
      </c>
      <c r="F110" s="99">
        <v>77654</v>
      </c>
      <c r="G110" s="99">
        <v>2062</v>
      </c>
      <c r="H110" s="99">
        <v>3049</v>
      </c>
      <c r="I110" s="71">
        <v>13.98</v>
      </c>
      <c r="J110" s="66" t="s">
        <v>1366</v>
      </c>
      <c r="K110" s="22"/>
      <c r="L110" s="22"/>
      <c r="M110" s="165"/>
      <c r="N110" s="165"/>
      <c r="O110" s="165"/>
      <c r="P110" s="165"/>
      <c r="Q110" s="165"/>
      <c r="R110" s="165"/>
      <c r="S110" s="165"/>
      <c r="T110" s="165"/>
      <c r="U110" s="165"/>
    </row>
    <row r="111" spans="1:21" s="152" customFormat="1" ht="16.05" customHeight="1">
      <c r="A111" s="99" t="s">
        <v>1171</v>
      </c>
      <c r="B111" s="99">
        <v>151630524</v>
      </c>
      <c r="C111" s="99">
        <v>120046764</v>
      </c>
      <c r="D111" s="99">
        <v>5760613</v>
      </c>
      <c r="E111" s="99">
        <v>0.79200000000000004</v>
      </c>
      <c r="F111" s="99">
        <v>57951</v>
      </c>
      <c r="G111" s="99">
        <v>2372</v>
      </c>
      <c r="H111" s="99">
        <v>3259</v>
      </c>
      <c r="I111" s="71">
        <v>10.11</v>
      </c>
      <c r="J111" s="66" t="s">
        <v>1366</v>
      </c>
      <c r="K111" s="22"/>
      <c r="L111" s="22"/>
      <c r="M111" s="165"/>
      <c r="N111" s="165"/>
      <c r="O111" s="165"/>
      <c r="P111" s="165"/>
      <c r="Q111" s="165"/>
      <c r="R111" s="165"/>
      <c r="S111" s="165"/>
      <c r="T111" s="165"/>
      <c r="U111" s="165"/>
    </row>
    <row r="112" spans="1:21" s="152" customFormat="1" ht="16.05" customHeight="1">
      <c r="A112" s="99" t="s">
        <v>1173</v>
      </c>
      <c r="B112" s="99">
        <v>149952942</v>
      </c>
      <c r="C112" s="99">
        <v>117179427</v>
      </c>
      <c r="D112" s="99">
        <v>7362757</v>
      </c>
      <c r="E112" s="99">
        <v>0.78200000000000003</v>
      </c>
      <c r="F112" s="99">
        <v>57206</v>
      </c>
      <c r="G112" s="99">
        <v>3203</v>
      </c>
      <c r="H112" s="99">
        <v>4512</v>
      </c>
      <c r="I112" s="71">
        <v>7.33</v>
      </c>
      <c r="J112" s="66" t="s">
        <v>1366</v>
      </c>
      <c r="K112" s="22"/>
      <c r="L112" s="22"/>
      <c r="M112" s="165"/>
      <c r="N112" s="165"/>
      <c r="O112" s="165"/>
      <c r="P112" s="165"/>
      <c r="Q112" s="165"/>
      <c r="R112" s="165"/>
      <c r="S112" s="165"/>
      <c r="T112" s="165"/>
      <c r="U112" s="165"/>
    </row>
    <row r="113" spans="1:21" s="152" customFormat="1" ht="16.05" customHeight="1">
      <c r="A113" s="99" t="s">
        <v>1175</v>
      </c>
      <c r="B113" s="99">
        <v>149109754</v>
      </c>
      <c r="C113" s="99">
        <v>118120998</v>
      </c>
      <c r="D113" s="99">
        <v>5214148</v>
      </c>
      <c r="E113" s="99">
        <v>0.79200000000000004</v>
      </c>
      <c r="F113" s="99">
        <v>57188</v>
      </c>
      <c r="G113" s="99">
        <v>2074</v>
      </c>
      <c r="H113" s="99">
        <v>2850</v>
      </c>
      <c r="I113" s="71">
        <v>11.17</v>
      </c>
      <c r="J113" s="66" t="s">
        <v>1366</v>
      </c>
      <c r="K113" s="22"/>
      <c r="L113" s="22"/>
      <c r="M113" s="165"/>
      <c r="N113" s="165"/>
      <c r="O113" s="165"/>
      <c r="P113" s="165"/>
      <c r="Q113" s="165"/>
      <c r="R113" s="165"/>
      <c r="S113" s="165"/>
      <c r="T113" s="165"/>
      <c r="U113" s="165"/>
    </row>
    <row r="114" spans="1:21" s="152" customFormat="1" ht="16.05" customHeight="1">
      <c r="A114" s="99" t="s">
        <v>1177</v>
      </c>
      <c r="B114" s="99">
        <v>160126882</v>
      </c>
      <c r="C114" s="99">
        <v>125073215</v>
      </c>
      <c r="D114" s="99">
        <v>5207657</v>
      </c>
      <c r="E114" s="99">
        <v>0.78100000000000003</v>
      </c>
      <c r="F114" s="99">
        <v>60263</v>
      </c>
      <c r="G114" s="99">
        <v>2208</v>
      </c>
      <c r="H114" s="99">
        <v>2839</v>
      </c>
      <c r="I114" s="71">
        <v>11.94</v>
      </c>
      <c r="J114" s="66" t="s">
        <v>1366</v>
      </c>
      <c r="K114" s="22"/>
      <c r="L114" s="22"/>
      <c r="M114" s="165"/>
      <c r="N114" s="165"/>
      <c r="O114" s="165"/>
      <c r="P114" s="165"/>
      <c r="Q114" s="165"/>
      <c r="R114" s="165"/>
      <c r="S114" s="165"/>
      <c r="T114" s="165"/>
      <c r="U114" s="165"/>
    </row>
    <row r="115" spans="1:21" s="152" customFormat="1" ht="16.05" customHeight="1">
      <c r="A115" s="99" t="s">
        <v>1179</v>
      </c>
      <c r="B115" s="99">
        <v>166565816</v>
      </c>
      <c r="C115" s="99">
        <v>130877136</v>
      </c>
      <c r="D115" s="99">
        <v>5319934</v>
      </c>
      <c r="E115" s="99">
        <v>0.78600000000000003</v>
      </c>
      <c r="F115" s="99">
        <v>63153</v>
      </c>
      <c r="G115" s="99">
        <v>2199</v>
      </c>
      <c r="H115" s="99">
        <v>3018</v>
      </c>
      <c r="I115" s="71">
        <v>11.86</v>
      </c>
      <c r="J115" s="66" t="s">
        <v>1366</v>
      </c>
      <c r="K115" s="22"/>
      <c r="L115" s="22"/>
      <c r="M115" s="165"/>
      <c r="N115" s="165"/>
      <c r="O115" s="165"/>
      <c r="P115" s="165"/>
      <c r="Q115" s="165"/>
      <c r="R115" s="165"/>
      <c r="S115" s="165"/>
      <c r="T115" s="165"/>
      <c r="U115" s="165"/>
    </row>
    <row r="116" spans="1:21" s="152" customFormat="1" ht="16.05" customHeight="1">
      <c r="A116" s="99" t="s">
        <v>1181</v>
      </c>
      <c r="B116" s="99">
        <v>143569258</v>
      </c>
      <c r="C116" s="99">
        <v>113161418</v>
      </c>
      <c r="D116" s="99">
        <v>7141841</v>
      </c>
      <c r="E116" s="99">
        <v>0.78800000000000003</v>
      </c>
      <c r="F116" s="99">
        <v>55008</v>
      </c>
      <c r="G116" s="99">
        <v>3102</v>
      </c>
      <c r="H116" s="99">
        <v>4219</v>
      </c>
      <c r="I116" s="71">
        <v>7.55</v>
      </c>
      <c r="J116" s="66" t="s">
        <v>1366</v>
      </c>
      <c r="K116" s="22"/>
      <c r="L116" s="22"/>
      <c r="M116" s="165"/>
      <c r="N116" s="165"/>
      <c r="O116" s="165"/>
      <c r="P116" s="165"/>
      <c r="Q116" s="165"/>
      <c r="R116" s="165"/>
      <c r="S116" s="165"/>
      <c r="T116" s="165"/>
      <c r="U116" s="165"/>
    </row>
    <row r="117" spans="1:21" s="152" customFormat="1" ht="16.05" customHeight="1">
      <c r="A117" s="99" t="s">
        <v>1183</v>
      </c>
      <c r="B117" s="99">
        <v>159010918</v>
      </c>
      <c r="C117" s="99">
        <v>124448971</v>
      </c>
      <c r="D117" s="99">
        <v>6627674</v>
      </c>
      <c r="E117" s="99">
        <v>0.78300000000000003</v>
      </c>
      <c r="F117" s="99">
        <v>60458</v>
      </c>
      <c r="G117" s="99">
        <v>2817</v>
      </c>
      <c r="H117" s="99">
        <v>3869</v>
      </c>
      <c r="I117" s="71">
        <v>8.94</v>
      </c>
      <c r="J117" s="66" t="s">
        <v>1366</v>
      </c>
      <c r="K117" s="22"/>
      <c r="L117" s="22"/>
      <c r="M117" s="165"/>
      <c r="N117" s="165"/>
      <c r="O117" s="165"/>
      <c r="P117" s="165"/>
      <c r="Q117" s="165"/>
      <c r="R117" s="165"/>
      <c r="S117" s="165"/>
      <c r="T117" s="165"/>
      <c r="U117" s="165"/>
    </row>
    <row r="118" spans="1:21" s="152" customFormat="1" ht="16.05" customHeight="1">
      <c r="A118" s="99" t="s">
        <v>1185</v>
      </c>
      <c r="B118" s="99">
        <v>119975846</v>
      </c>
      <c r="C118" s="99">
        <v>93913779</v>
      </c>
      <c r="D118" s="99">
        <v>5041408</v>
      </c>
      <c r="E118" s="99">
        <v>0.78300000000000003</v>
      </c>
      <c r="F118" s="99">
        <v>45816</v>
      </c>
      <c r="G118" s="99">
        <v>1989</v>
      </c>
      <c r="H118" s="99">
        <v>2684</v>
      </c>
      <c r="I118" s="71">
        <v>9.2899999999999991</v>
      </c>
      <c r="J118" s="66" t="s">
        <v>1366</v>
      </c>
      <c r="K118" s="22"/>
      <c r="L118" s="22"/>
      <c r="M118" s="165"/>
      <c r="N118" s="165"/>
      <c r="O118" s="165"/>
      <c r="P118" s="165"/>
      <c r="Q118" s="165"/>
      <c r="R118" s="165"/>
      <c r="S118" s="165"/>
      <c r="T118" s="165"/>
      <c r="U118" s="165"/>
    </row>
    <row r="119" spans="1:21" s="152" customFormat="1" ht="16.05" customHeight="1">
      <c r="A119" s="99" t="s">
        <v>1187</v>
      </c>
      <c r="B119" s="99">
        <v>141058536</v>
      </c>
      <c r="C119" s="99">
        <v>112302211</v>
      </c>
      <c r="D119" s="99">
        <v>8044269</v>
      </c>
      <c r="E119" s="99">
        <v>0.79600000000000004</v>
      </c>
      <c r="F119" s="99">
        <v>54601</v>
      </c>
      <c r="G119" s="99">
        <v>3570</v>
      </c>
      <c r="H119" s="99">
        <v>4867</v>
      </c>
      <c r="I119" s="71">
        <v>6.39</v>
      </c>
      <c r="J119" s="66" t="s">
        <v>1366</v>
      </c>
      <c r="K119" s="22"/>
      <c r="L119" s="22"/>
      <c r="M119" s="165"/>
      <c r="N119" s="165"/>
      <c r="O119" s="165"/>
      <c r="P119" s="165"/>
      <c r="Q119" s="165"/>
      <c r="R119" s="165"/>
      <c r="S119" s="165"/>
      <c r="T119" s="165"/>
      <c r="U119" s="165"/>
    </row>
    <row r="120" spans="1:21" s="152" customFormat="1" ht="16.05" customHeight="1">
      <c r="A120" s="99" t="s">
        <v>1189</v>
      </c>
      <c r="B120" s="99">
        <v>127572590</v>
      </c>
      <c r="C120" s="99">
        <v>100189373</v>
      </c>
      <c r="D120" s="99">
        <v>8191228</v>
      </c>
      <c r="E120" s="99">
        <v>0.78600000000000003</v>
      </c>
      <c r="F120" s="99">
        <v>48408</v>
      </c>
      <c r="G120" s="99">
        <v>3720</v>
      </c>
      <c r="H120" s="99">
        <v>4915</v>
      </c>
      <c r="I120" s="71">
        <v>5.67</v>
      </c>
      <c r="J120" s="66" t="s">
        <v>1366</v>
      </c>
      <c r="K120" s="22"/>
      <c r="L120" s="22"/>
      <c r="M120" s="165"/>
      <c r="N120" s="165"/>
      <c r="O120" s="165"/>
      <c r="P120" s="165"/>
      <c r="Q120" s="165"/>
      <c r="R120" s="165"/>
      <c r="S120" s="165"/>
      <c r="T120" s="165"/>
      <c r="U120" s="165"/>
    </row>
    <row r="121" spans="1:21" s="152" customFormat="1" ht="16.05" customHeight="1">
      <c r="A121" s="99" t="s">
        <v>1191</v>
      </c>
      <c r="B121" s="99">
        <v>132240572</v>
      </c>
      <c r="C121" s="99">
        <v>104292454</v>
      </c>
      <c r="D121" s="99">
        <v>8859665</v>
      </c>
      <c r="E121" s="99">
        <v>0.78900000000000003</v>
      </c>
      <c r="F121" s="99">
        <v>50823</v>
      </c>
      <c r="G121" s="99">
        <v>4009</v>
      </c>
      <c r="H121" s="99">
        <v>5466</v>
      </c>
      <c r="I121" s="71">
        <v>5.33</v>
      </c>
      <c r="J121" s="66" t="s">
        <v>1366</v>
      </c>
      <c r="K121" s="22"/>
      <c r="L121" s="22"/>
      <c r="M121" s="165"/>
      <c r="N121" s="165"/>
      <c r="O121" s="165"/>
      <c r="P121" s="165"/>
      <c r="Q121" s="165"/>
      <c r="R121" s="165"/>
      <c r="S121" s="165"/>
      <c r="T121" s="165"/>
      <c r="U121" s="165"/>
    </row>
    <row r="122" spans="1:21" s="152" customFormat="1" ht="16.05" customHeight="1">
      <c r="A122" s="99" t="s">
        <v>1193</v>
      </c>
      <c r="B122" s="99">
        <v>150790188</v>
      </c>
      <c r="C122" s="99">
        <v>114362184</v>
      </c>
      <c r="D122" s="99">
        <v>8361273</v>
      </c>
      <c r="E122" s="99">
        <v>0.75900000000000001</v>
      </c>
      <c r="F122" s="99">
        <v>56524</v>
      </c>
      <c r="G122" s="99">
        <v>3688</v>
      </c>
      <c r="H122" s="99">
        <v>5510</v>
      </c>
      <c r="I122" s="71">
        <v>5.84</v>
      </c>
      <c r="J122" s="66" t="s">
        <v>1366</v>
      </c>
      <c r="K122" s="22"/>
      <c r="L122" s="22"/>
      <c r="M122" s="165"/>
      <c r="N122" s="165"/>
      <c r="O122" s="165"/>
      <c r="P122" s="165"/>
      <c r="Q122" s="165"/>
      <c r="R122" s="165"/>
      <c r="S122" s="165"/>
      <c r="T122" s="165"/>
      <c r="U122" s="165"/>
    </row>
    <row r="123" spans="1:21" s="152" customFormat="1" ht="16.05" customHeight="1">
      <c r="A123" s="99" t="s">
        <v>1196</v>
      </c>
      <c r="B123" s="99">
        <v>112310490</v>
      </c>
      <c r="C123" s="99">
        <v>89563256</v>
      </c>
      <c r="D123" s="99">
        <v>6872351</v>
      </c>
      <c r="E123" s="99">
        <v>0.79800000000000004</v>
      </c>
      <c r="F123" s="99">
        <v>43472</v>
      </c>
      <c r="G123" s="99">
        <v>2945</v>
      </c>
      <c r="H123" s="99">
        <v>3993</v>
      </c>
      <c r="I123" s="71">
        <v>6.16</v>
      </c>
      <c r="J123" s="66" t="s">
        <v>1366</v>
      </c>
      <c r="K123" s="22"/>
      <c r="L123" s="22"/>
      <c r="M123" s="165"/>
      <c r="N123" s="165"/>
      <c r="O123" s="165"/>
      <c r="P123" s="165"/>
      <c r="Q123" s="165"/>
      <c r="R123" s="165"/>
      <c r="S123" s="165"/>
      <c r="T123" s="165"/>
      <c r="U123" s="165"/>
    </row>
    <row r="124" spans="1:21" s="152" customFormat="1" ht="16.05" customHeight="1">
      <c r="A124" s="99" t="s">
        <v>1198</v>
      </c>
      <c r="B124" s="99">
        <v>120674440</v>
      </c>
      <c r="C124" s="99">
        <v>94457862</v>
      </c>
      <c r="D124" s="99">
        <v>7955490</v>
      </c>
      <c r="E124" s="99">
        <v>0.78300000000000003</v>
      </c>
      <c r="F124" s="99">
        <v>45755</v>
      </c>
      <c r="G124" s="99">
        <v>3475</v>
      </c>
      <c r="H124" s="99">
        <v>4624</v>
      </c>
      <c r="I124" s="71">
        <v>5.62</v>
      </c>
      <c r="J124" s="66" t="s">
        <v>1366</v>
      </c>
      <c r="K124" s="22"/>
      <c r="L124" s="22"/>
      <c r="M124" s="165"/>
      <c r="N124" s="165"/>
      <c r="O124" s="165"/>
      <c r="P124" s="165"/>
      <c r="Q124" s="165"/>
      <c r="R124" s="165"/>
      <c r="S124" s="165"/>
      <c r="T124" s="165"/>
      <c r="U124" s="165"/>
    </row>
    <row r="125" spans="1:21" s="152" customFormat="1" ht="16.05" customHeight="1">
      <c r="A125" s="99" t="s">
        <v>1201</v>
      </c>
      <c r="B125" s="99">
        <v>121963938</v>
      </c>
      <c r="C125" s="99">
        <v>97231514</v>
      </c>
      <c r="D125" s="99">
        <v>7431636</v>
      </c>
      <c r="E125" s="99">
        <v>0.79700000000000004</v>
      </c>
      <c r="F125" s="99">
        <v>47555</v>
      </c>
      <c r="G125" s="99">
        <v>3157</v>
      </c>
      <c r="H125" s="99">
        <v>4410</v>
      </c>
      <c r="I125" s="71">
        <v>6.1</v>
      </c>
      <c r="J125" s="66" t="s">
        <v>1366</v>
      </c>
      <c r="K125" s="22"/>
      <c r="L125" s="22"/>
      <c r="M125" s="165"/>
      <c r="N125" s="165"/>
      <c r="O125" s="165"/>
      <c r="P125" s="165"/>
      <c r="Q125" s="165"/>
      <c r="R125" s="165"/>
      <c r="S125" s="165"/>
      <c r="T125" s="165"/>
      <c r="U125" s="165"/>
    </row>
    <row r="126" spans="1:21" s="152" customFormat="1" ht="16.05" customHeight="1">
      <c r="A126" s="99" t="s">
        <v>1203</v>
      </c>
      <c r="B126" s="99">
        <v>136938716</v>
      </c>
      <c r="C126" s="99">
        <v>111271018</v>
      </c>
      <c r="D126" s="99">
        <v>9008831</v>
      </c>
      <c r="E126" s="99">
        <v>0.81299999999999994</v>
      </c>
      <c r="F126" s="99">
        <v>54675</v>
      </c>
      <c r="G126" s="99">
        <v>3933</v>
      </c>
      <c r="H126" s="99">
        <v>5730</v>
      </c>
      <c r="I126" s="71">
        <v>5.47</v>
      </c>
      <c r="J126" s="66" t="s">
        <v>1366</v>
      </c>
      <c r="K126" s="22"/>
      <c r="L126" s="22"/>
      <c r="M126" s="165"/>
      <c r="N126" s="165"/>
      <c r="O126" s="165"/>
      <c r="P126" s="165"/>
      <c r="Q126" s="165"/>
      <c r="R126" s="165"/>
      <c r="S126" s="165"/>
      <c r="T126" s="165"/>
      <c r="U126" s="165"/>
    </row>
    <row r="127" spans="1:21" s="152" customFormat="1" ht="16.05" customHeight="1">
      <c r="A127" s="99" t="s">
        <v>1205</v>
      </c>
      <c r="B127" s="99">
        <v>124397682</v>
      </c>
      <c r="C127" s="99">
        <v>100492595</v>
      </c>
      <c r="D127" s="99">
        <v>9076024</v>
      </c>
      <c r="E127" s="99">
        <v>0.80800000000000005</v>
      </c>
      <c r="F127" s="99">
        <v>48798</v>
      </c>
      <c r="G127" s="99">
        <v>4013</v>
      </c>
      <c r="H127" s="99">
        <v>5746</v>
      </c>
      <c r="I127" s="71">
        <v>4.88</v>
      </c>
      <c r="J127" s="66" t="s">
        <v>1366</v>
      </c>
      <c r="K127" s="22"/>
      <c r="L127" s="22"/>
      <c r="M127" s="165"/>
      <c r="N127" s="165"/>
      <c r="O127" s="165"/>
      <c r="P127" s="165"/>
      <c r="Q127" s="165"/>
      <c r="R127" s="165"/>
      <c r="S127" s="165"/>
      <c r="T127" s="165"/>
      <c r="U127" s="165"/>
    </row>
    <row r="128" spans="1:21" s="152" customFormat="1" ht="16.05" customHeight="1">
      <c r="A128" s="99" t="s">
        <v>1207</v>
      </c>
      <c r="B128" s="99">
        <v>135311788</v>
      </c>
      <c r="C128" s="99">
        <v>106050316</v>
      </c>
      <c r="D128" s="99">
        <v>8134203</v>
      </c>
      <c r="E128" s="99">
        <v>0.78400000000000003</v>
      </c>
      <c r="F128" s="99">
        <v>51738</v>
      </c>
      <c r="G128" s="99">
        <v>3624</v>
      </c>
      <c r="H128" s="99">
        <v>4904</v>
      </c>
      <c r="I128" s="71">
        <v>5.99</v>
      </c>
      <c r="J128" s="66" t="s">
        <v>1366</v>
      </c>
      <c r="K128" s="22"/>
      <c r="L128" s="22"/>
      <c r="M128" s="165"/>
      <c r="N128" s="165"/>
      <c r="O128" s="165"/>
      <c r="P128" s="165"/>
      <c r="Q128" s="165"/>
      <c r="R128" s="165"/>
      <c r="S128" s="165"/>
      <c r="T128" s="165"/>
      <c r="U128" s="165"/>
    </row>
    <row r="129" spans="1:21" s="152" customFormat="1" ht="16.05" customHeight="1">
      <c r="A129" s="99" t="s">
        <v>1209</v>
      </c>
      <c r="B129" s="99">
        <v>149845968</v>
      </c>
      <c r="C129" s="99">
        <v>119525637</v>
      </c>
      <c r="D129" s="99">
        <v>7525971</v>
      </c>
      <c r="E129" s="99">
        <v>0.79800000000000004</v>
      </c>
      <c r="F129" s="99">
        <v>58626</v>
      </c>
      <c r="G129" s="99">
        <v>3222</v>
      </c>
      <c r="H129" s="99">
        <v>4562</v>
      </c>
      <c r="I129" s="71">
        <v>7.29</v>
      </c>
      <c r="J129" s="66" t="s">
        <v>1366</v>
      </c>
      <c r="K129" s="22"/>
      <c r="L129" s="22"/>
      <c r="M129" s="165"/>
      <c r="N129" s="165"/>
      <c r="O129" s="165"/>
      <c r="P129" s="165"/>
      <c r="Q129" s="165"/>
      <c r="R129" s="165"/>
      <c r="S129" s="165"/>
      <c r="T129" s="165"/>
      <c r="U129" s="165"/>
    </row>
    <row r="130" spans="1:21" s="152" customFormat="1" ht="16.05" customHeight="1">
      <c r="A130" s="99" t="s">
        <v>1211</v>
      </c>
      <c r="B130" s="99">
        <v>152053296</v>
      </c>
      <c r="C130" s="99">
        <v>121091364</v>
      </c>
      <c r="D130" s="99">
        <v>8087379</v>
      </c>
      <c r="E130" s="99">
        <v>0.79700000000000004</v>
      </c>
      <c r="F130" s="99">
        <v>59283</v>
      </c>
      <c r="G130" s="99">
        <v>3496</v>
      </c>
      <c r="H130" s="99">
        <v>4934</v>
      </c>
      <c r="I130" s="71">
        <v>6.78</v>
      </c>
      <c r="J130" s="66" t="s">
        <v>1366</v>
      </c>
      <c r="K130" s="22"/>
      <c r="L130" s="22"/>
      <c r="M130" s="165"/>
      <c r="N130" s="165"/>
      <c r="O130" s="165"/>
      <c r="P130" s="165"/>
      <c r="Q130" s="165"/>
      <c r="R130" s="165"/>
      <c r="S130" s="165"/>
      <c r="T130" s="165"/>
      <c r="U130" s="165"/>
    </row>
    <row r="131" spans="1:21" s="152" customFormat="1" ht="16.05" customHeight="1">
      <c r="A131" s="99" t="s">
        <v>1213</v>
      </c>
      <c r="B131" s="99">
        <v>141977928</v>
      </c>
      <c r="C131" s="99">
        <v>114475438</v>
      </c>
      <c r="D131" s="99">
        <v>7344145</v>
      </c>
      <c r="E131" s="99">
        <v>0.80700000000000005</v>
      </c>
      <c r="F131" s="99">
        <v>56367</v>
      </c>
      <c r="G131" s="99">
        <v>3120</v>
      </c>
      <c r="H131" s="99">
        <v>4519</v>
      </c>
      <c r="I131" s="71">
        <v>7.05</v>
      </c>
      <c r="J131" s="66" t="s">
        <v>1366</v>
      </c>
      <c r="K131" s="22"/>
      <c r="L131" s="22"/>
      <c r="M131" s="165"/>
      <c r="N131" s="165"/>
      <c r="O131" s="165"/>
      <c r="P131" s="165"/>
      <c r="Q131" s="165"/>
      <c r="R131" s="165"/>
      <c r="S131" s="165"/>
      <c r="T131" s="165"/>
      <c r="U131" s="165"/>
    </row>
    <row r="132" spans="1:21" s="152" customFormat="1" ht="16.05" customHeight="1">
      <c r="A132" s="99" t="s">
        <v>1215</v>
      </c>
      <c r="B132" s="99">
        <v>150073390</v>
      </c>
      <c r="C132" s="99">
        <v>118601472</v>
      </c>
      <c r="D132" s="99">
        <v>6657555</v>
      </c>
      <c r="E132" s="99">
        <v>0.79</v>
      </c>
      <c r="F132" s="99">
        <v>57585</v>
      </c>
      <c r="G132" s="99">
        <v>2854</v>
      </c>
      <c r="H132" s="99">
        <v>3713</v>
      </c>
      <c r="I132" s="71">
        <v>8.7100000000000009</v>
      </c>
      <c r="J132" s="66" t="s">
        <v>1366</v>
      </c>
      <c r="K132" s="22"/>
      <c r="L132" s="22"/>
      <c r="M132" s="165"/>
      <c r="N132" s="165"/>
      <c r="O132" s="165"/>
      <c r="P132" s="165"/>
      <c r="Q132" s="165"/>
      <c r="R132" s="165"/>
      <c r="S132" s="165"/>
      <c r="T132" s="165"/>
      <c r="U132" s="165"/>
    </row>
    <row r="133" spans="1:21" s="152" customFormat="1" ht="16.05" customHeight="1">
      <c r="A133" s="99" t="s">
        <v>1217</v>
      </c>
      <c r="B133" s="99">
        <v>147754764</v>
      </c>
      <c r="C133" s="99">
        <v>121615345</v>
      </c>
      <c r="D133" s="99">
        <v>9739271</v>
      </c>
      <c r="E133" s="99">
        <v>0.82299999999999995</v>
      </c>
      <c r="F133" s="99">
        <v>59428</v>
      </c>
      <c r="G133" s="99">
        <v>4206</v>
      </c>
      <c r="H133" s="99">
        <v>6530</v>
      </c>
      <c r="I133" s="71">
        <v>5.24</v>
      </c>
      <c r="J133" s="66" t="s">
        <v>1366</v>
      </c>
      <c r="K133" s="22"/>
      <c r="L133" s="22"/>
      <c r="M133" s="165"/>
      <c r="N133" s="165"/>
      <c r="O133" s="165"/>
      <c r="P133" s="165"/>
      <c r="Q133" s="165"/>
      <c r="R133" s="165"/>
      <c r="S133" s="165"/>
      <c r="T133" s="165"/>
      <c r="U133" s="165"/>
    </row>
    <row r="134" spans="1:21" s="152" customFormat="1" ht="16.05" customHeight="1">
      <c r="A134" s="99" t="s">
        <v>1219</v>
      </c>
      <c r="B134" s="99">
        <v>149575406</v>
      </c>
      <c r="C134" s="99">
        <v>122490683</v>
      </c>
      <c r="D134" s="99">
        <v>9117137</v>
      </c>
      <c r="E134" s="99">
        <v>0.81899999999999995</v>
      </c>
      <c r="F134" s="99">
        <v>60262</v>
      </c>
      <c r="G134" s="99">
        <v>3951</v>
      </c>
      <c r="H134" s="99">
        <v>6043</v>
      </c>
      <c r="I134" s="71">
        <v>5.72</v>
      </c>
      <c r="J134" s="66" t="s">
        <v>1366</v>
      </c>
      <c r="K134" s="22"/>
      <c r="L134" s="22"/>
      <c r="M134" s="165"/>
      <c r="N134" s="165"/>
      <c r="O134" s="165"/>
      <c r="P134" s="165"/>
      <c r="Q134" s="165"/>
      <c r="R134" s="165"/>
      <c r="S134" s="165"/>
      <c r="T134" s="165"/>
      <c r="U134" s="165"/>
    </row>
    <row r="135" spans="1:21" s="152" customFormat="1" ht="16.05" customHeight="1">
      <c r="A135" s="99" t="s">
        <v>1221</v>
      </c>
      <c r="B135" s="99">
        <v>137954164</v>
      </c>
      <c r="C135" s="99">
        <v>111466422</v>
      </c>
      <c r="D135" s="99">
        <v>9505720</v>
      </c>
      <c r="E135" s="99">
        <v>0.80800000000000005</v>
      </c>
      <c r="F135" s="99">
        <v>54689</v>
      </c>
      <c r="G135" s="99">
        <v>4176</v>
      </c>
      <c r="H135" s="99">
        <v>6133</v>
      </c>
      <c r="I135" s="71">
        <v>5.26</v>
      </c>
      <c r="J135" s="66" t="s">
        <v>1366</v>
      </c>
      <c r="K135" s="22"/>
      <c r="L135" s="22"/>
      <c r="M135" s="165"/>
      <c r="N135" s="165"/>
      <c r="O135" s="165"/>
      <c r="P135" s="165"/>
      <c r="Q135" s="165"/>
      <c r="R135" s="165"/>
      <c r="S135" s="165"/>
      <c r="T135" s="165"/>
      <c r="U135" s="165"/>
    </row>
    <row r="136" spans="1:21" s="152" customFormat="1" ht="16.05" customHeight="1">
      <c r="A136" s="99" t="s">
        <v>1223</v>
      </c>
      <c r="B136" s="99">
        <v>143814400</v>
      </c>
      <c r="C136" s="99">
        <v>117164361</v>
      </c>
      <c r="D136" s="99">
        <v>8061533</v>
      </c>
      <c r="E136" s="99">
        <v>0.81499999999999995</v>
      </c>
      <c r="F136" s="99">
        <v>57994</v>
      </c>
      <c r="G136" s="99">
        <v>3293</v>
      </c>
      <c r="H136" s="99">
        <v>5138</v>
      </c>
      <c r="I136" s="71">
        <v>6.44</v>
      </c>
      <c r="J136" s="66" t="s">
        <v>1366</v>
      </c>
      <c r="K136" s="22"/>
      <c r="L136" s="22"/>
      <c r="M136" s="165"/>
      <c r="N136" s="165"/>
      <c r="O136" s="165"/>
      <c r="P136" s="165"/>
      <c r="Q136" s="165"/>
      <c r="R136" s="165"/>
      <c r="S136" s="165"/>
      <c r="T136" s="165"/>
      <c r="U136" s="165"/>
    </row>
    <row r="137" spans="1:21" s="152" customFormat="1" ht="16.05" customHeight="1">
      <c r="A137" s="99" t="s">
        <v>1225</v>
      </c>
      <c r="B137" s="99">
        <v>154340738</v>
      </c>
      <c r="C137" s="99">
        <v>121620156</v>
      </c>
      <c r="D137" s="99">
        <v>8615462</v>
      </c>
      <c r="E137" s="99">
        <v>0.78800000000000003</v>
      </c>
      <c r="F137" s="99">
        <v>59301</v>
      </c>
      <c r="G137" s="99">
        <v>3870</v>
      </c>
      <c r="H137" s="99">
        <v>5364</v>
      </c>
      <c r="I137" s="71">
        <v>6.42</v>
      </c>
      <c r="J137" s="66" t="s">
        <v>1366</v>
      </c>
      <c r="K137" s="22"/>
      <c r="L137" s="22"/>
      <c r="M137" s="165"/>
      <c r="N137" s="165"/>
      <c r="O137" s="165"/>
      <c r="P137" s="165"/>
      <c r="Q137" s="165"/>
      <c r="R137" s="165"/>
      <c r="S137" s="165"/>
      <c r="T137" s="165"/>
      <c r="U137" s="165"/>
    </row>
    <row r="138" spans="1:21" s="152" customFormat="1" ht="16.05" customHeight="1">
      <c r="A138" s="99" t="s">
        <v>1227</v>
      </c>
      <c r="B138" s="99">
        <v>137070852</v>
      </c>
      <c r="C138" s="99">
        <v>107663729</v>
      </c>
      <c r="D138" s="99">
        <v>8749071</v>
      </c>
      <c r="E138" s="99">
        <v>0.78600000000000003</v>
      </c>
      <c r="F138" s="99">
        <v>52533</v>
      </c>
      <c r="G138" s="99">
        <v>3923</v>
      </c>
      <c r="H138" s="99">
        <v>5281</v>
      </c>
      <c r="I138" s="71">
        <v>5.77</v>
      </c>
      <c r="J138" s="66" t="s">
        <v>1366</v>
      </c>
      <c r="K138" s="22"/>
      <c r="L138" s="22"/>
      <c r="M138" s="165"/>
      <c r="N138" s="165"/>
      <c r="O138" s="165"/>
      <c r="P138" s="165"/>
      <c r="Q138" s="165"/>
      <c r="R138" s="165"/>
      <c r="S138" s="165"/>
      <c r="T138" s="165"/>
      <c r="U138" s="165"/>
    </row>
    <row r="139" spans="1:21" s="152" customFormat="1" ht="16.05" customHeight="1">
      <c r="A139" s="99" t="s">
        <v>1229</v>
      </c>
      <c r="B139" s="99">
        <v>161859546</v>
      </c>
      <c r="C139" s="99">
        <v>130982229</v>
      </c>
      <c r="D139" s="99">
        <v>8818334</v>
      </c>
      <c r="E139" s="99">
        <v>0.80900000000000005</v>
      </c>
      <c r="F139" s="99">
        <v>63755</v>
      </c>
      <c r="G139" s="99">
        <v>3805</v>
      </c>
      <c r="H139" s="99">
        <v>5670</v>
      </c>
      <c r="I139" s="71">
        <v>6.48</v>
      </c>
      <c r="J139" s="66" t="s">
        <v>1366</v>
      </c>
      <c r="K139" s="22"/>
      <c r="L139" s="22"/>
      <c r="M139" s="165"/>
      <c r="N139" s="165"/>
      <c r="O139" s="165"/>
      <c r="P139" s="165"/>
      <c r="Q139" s="165"/>
      <c r="R139" s="165"/>
      <c r="S139" s="165"/>
      <c r="T139" s="165"/>
      <c r="U139" s="165"/>
    </row>
    <row r="140" spans="1:21" s="152" customFormat="1" ht="16.05" customHeight="1">
      <c r="A140" s="99" t="s">
        <v>1231</v>
      </c>
      <c r="B140" s="99">
        <v>137898560</v>
      </c>
      <c r="C140" s="99">
        <v>109020967</v>
      </c>
      <c r="D140" s="99">
        <v>8109261</v>
      </c>
      <c r="E140" s="99">
        <v>0.79100000000000004</v>
      </c>
      <c r="F140" s="99">
        <v>53343</v>
      </c>
      <c r="G140" s="99">
        <v>3466</v>
      </c>
      <c r="H140" s="99">
        <v>4862</v>
      </c>
      <c r="I140" s="71">
        <v>6.29</v>
      </c>
      <c r="J140" s="66" t="s">
        <v>1366</v>
      </c>
      <c r="K140" s="22"/>
      <c r="L140" s="22"/>
      <c r="M140" s="165"/>
      <c r="N140" s="165"/>
      <c r="O140" s="165"/>
      <c r="P140" s="165"/>
      <c r="Q140" s="165"/>
      <c r="R140" s="165"/>
      <c r="S140" s="165"/>
      <c r="T140" s="165"/>
      <c r="U140" s="165"/>
    </row>
    <row r="141" spans="1:21" s="152" customFormat="1" ht="16.05" customHeight="1">
      <c r="A141" s="99" t="s">
        <v>1233</v>
      </c>
      <c r="B141" s="99">
        <v>118422944</v>
      </c>
      <c r="C141" s="99">
        <v>95854294</v>
      </c>
      <c r="D141" s="99">
        <v>8836446</v>
      </c>
      <c r="E141" s="99">
        <v>0.81</v>
      </c>
      <c r="F141" s="99">
        <v>47277</v>
      </c>
      <c r="G141" s="99">
        <v>3879</v>
      </c>
      <c r="H141" s="99">
        <v>5686</v>
      </c>
      <c r="I141" s="71">
        <v>4.83</v>
      </c>
      <c r="J141" s="66" t="s">
        <v>1366</v>
      </c>
      <c r="K141" s="22"/>
      <c r="L141" s="22"/>
      <c r="M141" s="165"/>
      <c r="N141" s="165"/>
      <c r="O141" s="165"/>
      <c r="P141" s="165"/>
      <c r="Q141" s="165"/>
      <c r="R141" s="165"/>
      <c r="S141" s="165"/>
      <c r="T141" s="165"/>
      <c r="U141" s="165"/>
    </row>
    <row r="142" spans="1:21" s="152" customFormat="1" ht="16.05" customHeight="1">
      <c r="A142" s="99" t="s">
        <v>1235</v>
      </c>
      <c r="B142" s="99">
        <v>162198798</v>
      </c>
      <c r="C142" s="99">
        <v>131250139</v>
      </c>
      <c r="D142" s="99">
        <v>9393671</v>
      </c>
      <c r="E142" s="99">
        <v>0.80900000000000005</v>
      </c>
      <c r="F142" s="99">
        <v>64067</v>
      </c>
      <c r="G142" s="99">
        <v>4132</v>
      </c>
      <c r="H142" s="99">
        <v>6040</v>
      </c>
      <c r="I142" s="71">
        <v>6.17</v>
      </c>
      <c r="J142" s="66" t="s">
        <v>1366</v>
      </c>
      <c r="K142" s="22"/>
      <c r="L142" s="22"/>
      <c r="M142" s="165"/>
      <c r="N142" s="165"/>
      <c r="O142" s="165"/>
      <c r="P142" s="165"/>
      <c r="Q142" s="165"/>
      <c r="R142" s="165"/>
      <c r="S142" s="165"/>
      <c r="T142" s="165"/>
      <c r="U142" s="165"/>
    </row>
    <row r="143" spans="1:21" s="152" customFormat="1" ht="16.05" customHeight="1">
      <c r="A143" s="99" t="s">
        <v>1237</v>
      </c>
      <c r="B143" s="99">
        <v>139719530</v>
      </c>
      <c r="C143" s="99">
        <v>111414586</v>
      </c>
      <c r="D143" s="99">
        <v>8880574</v>
      </c>
      <c r="E143" s="99">
        <v>0.79800000000000004</v>
      </c>
      <c r="F143" s="99">
        <v>54905</v>
      </c>
      <c r="G143" s="99">
        <v>3784</v>
      </c>
      <c r="H143" s="99">
        <v>5559</v>
      </c>
      <c r="I143" s="71">
        <v>5.66</v>
      </c>
      <c r="J143" s="66" t="s">
        <v>1366</v>
      </c>
      <c r="K143" s="22"/>
      <c r="L143" s="22"/>
      <c r="M143" s="165"/>
      <c r="N143" s="165"/>
      <c r="O143" s="165"/>
      <c r="P143" s="165"/>
      <c r="Q143" s="165"/>
      <c r="R143" s="165"/>
      <c r="S143" s="165"/>
      <c r="T143" s="165"/>
      <c r="U143" s="165"/>
    </row>
    <row r="144" spans="1:21" s="152" customFormat="1" ht="16.05" customHeight="1">
      <c r="A144" s="99" t="s">
        <v>1239</v>
      </c>
      <c r="B144" s="99">
        <v>166031416</v>
      </c>
      <c r="C144" s="99">
        <v>133291330</v>
      </c>
      <c r="D144" s="99">
        <v>8853843</v>
      </c>
      <c r="E144" s="99">
        <v>0.80300000000000005</v>
      </c>
      <c r="F144" s="99">
        <v>64926</v>
      </c>
      <c r="G144" s="99">
        <v>3464</v>
      </c>
      <c r="H144" s="99">
        <v>5204</v>
      </c>
      <c r="I144" s="71">
        <v>7.07</v>
      </c>
      <c r="J144" s="66" t="s">
        <v>1366</v>
      </c>
      <c r="K144" s="22"/>
      <c r="L144" s="22"/>
      <c r="M144" s="165"/>
      <c r="N144" s="165"/>
      <c r="O144" s="165"/>
      <c r="P144" s="165"/>
      <c r="Q144" s="165"/>
      <c r="R144" s="165"/>
      <c r="S144" s="165"/>
      <c r="T144" s="165"/>
      <c r="U144" s="165"/>
    </row>
    <row r="145" spans="1:21" s="152" customFormat="1" ht="16.05" customHeight="1">
      <c r="A145" s="99" t="s">
        <v>1241</v>
      </c>
      <c r="B145" s="99">
        <v>117319900</v>
      </c>
      <c r="C145" s="99">
        <v>91772484</v>
      </c>
      <c r="D145" s="99">
        <v>7034359</v>
      </c>
      <c r="E145" s="99">
        <v>0.78200000000000003</v>
      </c>
      <c r="F145" s="99">
        <v>44763</v>
      </c>
      <c r="G145" s="99">
        <v>2995</v>
      </c>
      <c r="H145" s="99">
        <v>4036</v>
      </c>
      <c r="I145" s="71">
        <v>6.32</v>
      </c>
      <c r="J145" s="66" t="s">
        <v>1366</v>
      </c>
      <c r="K145" s="22"/>
      <c r="L145" s="22"/>
      <c r="M145" s="165"/>
      <c r="N145" s="165"/>
      <c r="O145" s="165"/>
      <c r="P145" s="165"/>
      <c r="Q145" s="165"/>
      <c r="R145" s="165"/>
      <c r="S145" s="165"/>
      <c r="T145" s="165"/>
      <c r="U145" s="165"/>
    </row>
    <row r="146" spans="1:21" s="152" customFormat="1" ht="16.05" customHeight="1">
      <c r="A146" s="99" t="s">
        <v>1243</v>
      </c>
      <c r="B146" s="99">
        <v>165767244</v>
      </c>
      <c r="C146" s="99">
        <v>133044931</v>
      </c>
      <c r="D146" s="99">
        <v>7539289</v>
      </c>
      <c r="E146" s="99">
        <v>0.80300000000000005</v>
      </c>
      <c r="F146" s="99">
        <v>65352</v>
      </c>
      <c r="G146" s="99">
        <v>3178</v>
      </c>
      <c r="H146" s="99">
        <v>4544</v>
      </c>
      <c r="I146" s="71">
        <v>8.15</v>
      </c>
      <c r="J146" s="66" t="s">
        <v>1366</v>
      </c>
      <c r="K146" s="22"/>
      <c r="L146" s="22"/>
      <c r="M146" s="165"/>
      <c r="N146" s="165"/>
      <c r="O146" s="165"/>
      <c r="P146" s="165"/>
      <c r="Q146" s="165"/>
      <c r="R146" s="165"/>
      <c r="S146" s="165"/>
      <c r="T146" s="165"/>
      <c r="U146" s="165"/>
    </row>
    <row r="147" spans="1:21" s="152" customFormat="1" ht="16.05" customHeight="1">
      <c r="A147" s="99" t="s">
        <v>1245</v>
      </c>
      <c r="B147" s="99">
        <v>129764852</v>
      </c>
      <c r="C147" s="99">
        <v>102098947</v>
      </c>
      <c r="D147" s="99">
        <v>8047504</v>
      </c>
      <c r="E147" s="99">
        <v>0.78700000000000003</v>
      </c>
      <c r="F147" s="99">
        <v>49479</v>
      </c>
      <c r="G147" s="99">
        <v>3525</v>
      </c>
      <c r="H147" s="99">
        <v>4902</v>
      </c>
      <c r="I147" s="71">
        <v>5.82</v>
      </c>
      <c r="J147" s="66" t="s">
        <v>1366</v>
      </c>
      <c r="K147" s="22"/>
      <c r="L147" s="22"/>
      <c r="M147" s="165"/>
      <c r="N147" s="165"/>
      <c r="O147" s="165"/>
      <c r="P147" s="165"/>
      <c r="Q147" s="165"/>
      <c r="R147" s="165"/>
      <c r="S147" s="165"/>
      <c r="T147" s="165"/>
      <c r="U147" s="165"/>
    </row>
    <row r="148" spans="1:21" s="152" customFormat="1" ht="16.05" customHeight="1">
      <c r="A148" s="99" t="s">
        <v>1247</v>
      </c>
      <c r="B148" s="99">
        <v>145316100</v>
      </c>
      <c r="C148" s="99">
        <v>114910404</v>
      </c>
      <c r="D148" s="99">
        <v>9169672</v>
      </c>
      <c r="E148" s="99">
        <v>0.79100000000000004</v>
      </c>
      <c r="F148" s="99">
        <v>56506</v>
      </c>
      <c r="G148" s="99">
        <v>4062</v>
      </c>
      <c r="H148" s="99">
        <v>5867</v>
      </c>
      <c r="I148" s="71">
        <v>5.56</v>
      </c>
      <c r="J148" s="66" t="s">
        <v>1366</v>
      </c>
      <c r="K148" s="22"/>
      <c r="L148" s="22"/>
      <c r="M148" s="165"/>
      <c r="N148" s="165"/>
      <c r="O148" s="165"/>
      <c r="P148" s="165"/>
      <c r="Q148" s="165"/>
      <c r="R148" s="165"/>
      <c r="S148" s="165"/>
      <c r="T148" s="165"/>
      <c r="U148" s="165"/>
    </row>
    <row r="149" spans="1:21" s="152" customFormat="1" ht="16.05" customHeight="1">
      <c r="A149" s="99" t="s">
        <v>1249</v>
      </c>
      <c r="B149" s="99">
        <v>142012196</v>
      </c>
      <c r="C149" s="99">
        <v>114170737</v>
      </c>
      <c r="D149" s="99">
        <v>10048976</v>
      </c>
      <c r="E149" s="99">
        <v>0.80400000000000005</v>
      </c>
      <c r="F149" s="99">
        <v>56027</v>
      </c>
      <c r="G149" s="99">
        <v>4343</v>
      </c>
      <c r="H149" s="99">
        <v>6642</v>
      </c>
      <c r="I149" s="71">
        <v>4.91</v>
      </c>
      <c r="J149" s="66" t="s">
        <v>1366</v>
      </c>
      <c r="K149" s="22"/>
      <c r="L149" s="22"/>
      <c r="M149" s="165"/>
      <c r="N149" s="165"/>
      <c r="O149" s="165"/>
      <c r="P149" s="165"/>
      <c r="Q149" s="165"/>
      <c r="R149" s="165"/>
      <c r="S149" s="165"/>
      <c r="T149" s="165"/>
      <c r="U149" s="165"/>
    </row>
    <row r="150" spans="1:21" s="152" customFormat="1" ht="16.05" customHeight="1">
      <c r="A150" s="99" t="s">
        <v>1251</v>
      </c>
      <c r="B150" s="99">
        <v>144363806</v>
      </c>
      <c r="C150" s="99">
        <v>114227326</v>
      </c>
      <c r="D150" s="99">
        <v>8768155</v>
      </c>
      <c r="E150" s="99">
        <v>0.79100000000000004</v>
      </c>
      <c r="F150" s="99">
        <v>56016</v>
      </c>
      <c r="G150" s="99">
        <v>3880</v>
      </c>
      <c r="H150" s="99">
        <v>5416</v>
      </c>
      <c r="I150" s="71">
        <v>5.94</v>
      </c>
      <c r="J150" s="66" t="s">
        <v>1366</v>
      </c>
      <c r="K150" s="22"/>
      <c r="L150" s="22"/>
      <c r="M150" s="165"/>
      <c r="N150" s="165"/>
      <c r="O150" s="165"/>
      <c r="P150" s="165"/>
      <c r="Q150" s="165"/>
      <c r="R150" s="165"/>
      <c r="S150" s="165"/>
      <c r="T150" s="165"/>
      <c r="U150" s="165"/>
    </row>
    <row r="151" spans="1:21" s="152" customFormat="1" ht="16.05" customHeight="1">
      <c r="A151" s="99" t="s">
        <v>1253</v>
      </c>
      <c r="B151" s="99">
        <v>168147536</v>
      </c>
      <c r="C151" s="99">
        <v>130039367</v>
      </c>
      <c r="D151" s="99">
        <v>7704129</v>
      </c>
      <c r="E151" s="99">
        <v>0.77400000000000002</v>
      </c>
      <c r="F151" s="99">
        <v>63330</v>
      </c>
      <c r="G151" s="99">
        <v>3449</v>
      </c>
      <c r="H151" s="99">
        <v>4410</v>
      </c>
      <c r="I151" s="71">
        <v>8.09</v>
      </c>
      <c r="J151" s="66" t="s">
        <v>1366</v>
      </c>
      <c r="K151" s="22"/>
      <c r="L151" s="22"/>
      <c r="M151" s="165"/>
      <c r="N151" s="165"/>
      <c r="O151" s="165"/>
      <c r="P151" s="165"/>
      <c r="Q151" s="165"/>
      <c r="R151" s="165"/>
      <c r="S151" s="165"/>
      <c r="T151" s="165"/>
      <c r="U151" s="165"/>
    </row>
    <row r="152" spans="1:21" s="152" customFormat="1" ht="16.05" customHeight="1">
      <c r="A152" s="99" t="s">
        <v>1255</v>
      </c>
      <c r="B152" s="99">
        <v>140329062</v>
      </c>
      <c r="C152" s="99">
        <v>113364062</v>
      </c>
      <c r="D152" s="99">
        <v>6825783</v>
      </c>
      <c r="E152" s="99">
        <v>0.80800000000000005</v>
      </c>
      <c r="F152" s="99">
        <v>54958</v>
      </c>
      <c r="G152" s="99">
        <v>2536</v>
      </c>
      <c r="H152" s="99">
        <v>3757</v>
      </c>
      <c r="I152" s="71">
        <v>8.14</v>
      </c>
      <c r="J152" s="66" t="s">
        <v>1366</v>
      </c>
      <c r="K152" s="22"/>
      <c r="L152" s="22"/>
      <c r="M152" s="165"/>
      <c r="N152" s="165"/>
      <c r="O152" s="165"/>
      <c r="P152" s="165"/>
      <c r="Q152" s="165"/>
      <c r="R152" s="165"/>
      <c r="S152" s="165"/>
      <c r="T152" s="165"/>
      <c r="U152" s="165"/>
    </row>
    <row r="153" spans="1:21" s="152" customFormat="1" ht="16.05" customHeight="1">
      <c r="A153" s="99" t="s">
        <v>1257</v>
      </c>
      <c r="B153" s="99">
        <v>156874830</v>
      </c>
      <c r="C153" s="99">
        <v>129265298</v>
      </c>
      <c r="D153" s="99">
        <v>10865714</v>
      </c>
      <c r="E153" s="99">
        <v>0.82399999999999995</v>
      </c>
      <c r="F153" s="99">
        <v>63182</v>
      </c>
      <c r="G153" s="99">
        <v>4274</v>
      </c>
      <c r="H153" s="99">
        <v>6887</v>
      </c>
      <c r="I153" s="71">
        <v>5.28</v>
      </c>
      <c r="J153" s="66" t="s">
        <v>1366</v>
      </c>
      <c r="K153" s="22"/>
      <c r="L153" s="22"/>
      <c r="M153" s="165"/>
      <c r="N153" s="165"/>
      <c r="O153" s="165"/>
      <c r="P153" s="165"/>
      <c r="Q153" s="165"/>
      <c r="R153" s="165"/>
      <c r="S153" s="165"/>
      <c r="T153" s="165"/>
      <c r="U153" s="165"/>
    </row>
    <row r="154" spans="1:21" s="152" customFormat="1" ht="16.05" customHeight="1">
      <c r="A154" s="99" t="s">
        <v>1259</v>
      </c>
      <c r="B154" s="99">
        <v>170178460</v>
      </c>
      <c r="C154" s="99">
        <v>135370901</v>
      </c>
      <c r="D154" s="99">
        <v>8425479</v>
      </c>
      <c r="E154" s="99">
        <v>0.79600000000000004</v>
      </c>
      <c r="F154" s="99">
        <v>66327</v>
      </c>
      <c r="G154" s="99">
        <v>3559</v>
      </c>
      <c r="H154" s="99">
        <v>5114</v>
      </c>
      <c r="I154" s="71">
        <v>7.41</v>
      </c>
      <c r="J154" s="66" t="s">
        <v>1366</v>
      </c>
      <c r="K154" s="22"/>
      <c r="L154" s="22"/>
      <c r="M154" s="165"/>
      <c r="N154" s="165"/>
      <c r="O154" s="165"/>
      <c r="P154" s="165"/>
      <c r="Q154" s="165"/>
      <c r="R154" s="165"/>
      <c r="S154" s="165"/>
      <c r="T154" s="165"/>
      <c r="U154" s="165"/>
    </row>
    <row r="155" spans="1:21" s="152" customFormat="1" ht="16.05" customHeight="1">
      <c r="A155" s="117" t="s">
        <v>1261</v>
      </c>
      <c r="B155" s="117">
        <v>170542894</v>
      </c>
      <c r="C155" s="117">
        <v>134202633</v>
      </c>
      <c r="D155" s="117">
        <v>7392769</v>
      </c>
      <c r="E155" s="117">
        <v>0.78700000000000003</v>
      </c>
      <c r="F155" s="117">
        <v>65297</v>
      </c>
      <c r="G155" s="117">
        <v>2952</v>
      </c>
      <c r="H155" s="117">
        <v>4086</v>
      </c>
      <c r="I155" s="76">
        <v>8.94</v>
      </c>
      <c r="J155" s="78" t="s">
        <v>1366</v>
      </c>
      <c r="K155" s="22"/>
      <c r="L155" s="22"/>
      <c r="M155" s="165"/>
      <c r="N155" s="165"/>
      <c r="O155" s="165"/>
      <c r="P155" s="165"/>
      <c r="Q155" s="165"/>
      <c r="R155" s="165"/>
      <c r="S155" s="165"/>
      <c r="T155" s="165"/>
      <c r="U155" s="165"/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9FBF9-5A1A-45DF-8F6A-E4759C580054}">
  <dimension ref="A1:Q239"/>
  <sheetViews>
    <sheetView topLeftCell="A142" workbookViewId="0">
      <selection activeCell="E147" sqref="E147"/>
    </sheetView>
  </sheetViews>
  <sheetFormatPr defaultColWidth="14" defaultRowHeight="13.2"/>
  <cols>
    <col min="1" max="1" width="13" style="47" customWidth="1"/>
    <col min="2" max="2" width="17.88671875" style="47" customWidth="1"/>
    <col min="3" max="3" width="13.6640625" style="47" customWidth="1"/>
    <col min="4" max="6" width="13" style="47" customWidth="1"/>
    <col min="7" max="7" width="13" style="153" customWidth="1"/>
    <col min="8" max="8" width="13" style="47" customWidth="1"/>
    <col min="9" max="9" width="16" style="47" customWidth="1"/>
    <col min="10" max="17" width="13" style="47" customWidth="1"/>
    <col min="18" max="16384" width="14" style="154"/>
  </cols>
  <sheetData>
    <row r="1" spans="1:17" ht="16.05" customHeight="1">
      <c r="A1" s="100" t="s">
        <v>2039</v>
      </c>
    </row>
    <row r="2" spans="1:17" s="157" customFormat="1" ht="25.95" customHeight="1">
      <c r="A2" s="26" t="s">
        <v>1130</v>
      </c>
      <c r="B2" s="26" t="s">
        <v>1367</v>
      </c>
      <c r="C2" s="26" t="s">
        <v>1368</v>
      </c>
      <c r="D2" s="26" t="s">
        <v>1369</v>
      </c>
      <c r="E2" s="26" t="s">
        <v>1370</v>
      </c>
      <c r="F2" s="26" t="s">
        <v>1371</v>
      </c>
      <c r="G2" s="155" t="s">
        <v>1372</v>
      </c>
      <c r="H2" s="26" t="s">
        <v>1373</v>
      </c>
      <c r="I2" s="26" t="s">
        <v>531</v>
      </c>
      <c r="J2" s="27" t="s">
        <v>1374</v>
      </c>
      <c r="K2" s="156"/>
      <c r="L2" s="156"/>
      <c r="M2" s="156"/>
      <c r="N2" s="156"/>
      <c r="O2" s="156"/>
      <c r="P2" s="156"/>
      <c r="Q2" s="156"/>
    </row>
    <row r="3" spans="1:17" ht="16.05" customHeight="1">
      <c r="A3" s="45" t="s">
        <v>1375</v>
      </c>
      <c r="B3" s="45" t="s">
        <v>757</v>
      </c>
      <c r="C3" s="45" t="s">
        <v>541</v>
      </c>
      <c r="D3" s="45" t="s">
        <v>1376</v>
      </c>
      <c r="E3" s="45" t="s">
        <v>1377</v>
      </c>
      <c r="F3" s="158" t="s">
        <v>1378</v>
      </c>
      <c r="G3" s="159">
        <v>5.0000000000000001E-4</v>
      </c>
      <c r="H3" s="56">
        <v>0</v>
      </c>
      <c r="I3" s="45" t="s">
        <v>550</v>
      </c>
      <c r="J3" s="46" t="s">
        <v>564</v>
      </c>
      <c r="K3" s="45"/>
    </row>
    <row r="4" spans="1:17" ht="16.05" customHeight="1">
      <c r="A4" s="45" t="s">
        <v>1379</v>
      </c>
      <c r="B4" s="45" t="s">
        <v>760</v>
      </c>
      <c r="C4" s="45" t="s">
        <v>541</v>
      </c>
      <c r="D4" s="45" t="s">
        <v>1380</v>
      </c>
      <c r="E4" s="45" t="s">
        <v>1381</v>
      </c>
      <c r="F4" s="158" t="s">
        <v>1382</v>
      </c>
      <c r="G4" s="56">
        <v>0</v>
      </c>
      <c r="H4" s="56">
        <v>0</v>
      </c>
      <c r="I4" s="45" t="s">
        <v>559</v>
      </c>
      <c r="J4" s="46" t="s">
        <v>552</v>
      </c>
      <c r="K4" s="45"/>
    </row>
    <row r="5" spans="1:17" ht="16.05" customHeight="1">
      <c r="A5" s="45" t="s">
        <v>1383</v>
      </c>
      <c r="B5" s="45" t="s">
        <v>762</v>
      </c>
      <c r="C5" s="45" t="s">
        <v>541</v>
      </c>
      <c r="D5" s="45" t="s">
        <v>1384</v>
      </c>
      <c r="E5" s="45" t="s">
        <v>1385</v>
      </c>
      <c r="F5" s="158" t="s">
        <v>349</v>
      </c>
      <c r="G5" s="159">
        <v>7.1000000000000004E-3</v>
      </c>
      <c r="H5" s="56">
        <v>0</v>
      </c>
      <c r="I5" s="45" t="s">
        <v>559</v>
      </c>
      <c r="J5" s="46" t="s">
        <v>543</v>
      </c>
      <c r="K5" s="45"/>
    </row>
    <row r="6" spans="1:17" ht="16.05" customHeight="1">
      <c r="A6" s="45" t="s">
        <v>1386</v>
      </c>
      <c r="B6" s="45" t="s">
        <v>766</v>
      </c>
      <c r="C6" s="45" t="s">
        <v>541</v>
      </c>
      <c r="D6" s="45" t="s">
        <v>1387</v>
      </c>
      <c r="E6" s="45" t="s">
        <v>1388</v>
      </c>
      <c r="F6" s="158" t="s">
        <v>1389</v>
      </c>
      <c r="G6" s="159">
        <v>5.6500000000000002E-2</v>
      </c>
      <c r="H6" s="80">
        <v>5.6500000000000002E-2</v>
      </c>
      <c r="I6" s="45" t="s">
        <v>559</v>
      </c>
      <c r="J6" s="46" t="s">
        <v>564</v>
      </c>
      <c r="K6" s="45"/>
    </row>
    <row r="7" spans="1:17" ht="16.05" customHeight="1">
      <c r="A7" s="45" t="s">
        <v>1390</v>
      </c>
      <c r="B7" s="45" t="s">
        <v>767</v>
      </c>
      <c r="C7" s="45" t="s">
        <v>541</v>
      </c>
      <c r="D7" s="45" t="s">
        <v>1391</v>
      </c>
      <c r="E7" s="45" t="s">
        <v>1392</v>
      </c>
      <c r="F7" s="158" t="s">
        <v>1393</v>
      </c>
      <c r="G7" s="159">
        <v>0.17910000000000001</v>
      </c>
      <c r="H7" s="80">
        <v>0.17910000000000001</v>
      </c>
      <c r="I7" s="45" t="s">
        <v>550</v>
      </c>
      <c r="J7" s="46" t="s">
        <v>564</v>
      </c>
      <c r="K7" s="45"/>
    </row>
    <row r="8" spans="1:17" ht="16.05" customHeight="1">
      <c r="A8" s="45" t="s">
        <v>1394</v>
      </c>
      <c r="B8" s="45" t="s">
        <v>776</v>
      </c>
      <c r="C8" s="45" t="s">
        <v>1115</v>
      </c>
      <c r="D8" s="45" t="s">
        <v>1395</v>
      </c>
      <c r="E8" s="45" t="s">
        <v>1396</v>
      </c>
      <c r="F8" s="158" t="s">
        <v>349</v>
      </c>
      <c r="G8" s="159">
        <v>1.6000000000000001E-3</v>
      </c>
      <c r="H8" s="80">
        <v>1.6000000000000001E-3</v>
      </c>
      <c r="I8" s="45" t="s">
        <v>550</v>
      </c>
      <c r="J8" s="46" t="s">
        <v>543</v>
      </c>
      <c r="K8" s="45"/>
    </row>
    <row r="9" spans="1:17" ht="16.05" customHeight="1">
      <c r="A9" s="45" t="s">
        <v>1397</v>
      </c>
      <c r="B9" s="45" t="s">
        <v>782</v>
      </c>
      <c r="C9" s="45" t="s">
        <v>541</v>
      </c>
      <c r="D9" s="45" t="s">
        <v>1398</v>
      </c>
      <c r="E9" s="45" t="s">
        <v>1399</v>
      </c>
      <c r="F9" s="158" t="s">
        <v>349</v>
      </c>
      <c r="G9" s="159">
        <v>1.7000000000000001E-2</v>
      </c>
      <c r="H9" s="80">
        <v>1.7000000000000001E-2</v>
      </c>
      <c r="I9" s="45" t="s">
        <v>550</v>
      </c>
      <c r="J9" s="46" t="s">
        <v>564</v>
      </c>
      <c r="K9" s="45"/>
    </row>
    <row r="10" spans="1:17" ht="16.05" customHeight="1">
      <c r="A10" s="45" t="s">
        <v>1400</v>
      </c>
      <c r="B10" s="45" t="s">
        <v>755</v>
      </c>
      <c r="C10" s="45" t="s">
        <v>541</v>
      </c>
      <c r="D10" s="45" t="s">
        <v>1401</v>
      </c>
      <c r="E10" s="45" t="s">
        <v>1402</v>
      </c>
      <c r="F10" s="158" t="s">
        <v>1403</v>
      </c>
      <c r="G10" s="45">
        <v>0</v>
      </c>
      <c r="H10" s="56">
        <v>0</v>
      </c>
      <c r="I10" s="45" t="s">
        <v>559</v>
      </c>
      <c r="J10" s="46" t="s">
        <v>552</v>
      </c>
      <c r="K10" s="45"/>
    </row>
    <row r="11" spans="1:17" ht="16.05" customHeight="1">
      <c r="A11" s="45" t="s">
        <v>1404</v>
      </c>
      <c r="B11" s="45" t="s">
        <v>756</v>
      </c>
      <c r="C11" s="45" t="s">
        <v>540</v>
      </c>
      <c r="D11" s="45" t="s">
        <v>1405</v>
      </c>
      <c r="E11" s="45" t="s">
        <v>1406</v>
      </c>
      <c r="F11" s="158" t="s">
        <v>1407</v>
      </c>
      <c r="G11" s="45">
        <v>0</v>
      </c>
      <c r="H11" s="56">
        <v>0</v>
      </c>
      <c r="I11" s="45" t="s">
        <v>555</v>
      </c>
      <c r="J11" s="46" t="s">
        <v>543</v>
      </c>
      <c r="K11" s="45"/>
    </row>
    <row r="12" spans="1:17" ht="16.05" customHeight="1">
      <c r="A12" s="45" t="s">
        <v>1408</v>
      </c>
      <c r="B12" s="45" t="s">
        <v>758</v>
      </c>
      <c r="C12" s="45" t="s">
        <v>540</v>
      </c>
      <c r="D12" s="45" t="s">
        <v>1409</v>
      </c>
      <c r="E12" s="45" t="s">
        <v>1410</v>
      </c>
      <c r="F12" s="158" t="s">
        <v>1411</v>
      </c>
      <c r="G12" s="45">
        <v>0</v>
      </c>
      <c r="H12" s="56">
        <v>0</v>
      </c>
      <c r="I12" s="45" t="s">
        <v>550</v>
      </c>
      <c r="J12" s="46" t="s">
        <v>543</v>
      </c>
      <c r="K12" s="45"/>
    </row>
    <row r="13" spans="1:17" ht="16.05" customHeight="1">
      <c r="A13" s="45" t="s">
        <v>1412</v>
      </c>
      <c r="B13" s="45" t="s">
        <v>759</v>
      </c>
      <c r="C13" s="45" t="s">
        <v>541</v>
      </c>
      <c r="D13" s="45" t="s">
        <v>1413</v>
      </c>
      <c r="E13" s="45" t="s">
        <v>1414</v>
      </c>
      <c r="F13" s="158" t="s">
        <v>1415</v>
      </c>
      <c r="G13" s="45">
        <v>0</v>
      </c>
      <c r="H13" s="56">
        <v>0</v>
      </c>
      <c r="I13" s="45" t="s">
        <v>555</v>
      </c>
      <c r="J13" s="46" t="s">
        <v>543</v>
      </c>
      <c r="K13" s="45"/>
    </row>
    <row r="14" spans="1:17" ht="16.05" customHeight="1">
      <c r="A14" s="45" t="s">
        <v>1416</v>
      </c>
      <c r="B14" s="45" t="s">
        <v>761</v>
      </c>
      <c r="C14" s="45" t="s">
        <v>541</v>
      </c>
      <c r="D14" s="45" t="s">
        <v>1417</v>
      </c>
      <c r="E14" s="45" t="s">
        <v>1418</v>
      </c>
      <c r="F14" s="158" t="s">
        <v>1419</v>
      </c>
      <c r="G14" s="45">
        <v>0</v>
      </c>
      <c r="H14" s="56">
        <v>0</v>
      </c>
      <c r="I14" s="45" t="s">
        <v>555</v>
      </c>
      <c r="J14" s="46" t="s">
        <v>543</v>
      </c>
      <c r="K14" s="45"/>
    </row>
    <row r="15" spans="1:17" ht="16.05" customHeight="1">
      <c r="A15" s="45" t="s">
        <v>1420</v>
      </c>
      <c r="B15" s="45" t="s">
        <v>763</v>
      </c>
      <c r="C15" s="45" t="s">
        <v>541</v>
      </c>
      <c r="D15" s="45" t="s">
        <v>1421</v>
      </c>
      <c r="E15" s="45" t="s">
        <v>1422</v>
      </c>
      <c r="F15" s="158" t="s">
        <v>1423</v>
      </c>
      <c r="G15" s="159">
        <v>1.4E-3</v>
      </c>
      <c r="H15" s="56">
        <v>0</v>
      </c>
      <c r="I15" s="45" t="s">
        <v>555</v>
      </c>
      <c r="J15" s="46" t="s">
        <v>543</v>
      </c>
      <c r="K15" s="45"/>
    </row>
    <row r="16" spans="1:17" ht="16.05" customHeight="1">
      <c r="A16" s="45" t="s">
        <v>1424</v>
      </c>
      <c r="B16" s="45" t="s">
        <v>764</v>
      </c>
      <c r="C16" s="45" t="s">
        <v>541</v>
      </c>
      <c r="D16" s="45" t="s">
        <v>1425</v>
      </c>
      <c r="E16" s="45" t="s">
        <v>1426</v>
      </c>
      <c r="F16" s="158" t="s">
        <v>1427</v>
      </c>
      <c r="G16" s="45">
        <v>0</v>
      </c>
      <c r="H16" s="56">
        <v>0</v>
      </c>
      <c r="I16" s="45" t="s">
        <v>559</v>
      </c>
      <c r="J16" s="46" t="s">
        <v>552</v>
      </c>
      <c r="K16" s="45"/>
    </row>
    <row r="17" spans="1:11" ht="16.05" customHeight="1">
      <c r="A17" s="45" t="s">
        <v>1428</v>
      </c>
      <c r="B17" s="45" t="s">
        <v>765</v>
      </c>
      <c r="C17" s="45" t="s">
        <v>540</v>
      </c>
      <c r="D17" s="45" t="s">
        <v>1429</v>
      </c>
      <c r="E17" s="45" t="s">
        <v>1430</v>
      </c>
      <c r="F17" s="158" t="s">
        <v>1431</v>
      </c>
      <c r="G17" s="45">
        <v>0</v>
      </c>
      <c r="H17" s="56">
        <v>0</v>
      </c>
      <c r="I17" s="45" t="s">
        <v>484</v>
      </c>
      <c r="J17" s="46" t="s">
        <v>543</v>
      </c>
      <c r="K17" s="45"/>
    </row>
    <row r="18" spans="1:11" ht="16.05" customHeight="1">
      <c r="A18" s="45" t="s">
        <v>1432</v>
      </c>
      <c r="B18" s="45" t="s">
        <v>768</v>
      </c>
      <c r="C18" s="45" t="s">
        <v>541</v>
      </c>
      <c r="D18" s="45" t="s">
        <v>1433</v>
      </c>
      <c r="E18" s="45" t="s">
        <v>1434</v>
      </c>
      <c r="F18" s="158" t="s">
        <v>349</v>
      </c>
      <c r="G18" s="45">
        <v>0</v>
      </c>
      <c r="H18" s="56">
        <v>0</v>
      </c>
      <c r="I18" s="45" t="s">
        <v>555</v>
      </c>
      <c r="J18" s="46" t="s">
        <v>552</v>
      </c>
      <c r="K18" s="45"/>
    </row>
    <row r="19" spans="1:11" ht="16.05" customHeight="1">
      <c r="A19" s="45" t="s">
        <v>1435</v>
      </c>
      <c r="B19" s="45" t="s">
        <v>769</v>
      </c>
      <c r="C19" s="45" t="s">
        <v>541</v>
      </c>
      <c r="D19" s="45" t="s">
        <v>1436</v>
      </c>
      <c r="E19" s="45" t="s">
        <v>1437</v>
      </c>
      <c r="F19" s="158" t="s">
        <v>349</v>
      </c>
      <c r="G19" s="45">
        <v>0</v>
      </c>
      <c r="H19" s="56">
        <v>0</v>
      </c>
      <c r="I19" s="45" t="s">
        <v>484</v>
      </c>
      <c r="J19" s="46" t="s">
        <v>552</v>
      </c>
      <c r="K19" s="45"/>
    </row>
    <row r="20" spans="1:11" ht="16.05" customHeight="1">
      <c r="A20" s="45" t="s">
        <v>1438</v>
      </c>
      <c r="B20" s="45" t="s">
        <v>770</v>
      </c>
      <c r="C20" s="45" t="s">
        <v>540</v>
      </c>
      <c r="D20" s="45" t="s">
        <v>1439</v>
      </c>
      <c r="E20" s="45" t="s">
        <v>1440</v>
      </c>
      <c r="F20" s="45" t="s">
        <v>349</v>
      </c>
      <c r="G20" s="159">
        <v>2E-3</v>
      </c>
      <c r="H20" s="56">
        <v>0</v>
      </c>
      <c r="I20" s="45" t="s">
        <v>555</v>
      </c>
      <c r="J20" s="46" t="s">
        <v>543</v>
      </c>
      <c r="K20" s="45"/>
    </row>
    <row r="21" spans="1:11" ht="16.05" customHeight="1">
      <c r="A21" s="45" t="s">
        <v>1441</v>
      </c>
      <c r="B21" s="45" t="s">
        <v>771</v>
      </c>
      <c r="C21" s="45" t="s">
        <v>541</v>
      </c>
      <c r="D21" s="45" t="s">
        <v>1442</v>
      </c>
      <c r="E21" s="45" t="s">
        <v>1443</v>
      </c>
      <c r="F21" s="45" t="s">
        <v>349</v>
      </c>
      <c r="G21" s="159">
        <v>1.54E-2</v>
      </c>
      <c r="H21" s="56">
        <v>0</v>
      </c>
      <c r="I21" s="45" t="s">
        <v>550</v>
      </c>
      <c r="J21" s="46" t="s">
        <v>552</v>
      </c>
      <c r="K21" s="45"/>
    </row>
    <row r="22" spans="1:11" ht="16.05" customHeight="1">
      <c r="A22" s="45" t="s">
        <v>1444</v>
      </c>
      <c r="B22" s="45" t="s">
        <v>772</v>
      </c>
      <c r="C22" s="45" t="s">
        <v>541</v>
      </c>
      <c r="D22" s="45" t="s">
        <v>1445</v>
      </c>
      <c r="E22" s="45" t="s">
        <v>1446</v>
      </c>
      <c r="F22" s="45" t="s">
        <v>349</v>
      </c>
      <c r="G22" s="45">
        <v>0</v>
      </c>
      <c r="H22" s="56">
        <v>0</v>
      </c>
      <c r="I22" s="45" t="s">
        <v>550</v>
      </c>
      <c r="J22" s="46" t="s">
        <v>543</v>
      </c>
      <c r="K22" s="45"/>
    </row>
    <row r="23" spans="1:11" ht="16.05" customHeight="1">
      <c r="A23" s="45" t="s">
        <v>1447</v>
      </c>
      <c r="B23" s="45" t="s">
        <v>773</v>
      </c>
      <c r="C23" s="45" t="s">
        <v>540</v>
      </c>
      <c r="D23" s="45" t="s">
        <v>1448</v>
      </c>
      <c r="E23" s="45" t="s">
        <v>1449</v>
      </c>
      <c r="F23" s="45" t="s">
        <v>349</v>
      </c>
      <c r="G23" s="158">
        <v>2.0000000000000001E-4</v>
      </c>
      <c r="H23" s="158">
        <v>2.0000000000000001E-4</v>
      </c>
      <c r="I23" s="45" t="s">
        <v>550</v>
      </c>
      <c r="J23" s="46" t="s">
        <v>543</v>
      </c>
      <c r="K23" s="45"/>
    </row>
    <row r="24" spans="1:11" ht="16.05" customHeight="1">
      <c r="A24" s="45" t="s">
        <v>1450</v>
      </c>
      <c r="B24" s="45" t="s">
        <v>774</v>
      </c>
      <c r="C24" s="45" t="s">
        <v>541</v>
      </c>
      <c r="D24" s="45" t="s">
        <v>1451</v>
      </c>
      <c r="E24" s="45" t="s">
        <v>1452</v>
      </c>
      <c r="F24" s="45" t="s">
        <v>349</v>
      </c>
      <c r="G24" s="45">
        <v>0</v>
      </c>
      <c r="H24" s="56">
        <v>0</v>
      </c>
      <c r="I24" s="45" t="s">
        <v>555</v>
      </c>
      <c r="J24" s="46" t="s">
        <v>543</v>
      </c>
      <c r="K24" s="45"/>
    </row>
    <row r="25" spans="1:11" ht="16.05" customHeight="1">
      <c r="A25" s="45" t="s">
        <v>1453</v>
      </c>
      <c r="B25" s="45" t="s">
        <v>775</v>
      </c>
      <c r="C25" s="45" t="s">
        <v>541</v>
      </c>
      <c r="D25" s="45" t="s">
        <v>1454</v>
      </c>
      <c r="E25" s="45" t="s">
        <v>1455</v>
      </c>
      <c r="F25" s="45" t="s">
        <v>349</v>
      </c>
      <c r="G25" s="45">
        <v>0</v>
      </c>
      <c r="H25" s="56">
        <v>0</v>
      </c>
      <c r="I25" s="45" t="s">
        <v>555</v>
      </c>
      <c r="J25" s="46" t="s">
        <v>543</v>
      </c>
      <c r="K25" s="45"/>
    </row>
    <row r="26" spans="1:11" ht="16.05" customHeight="1">
      <c r="A26" s="45" t="s">
        <v>1456</v>
      </c>
      <c r="B26" s="45" t="s">
        <v>777</v>
      </c>
      <c r="C26" s="45" t="s">
        <v>541</v>
      </c>
      <c r="D26" s="45" t="s">
        <v>1457</v>
      </c>
      <c r="E26" s="45" t="s">
        <v>1458</v>
      </c>
      <c r="F26" s="45" t="s">
        <v>349</v>
      </c>
      <c r="G26" s="45">
        <v>0</v>
      </c>
      <c r="H26" s="56">
        <v>0</v>
      </c>
      <c r="I26" s="45" t="s">
        <v>559</v>
      </c>
      <c r="J26" s="46" t="s">
        <v>543</v>
      </c>
      <c r="K26" s="45"/>
    </row>
    <row r="27" spans="1:11" ht="16.05" customHeight="1">
      <c r="A27" s="45" t="s">
        <v>1459</v>
      </c>
      <c r="B27" s="45" t="s">
        <v>778</v>
      </c>
      <c r="C27" s="45" t="s">
        <v>541</v>
      </c>
      <c r="D27" s="45" t="s">
        <v>1460</v>
      </c>
      <c r="E27" s="45" t="s">
        <v>1461</v>
      </c>
      <c r="F27" s="45" t="s">
        <v>349</v>
      </c>
      <c r="G27" s="159">
        <v>5.9200000000000003E-2</v>
      </c>
      <c r="H27" s="56">
        <v>0</v>
      </c>
      <c r="I27" s="45" t="s">
        <v>559</v>
      </c>
      <c r="J27" s="46" t="s">
        <v>552</v>
      </c>
      <c r="K27" s="45"/>
    </row>
    <row r="28" spans="1:11" ht="16.05" customHeight="1">
      <c r="A28" s="45" t="s">
        <v>1462</v>
      </c>
      <c r="B28" s="45" t="s">
        <v>779</v>
      </c>
      <c r="C28" s="45" t="s">
        <v>540</v>
      </c>
      <c r="D28" s="45" t="s">
        <v>1463</v>
      </c>
      <c r="E28" s="45" t="s">
        <v>1464</v>
      </c>
      <c r="F28" s="45" t="s">
        <v>349</v>
      </c>
      <c r="G28" s="45">
        <v>0</v>
      </c>
      <c r="H28" s="56">
        <v>0</v>
      </c>
      <c r="I28" s="45" t="s">
        <v>559</v>
      </c>
      <c r="J28" s="46" t="s">
        <v>552</v>
      </c>
      <c r="K28" s="45"/>
    </row>
    <row r="29" spans="1:11" ht="16.05" customHeight="1">
      <c r="A29" s="45" t="s">
        <v>1465</v>
      </c>
      <c r="B29" s="45" t="s">
        <v>780</v>
      </c>
      <c r="C29" s="45" t="s">
        <v>541</v>
      </c>
      <c r="D29" s="45" t="s">
        <v>1466</v>
      </c>
      <c r="E29" s="45" t="s">
        <v>1467</v>
      </c>
      <c r="F29" s="45" t="s">
        <v>349</v>
      </c>
      <c r="G29" s="159">
        <v>6.1000000000000004E-3</v>
      </c>
      <c r="H29" s="56">
        <v>0</v>
      </c>
      <c r="I29" s="45" t="s">
        <v>550</v>
      </c>
      <c r="J29" s="46" t="s">
        <v>552</v>
      </c>
      <c r="K29" s="45"/>
    </row>
    <row r="30" spans="1:11" ht="16.05" customHeight="1">
      <c r="A30" s="45" t="s">
        <v>1468</v>
      </c>
      <c r="B30" s="45" t="s">
        <v>781</v>
      </c>
      <c r="C30" s="45" t="s">
        <v>541</v>
      </c>
      <c r="D30" s="45" t="s">
        <v>1469</v>
      </c>
      <c r="E30" s="45" t="s">
        <v>1470</v>
      </c>
      <c r="F30" s="45" t="s">
        <v>349</v>
      </c>
      <c r="G30" s="159">
        <v>2.24E-2</v>
      </c>
      <c r="H30" s="56">
        <v>0</v>
      </c>
      <c r="I30" s="45" t="s">
        <v>559</v>
      </c>
      <c r="J30" s="46" t="s">
        <v>552</v>
      </c>
      <c r="K30" s="45"/>
    </row>
    <row r="31" spans="1:11" ht="16.05" customHeight="1">
      <c r="A31" s="45" t="s">
        <v>1471</v>
      </c>
      <c r="B31" s="45" t="s">
        <v>783</v>
      </c>
      <c r="C31" s="45" t="s">
        <v>540</v>
      </c>
      <c r="D31" s="45" t="s">
        <v>1472</v>
      </c>
      <c r="E31" s="45" t="s">
        <v>1473</v>
      </c>
      <c r="F31" s="45" t="s">
        <v>349</v>
      </c>
      <c r="G31" s="45">
        <v>0</v>
      </c>
      <c r="H31" s="56">
        <v>0</v>
      </c>
      <c r="I31" s="45" t="s">
        <v>550</v>
      </c>
      <c r="J31" s="46" t="s">
        <v>543</v>
      </c>
      <c r="K31" s="45"/>
    </row>
    <row r="32" spans="1:11" ht="16.05" customHeight="1">
      <c r="A32" s="45" t="s">
        <v>1474</v>
      </c>
      <c r="B32" s="99" t="s">
        <v>685</v>
      </c>
      <c r="C32" s="45" t="s">
        <v>541</v>
      </c>
      <c r="D32" s="45" t="s">
        <v>1475</v>
      </c>
      <c r="E32" s="45" t="s">
        <v>1476</v>
      </c>
      <c r="F32" s="45" t="s">
        <v>349</v>
      </c>
      <c r="G32" s="159">
        <v>3.0000000000000001E-3</v>
      </c>
      <c r="H32" s="45">
        <v>1.2999999999999999E-3</v>
      </c>
      <c r="I32" s="45" t="s">
        <v>490</v>
      </c>
      <c r="J32" s="46" t="s">
        <v>474</v>
      </c>
      <c r="K32" s="45"/>
    </row>
    <row r="33" spans="1:11" ht="16.05" customHeight="1">
      <c r="A33" s="45" t="s">
        <v>1477</v>
      </c>
      <c r="B33" s="99" t="s">
        <v>686</v>
      </c>
      <c r="C33" s="45" t="s">
        <v>541</v>
      </c>
      <c r="D33" s="45" t="s">
        <v>1478</v>
      </c>
      <c r="E33" s="45" t="s">
        <v>1479</v>
      </c>
      <c r="F33" s="45" t="s">
        <v>349</v>
      </c>
      <c r="G33" s="159">
        <v>4.5600000000000002E-2</v>
      </c>
      <c r="H33" s="45">
        <v>0</v>
      </c>
      <c r="I33" s="45" t="s">
        <v>493</v>
      </c>
      <c r="J33" s="46" t="s">
        <v>474</v>
      </c>
      <c r="K33" s="45"/>
    </row>
    <row r="34" spans="1:11" ht="16.05" customHeight="1">
      <c r="A34" s="45" t="s">
        <v>1480</v>
      </c>
      <c r="B34" s="99" t="s">
        <v>742</v>
      </c>
      <c r="C34" s="45" t="s">
        <v>541</v>
      </c>
      <c r="D34" s="45" t="s">
        <v>1481</v>
      </c>
      <c r="E34" s="45" t="s">
        <v>1482</v>
      </c>
      <c r="F34" s="45" t="s">
        <v>349</v>
      </c>
      <c r="G34" s="45">
        <v>0</v>
      </c>
      <c r="H34" s="45">
        <v>0</v>
      </c>
      <c r="I34" s="45" t="s">
        <v>490</v>
      </c>
      <c r="J34" s="46" t="s">
        <v>474</v>
      </c>
      <c r="K34" s="45"/>
    </row>
    <row r="35" spans="1:11" ht="16.05" customHeight="1">
      <c r="A35" s="45" t="s">
        <v>1483</v>
      </c>
      <c r="B35" s="45" t="s">
        <v>1083</v>
      </c>
      <c r="C35" s="45" t="s">
        <v>540</v>
      </c>
      <c r="D35" s="45" t="s">
        <v>693</v>
      </c>
      <c r="E35" s="45" t="s">
        <v>1484</v>
      </c>
      <c r="F35" s="45" t="s">
        <v>349</v>
      </c>
      <c r="G35" s="45">
        <v>0</v>
      </c>
      <c r="H35" s="45">
        <v>0</v>
      </c>
      <c r="I35" s="45" t="s">
        <v>1485</v>
      </c>
      <c r="J35" s="46" t="s">
        <v>1485</v>
      </c>
      <c r="K35" s="45"/>
    </row>
    <row r="36" spans="1:11" ht="16.05" customHeight="1">
      <c r="A36" s="45" t="s">
        <v>1486</v>
      </c>
      <c r="B36" s="45" t="s">
        <v>953</v>
      </c>
      <c r="C36" s="45" t="s">
        <v>540</v>
      </c>
      <c r="D36" s="45" t="s">
        <v>693</v>
      </c>
      <c r="E36" s="45" t="s">
        <v>1487</v>
      </c>
      <c r="F36" s="45" t="s">
        <v>349</v>
      </c>
      <c r="G36" s="45">
        <v>0</v>
      </c>
      <c r="H36" s="45">
        <v>0</v>
      </c>
      <c r="I36" s="45" t="s">
        <v>1485</v>
      </c>
      <c r="J36" s="46" t="s">
        <v>1485</v>
      </c>
      <c r="K36" s="45"/>
    </row>
    <row r="37" spans="1:11" ht="16.05" customHeight="1">
      <c r="A37" s="45" t="s">
        <v>1488</v>
      </c>
      <c r="B37" s="45" t="s">
        <v>1041</v>
      </c>
      <c r="C37" s="45" t="s">
        <v>540</v>
      </c>
      <c r="D37" s="45" t="s">
        <v>693</v>
      </c>
      <c r="E37" s="45" t="s">
        <v>1489</v>
      </c>
      <c r="F37" s="45" t="s">
        <v>349</v>
      </c>
      <c r="G37" s="45">
        <v>0</v>
      </c>
      <c r="H37" s="45">
        <v>0</v>
      </c>
      <c r="I37" s="45" t="s">
        <v>1485</v>
      </c>
      <c r="J37" s="46" t="s">
        <v>1485</v>
      </c>
      <c r="K37" s="45"/>
    </row>
    <row r="38" spans="1:11" ht="16.05" customHeight="1">
      <c r="A38" s="45" t="s">
        <v>1490</v>
      </c>
      <c r="B38" s="45" t="s">
        <v>1058</v>
      </c>
      <c r="C38" s="45" t="s">
        <v>540</v>
      </c>
      <c r="D38" s="45" t="s">
        <v>693</v>
      </c>
      <c r="E38" s="45" t="s">
        <v>1491</v>
      </c>
      <c r="F38" s="45" t="s">
        <v>349</v>
      </c>
      <c r="G38" s="45">
        <v>0</v>
      </c>
      <c r="H38" s="45">
        <v>0</v>
      </c>
      <c r="I38" s="45" t="s">
        <v>1485</v>
      </c>
      <c r="J38" s="46" t="s">
        <v>1485</v>
      </c>
      <c r="K38" s="45"/>
    </row>
    <row r="39" spans="1:11" ht="16.05" customHeight="1">
      <c r="A39" s="45" t="s">
        <v>1492</v>
      </c>
      <c r="B39" s="45" t="s">
        <v>973</v>
      </c>
      <c r="C39" s="45" t="s">
        <v>540</v>
      </c>
      <c r="D39" s="45" t="s">
        <v>693</v>
      </c>
      <c r="E39" s="45" t="s">
        <v>1493</v>
      </c>
      <c r="F39" s="45" t="s">
        <v>349</v>
      </c>
      <c r="G39" s="45">
        <v>0</v>
      </c>
      <c r="H39" s="45">
        <v>0</v>
      </c>
      <c r="I39" s="45" t="s">
        <v>1485</v>
      </c>
      <c r="J39" s="46" t="s">
        <v>1485</v>
      </c>
      <c r="K39" s="45"/>
    </row>
    <row r="40" spans="1:11" ht="16.05" customHeight="1">
      <c r="A40" s="45" t="s">
        <v>1494</v>
      </c>
      <c r="B40" s="45" t="s">
        <v>1043</v>
      </c>
      <c r="C40" s="45" t="s">
        <v>540</v>
      </c>
      <c r="D40" s="45" t="s">
        <v>693</v>
      </c>
      <c r="E40" s="45" t="s">
        <v>1495</v>
      </c>
      <c r="F40" s="45" t="s">
        <v>349</v>
      </c>
      <c r="G40" s="45">
        <v>0</v>
      </c>
      <c r="H40" s="45">
        <v>0</v>
      </c>
      <c r="I40" s="45" t="s">
        <v>1485</v>
      </c>
      <c r="J40" s="46" t="s">
        <v>1485</v>
      </c>
      <c r="K40" s="45"/>
    </row>
    <row r="41" spans="1:11" ht="16.05" customHeight="1">
      <c r="A41" s="45" t="s">
        <v>1496</v>
      </c>
      <c r="B41" s="45" t="s">
        <v>1045</v>
      </c>
      <c r="C41" s="45" t="s">
        <v>540</v>
      </c>
      <c r="D41" s="45" t="s">
        <v>693</v>
      </c>
      <c r="E41" s="45" t="s">
        <v>1497</v>
      </c>
      <c r="F41" s="45" t="s">
        <v>349</v>
      </c>
      <c r="G41" s="45">
        <v>0</v>
      </c>
      <c r="H41" s="45">
        <v>0</v>
      </c>
      <c r="I41" s="45" t="s">
        <v>1485</v>
      </c>
      <c r="J41" s="46" t="s">
        <v>1485</v>
      </c>
      <c r="K41" s="45"/>
    </row>
    <row r="42" spans="1:11" ht="16.05" customHeight="1">
      <c r="A42" s="45" t="s">
        <v>1498</v>
      </c>
      <c r="B42" s="45" t="s">
        <v>1052</v>
      </c>
      <c r="C42" s="45" t="s">
        <v>540</v>
      </c>
      <c r="D42" s="45" t="s">
        <v>693</v>
      </c>
      <c r="E42" s="45" t="s">
        <v>1499</v>
      </c>
      <c r="F42" s="45" t="s">
        <v>349</v>
      </c>
      <c r="G42" s="45">
        <v>0</v>
      </c>
      <c r="H42" s="45">
        <v>0</v>
      </c>
      <c r="I42" s="45" t="s">
        <v>1485</v>
      </c>
      <c r="J42" s="46" t="s">
        <v>1485</v>
      </c>
      <c r="K42" s="45"/>
    </row>
    <row r="43" spans="1:11" ht="16.05" customHeight="1">
      <c r="A43" s="45" t="s">
        <v>1500</v>
      </c>
      <c r="B43" s="45" t="s">
        <v>1053</v>
      </c>
      <c r="C43" s="45" t="s">
        <v>540</v>
      </c>
      <c r="D43" s="45" t="s">
        <v>693</v>
      </c>
      <c r="E43" s="45" t="s">
        <v>1501</v>
      </c>
      <c r="F43" s="45" t="s">
        <v>349</v>
      </c>
      <c r="G43" s="45">
        <v>0</v>
      </c>
      <c r="H43" s="45">
        <v>0</v>
      </c>
      <c r="I43" s="45" t="s">
        <v>1485</v>
      </c>
      <c r="J43" s="46" t="s">
        <v>1485</v>
      </c>
      <c r="K43" s="45"/>
    </row>
    <row r="44" spans="1:11" ht="16.05" customHeight="1">
      <c r="A44" s="45" t="s">
        <v>1502</v>
      </c>
      <c r="B44" s="45" t="s">
        <v>956</v>
      </c>
      <c r="C44" s="45" t="s">
        <v>540</v>
      </c>
      <c r="D44" s="45" t="s">
        <v>693</v>
      </c>
      <c r="E44" s="45" t="s">
        <v>1503</v>
      </c>
      <c r="F44" s="45" t="s">
        <v>349</v>
      </c>
      <c r="G44" s="45">
        <v>0</v>
      </c>
      <c r="H44" s="45">
        <v>0</v>
      </c>
      <c r="I44" s="45" t="s">
        <v>1485</v>
      </c>
      <c r="J44" s="46" t="s">
        <v>1485</v>
      </c>
      <c r="K44" s="45"/>
    </row>
    <row r="45" spans="1:11" ht="16.05" customHeight="1">
      <c r="A45" s="45" t="s">
        <v>1504</v>
      </c>
      <c r="B45" s="45" t="s">
        <v>1059</v>
      </c>
      <c r="C45" s="45" t="s">
        <v>540</v>
      </c>
      <c r="D45" s="45" t="s">
        <v>693</v>
      </c>
      <c r="E45" s="45" t="s">
        <v>1505</v>
      </c>
      <c r="F45" s="45" t="s">
        <v>349</v>
      </c>
      <c r="G45" s="45">
        <v>0</v>
      </c>
      <c r="H45" s="45">
        <v>0</v>
      </c>
      <c r="I45" s="45" t="s">
        <v>1485</v>
      </c>
      <c r="J45" s="46" t="s">
        <v>1485</v>
      </c>
      <c r="K45" s="45"/>
    </row>
    <row r="46" spans="1:11" ht="16.05" customHeight="1">
      <c r="A46" s="45" t="s">
        <v>1506</v>
      </c>
      <c r="B46" s="45" t="s">
        <v>1073</v>
      </c>
      <c r="C46" s="45" t="s">
        <v>540</v>
      </c>
      <c r="D46" s="45" t="s">
        <v>693</v>
      </c>
      <c r="E46" s="45" t="s">
        <v>1507</v>
      </c>
      <c r="F46" s="45" t="s">
        <v>349</v>
      </c>
      <c r="G46" s="45">
        <v>0</v>
      </c>
      <c r="H46" s="45">
        <v>0</v>
      </c>
      <c r="I46" s="45" t="s">
        <v>1485</v>
      </c>
      <c r="J46" s="46" t="s">
        <v>1485</v>
      </c>
      <c r="K46" s="45"/>
    </row>
    <row r="47" spans="1:11" ht="16.05" customHeight="1">
      <c r="A47" s="45" t="s">
        <v>1508</v>
      </c>
      <c r="B47" s="45" t="s">
        <v>1089</v>
      </c>
      <c r="C47" s="45" t="s">
        <v>540</v>
      </c>
      <c r="D47" s="45" t="s">
        <v>693</v>
      </c>
      <c r="E47" s="45" t="s">
        <v>1509</v>
      </c>
      <c r="F47" s="45" t="s">
        <v>349</v>
      </c>
      <c r="G47" s="45">
        <v>0</v>
      </c>
      <c r="H47" s="45">
        <v>0</v>
      </c>
      <c r="I47" s="45" t="s">
        <v>1485</v>
      </c>
      <c r="J47" s="46" t="s">
        <v>1485</v>
      </c>
      <c r="K47" s="45"/>
    </row>
    <row r="48" spans="1:11" ht="16.05" customHeight="1">
      <c r="A48" s="45" t="s">
        <v>1510</v>
      </c>
      <c r="B48" s="45" t="s">
        <v>1090</v>
      </c>
      <c r="C48" s="45" t="s">
        <v>540</v>
      </c>
      <c r="D48" s="45" t="s">
        <v>693</v>
      </c>
      <c r="E48" s="45" t="s">
        <v>1511</v>
      </c>
      <c r="F48" s="45" t="s">
        <v>349</v>
      </c>
      <c r="G48" s="45">
        <v>0</v>
      </c>
      <c r="H48" s="45">
        <v>0</v>
      </c>
      <c r="I48" s="45" t="s">
        <v>1485</v>
      </c>
      <c r="J48" s="46" t="s">
        <v>1485</v>
      </c>
      <c r="K48" s="45"/>
    </row>
    <row r="49" spans="1:17" ht="16.05" customHeight="1">
      <c r="A49" s="45" t="s">
        <v>1512</v>
      </c>
      <c r="B49" s="45" t="s">
        <v>981</v>
      </c>
      <c r="C49" s="45" t="s">
        <v>540</v>
      </c>
      <c r="D49" s="45" t="s">
        <v>693</v>
      </c>
      <c r="E49" s="45" t="s">
        <v>1513</v>
      </c>
      <c r="F49" s="45" t="s">
        <v>349</v>
      </c>
      <c r="G49" s="45">
        <v>0</v>
      </c>
      <c r="H49" s="45">
        <v>0</v>
      </c>
      <c r="I49" s="45" t="s">
        <v>1485</v>
      </c>
      <c r="J49" s="46" t="s">
        <v>1485</v>
      </c>
      <c r="K49" s="45"/>
    </row>
    <row r="50" spans="1:17" ht="16.05" customHeight="1">
      <c r="A50" s="45" t="s">
        <v>1514</v>
      </c>
      <c r="B50" s="45" t="s">
        <v>983</v>
      </c>
      <c r="C50" s="45" t="s">
        <v>540</v>
      </c>
      <c r="D50" s="45" t="s">
        <v>693</v>
      </c>
      <c r="E50" s="45" t="s">
        <v>1515</v>
      </c>
      <c r="F50" s="45" t="s">
        <v>349</v>
      </c>
      <c r="G50" s="45">
        <v>0</v>
      </c>
      <c r="H50" s="45">
        <v>0</v>
      </c>
      <c r="I50" s="45" t="s">
        <v>1485</v>
      </c>
      <c r="J50" s="46" t="s">
        <v>1485</v>
      </c>
      <c r="K50" s="45"/>
    </row>
    <row r="51" spans="1:17" ht="16.05" customHeight="1">
      <c r="A51" s="45" t="s">
        <v>1516</v>
      </c>
      <c r="B51" s="45" t="s">
        <v>985</v>
      </c>
      <c r="C51" s="45" t="s">
        <v>540</v>
      </c>
      <c r="D51" s="45" t="s">
        <v>693</v>
      </c>
      <c r="E51" s="45" t="s">
        <v>1517</v>
      </c>
      <c r="F51" s="45" t="s">
        <v>349</v>
      </c>
      <c r="G51" s="45">
        <v>0</v>
      </c>
      <c r="H51" s="45">
        <v>0</v>
      </c>
      <c r="I51" s="45" t="s">
        <v>1485</v>
      </c>
      <c r="J51" s="46" t="s">
        <v>1485</v>
      </c>
      <c r="K51" s="45"/>
    </row>
    <row r="52" spans="1:17" ht="16.05" customHeight="1">
      <c r="A52" s="45" t="s">
        <v>1518</v>
      </c>
      <c r="B52" s="45" t="s">
        <v>1100</v>
      </c>
      <c r="C52" s="45" t="s">
        <v>540</v>
      </c>
      <c r="D52" s="45" t="s">
        <v>693</v>
      </c>
      <c r="E52" s="45" t="s">
        <v>1519</v>
      </c>
      <c r="F52" s="45" t="s">
        <v>349</v>
      </c>
      <c r="G52" s="45">
        <v>0</v>
      </c>
      <c r="H52" s="45">
        <v>0</v>
      </c>
      <c r="I52" s="45" t="s">
        <v>1485</v>
      </c>
      <c r="J52" s="46" t="s">
        <v>1485</v>
      </c>
      <c r="K52" s="45"/>
    </row>
    <row r="53" spans="1:17" ht="16.05" customHeight="1">
      <c r="A53" s="45" t="s">
        <v>1520</v>
      </c>
      <c r="B53" s="45" t="s">
        <v>1104</v>
      </c>
      <c r="C53" s="45" t="s">
        <v>540</v>
      </c>
      <c r="D53" s="45" t="s">
        <v>693</v>
      </c>
      <c r="E53" s="45" t="s">
        <v>1521</v>
      </c>
      <c r="F53" s="45" t="s">
        <v>349</v>
      </c>
      <c r="G53" s="45">
        <v>0</v>
      </c>
      <c r="H53" s="45">
        <v>0</v>
      </c>
      <c r="I53" s="45" t="s">
        <v>1485</v>
      </c>
      <c r="J53" s="46" t="s">
        <v>1485</v>
      </c>
      <c r="K53" s="45"/>
    </row>
    <row r="54" spans="1:17" ht="16.05" customHeight="1">
      <c r="A54" s="45" t="s">
        <v>1522</v>
      </c>
      <c r="B54" s="45" t="s">
        <v>1105</v>
      </c>
      <c r="C54" s="45" t="s">
        <v>540</v>
      </c>
      <c r="D54" s="45" t="s">
        <v>693</v>
      </c>
      <c r="E54" s="45" t="s">
        <v>1523</v>
      </c>
      <c r="F54" s="45" t="s">
        <v>349</v>
      </c>
      <c r="G54" s="45">
        <v>0</v>
      </c>
      <c r="H54" s="45">
        <v>0</v>
      </c>
      <c r="I54" s="45" t="s">
        <v>1485</v>
      </c>
      <c r="J54" s="46" t="s">
        <v>1485</v>
      </c>
      <c r="K54" s="45"/>
    </row>
    <row r="55" spans="1:17" ht="16.05" customHeight="1">
      <c r="A55" s="49" t="s">
        <v>1524</v>
      </c>
      <c r="B55" s="49" t="s">
        <v>964</v>
      </c>
      <c r="C55" s="49" t="s">
        <v>540</v>
      </c>
      <c r="D55" s="49" t="s">
        <v>693</v>
      </c>
      <c r="E55" s="49" t="s">
        <v>1525</v>
      </c>
      <c r="F55" s="49" t="s">
        <v>349</v>
      </c>
      <c r="G55" s="49">
        <v>0</v>
      </c>
      <c r="H55" s="49">
        <v>0</v>
      </c>
      <c r="I55" s="49" t="s">
        <v>1485</v>
      </c>
      <c r="J55" s="50" t="s">
        <v>1485</v>
      </c>
      <c r="K55" s="45"/>
    </row>
    <row r="57" spans="1:17" ht="16.05" customHeight="1">
      <c r="A57" s="100" t="s">
        <v>2040</v>
      </c>
      <c r="G57" s="47"/>
    </row>
    <row r="58" spans="1:17" s="160" customFormat="1" ht="16.05" customHeight="1">
      <c r="A58" s="17" t="s">
        <v>1130</v>
      </c>
      <c r="B58" s="17" t="s">
        <v>1526</v>
      </c>
      <c r="C58" s="17" t="s">
        <v>308</v>
      </c>
      <c r="D58" s="17" t="s">
        <v>309</v>
      </c>
      <c r="E58" s="17" t="s">
        <v>310</v>
      </c>
      <c r="F58" s="17" t="s">
        <v>311</v>
      </c>
      <c r="G58" s="17" t="s">
        <v>316</v>
      </c>
      <c r="H58" s="17" t="s">
        <v>318</v>
      </c>
      <c r="I58" s="17" t="s">
        <v>319</v>
      </c>
      <c r="J58" s="17" t="s">
        <v>364</v>
      </c>
      <c r="K58" s="17" t="s">
        <v>320</v>
      </c>
      <c r="L58" s="17" t="s">
        <v>321</v>
      </c>
      <c r="M58" s="18" t="s">
        <v>1262</v>
      </c>
      <c r="N58" s="99"/>
      <c r="O58" s="99"/>
      <c r="P58" s="99"/>
      <c r="Q58" s="99"/>
    </row>
    <row r="59" spans="1:17" ht="16.05" customHeight="1">
      <c r="A59" s="45" t="s">
        <v>1527</v>
      </c>
      <c r="B59" s="45" t="s">
        <v>1377</v>
      </c>
      <c r="C59" s="45" t="s">
        <v>1528</v>
      </c>
      <c r="D59" s="45" t="s">
        <v>1529</v>
      </c>
      <c r="E59" s="45">
        <v>11</v>
      </c>
      <c r="F59" s="45" t="s">
        <v>1530</v>
      </c>
      <c r="G59" s="45">
        <v>5.0000000000000001E-4</v>
      </c>
      <c r="H59" s="45">
        <v>7</v>
      </c>
      <c r="I59" s="45">
        <v>140481393</v>
      </c>
      <c r="J59" s="45" t="s">
        <v>1531</v>
      </c>
      <c r="K59" s="45" t="s">
        <v>1532</v>
      </c>
      <c r="L59" s="45" t="s">
        <v>1533</v>
      </c>
      <c r="M59" s="46" t="s">
        <v>1534</v>
      </c>
      <c r="O59" s="45"/>
      <c r="P59" s="45"/>
    </row>
    <row r="60" spans="1:17" ht="16.05" customHeight="1">
      <c r="A60" s="45" t="s">
        <v>1383</v>
      </c>
      <c r="B60" s="99" t="s">
        <v>1535</v>
      </c>
      <c r="C60" s="45" t="s">
        <v>1285</v>
      </c>
      <c r="D60" s="45" t="s">
        <v>324</v>
      </c>
      <c r="E60" s="45">
        <v>2</v>
      </c>
      <c r="F60" s="45" t="s">
        <v>1536</v>
      </c>
      <c r="G60" s="80">
        <v>7.1000000000000004E-3</v>
      </c>
      <c r="H60" s="45">
        <v>12</v>
      </c>
      <c r="I60" s="45">
        <v>25398284</v>
      </c>
      <c r="J60" s="45" t="s">
        <v>1289</v>
      </c>
      <c r="K60" s="45" t="s">
        <v>1274</v>
      </c>
      <c r="L60" s="45" t="s">
        <v>1275</v>
      </c>
      <c r="M60" s="46" t="s">
        <v>1280</v>
      </c>
      <c r="O60" s="45"/>
      <c r="P60" s="45"/>
    </row>
    <row r="61" spans="1:17" ht="16.05" customHeight="1">
      <c r="A61" s="45" t="s">
        <v>1386</v>
      </c>
      <c r="B61" s="99" t="s">
        <v>1537</v>
      </c>
      <c r="C61" s="45" t="s">
        <v>1538</v>
      </c>
      <c r="D61" s="45" t="s">
        <v>371</v>
      </c>
      <c r="E61" s="45">
        <v>7</v>
      </c>
      <c r="F61" s="45" t="s">
        <v>1539</v>
      </c>
      <c r="G61" s="45">
        <v>4.7000000000000002E-3</v>
      </c>
      <c r="H61" s="45">
        <v>1</v>
      </c>
      <c r="I61" s="45">
        <v>27088681</v>
      </c>
      <c r="J61" s="45" t="s">
        <v>1540</v>
      </c>
      <c r="K61" s="45" t="s">
        <v>1541</v>
      </c>
      <c r="L61" s="45" t="s">
        <v>1275</v>
      </c>
      <c r="M61" s="46" t="s">
        <v>1268</v>
      </c>
      <c r="O61" s="45"/>
      <c r="P61" s="45"/>
    </row>
    <row r="62" spans="1:17" ht="16.05" customHeight="1">
      <c r="A62" s="45" t="s">
        <v>1386</v>
      </c>
      <c r="B62" s="99" t="s">
        <v>1537</v>
      </c>
      <c r="C62" s="45" t="s">
        <v>381</v>
      </c>
      <c r="D62" s="45" t="s">
        <v>376</v>
      </c>
      <c r="E62" s="45">
        <v>7</v>
      </c>
      <c r="F62" s="45" t="s">
        <v>1542</v>
      </c>
      <c r="G62" s="80">
        <v>1.43E-2</v>
      </c>
      <c r="H62" s="45">
        <v>17</v>
      </c>
      <c r="I62" s="45">
        <v>7577509</v>
      </c>
      <c r="J62" s="45" t="s">
        <v>1540</v>
      </c>
      <c r="K62" s="45" t="s">
        <v>1274</v>
      </c>
      <c r="L62" s="45" t="s">
        <v>328</v>
      </c>
      <c r="M62" s="46" t="s">
        <v>1268</v>
      </c>
      <c r="O62" s="45"/>
      <c r="P62" s="45"/>
    </row>
    <row r="63" spans="1:17" ht="16.05" customHeight="1">
      <c r="A63" s="45" t="s">
        <v>1386</v>
      </c>
      <c r="B63" s="99" t="s">
        <v>1537</v>
      </c>
      <c r="C63" s="45" t="s">
        <v>381</v>
      </c>
      <c r="D63" s="45" t="s">
        <v>324</v>
      </c>
      <c r="E63" s="45">
        <v>4</v>
      </c>
      <c r="F63" s="45" t="s">
        <v>1543</v>
      </c>
      <c r="G63" s="80">
        <v>2.93E-2</v>
      </c>
      <c r="H63" s="45">
        <v>17</v>
      </c>
      <c r="I63" s="45">
        <v>7579358</v>
      </c>
      <c r="J63" s="45" t="s">
        <v>1544</v>
      </c>
      <c r="K63" s="45" t="s">
        <v>1274</v>
      </c>
      <c r="L63" s="45" t="s">
        <v>328</v>
      </c>
      <c r="M63" s="46" t="s">
        <v>1268</v>
      </c>
      <c r="O63" s="45"/>
      <c r="P63" s="45"/>
    </row>
    <row r="64" spans="1:17" ht="16.05" customHeight="1">
      <c r="A64" s="45" t="s">
        <v>1386</v>
      </c>
      <c r="B64" s="99" t="s">
        <v>1537</v>
      </c>
      <c r="C64" s="45" t="s">
        <v>1338</v>
      </c>
      <c r="D64" s="45" t="s">
        <v>324</v>
      </c>
      <c r="E64" s="45">
        <v>11</v>
      </c>
      <c r="F64" s="45" t="s">
        <v>1545</v>
      </c>
      <c r="G64" s="80">
        <v>5.6500000000000002E-2</v>
      </c>
      <c r="H64" s="45">
        <v>7</v>
      </c>
      <c r="I64" s="45">
        <v>140481402</v>
      </c>
      <c r="J64" s="45" t="s">
        <v>1546</v>
      </c>
      <c r="K64" s="45" t="s">
        <v>1274</v>
      </c>
      <c r="L64" s="45" t="s">
        <v>327</v>
      </c>
      <c r="M64" s="46" t="s">
        <v>1280</v>
      </c>
      <c r="O64" s="45"/>
      <c r="P64" s="45"/>
    </row>
    <row r="65" spans="1:16" ht="16.05" customHeight="1">
      <c r="A65" s="45" t="s">
        <v>1390</v>
      </c>
      <c r="B65" s="99" t="s">
        <v>1547</v>
      </c>
      <c r="C65" s="45" t="s">
        <v>1285</v>
      </c>
      <c r="D65" s="45" t="s">
        <v>324</v>
      </c>
      <c r="E65" s="45">
        <v>2</v>
      </c>
      <c r="F65" s="45" t="s">
        <v>1286</v>
      </c>
      <c r="G65" s="80">
        <v>0.17910000000000001</v>
      </c>
      <c r="H65" s="45">
        <v>12</v>
      </c>
      <c r="I65" s="45">
        <v>25398285</v>
      </c>
      <c r="J65" s="45" t="s">
        <v>1289</v>
      </c>
      <c r="K65" s="45" t="s">
        <v>1274</v>
      </c>
      <c r="L65" s="45" t="s">
        <v>328</v>
      </c>
      <c r="M65" s="46" t="s">
        <v>1280</v>
      </c>
      <c r="O65" s="45"/>
      <c r="P65" s="45"/>
    </row>
    <row r="66" spans="1:16" ht="16.05" customHeight="1">
      <c r="A66" s="45" t="s">
        <v>1390</v>
      </c>
      <c r="B66" s="99" t="s">
        <v>1547</v>
      </c>
      <c r="C66" s="45" t="s">
        <v>1548</v>
      </c>
      <c r="D66" s="45" t="s">
        <v>371</v>
      </c>
      <c r="E66" s="45">
        <v>10</v>
      </c>
      <c r="F66" s="45" t="s">
        <v>1549</v>
      </c>
      <c r="G66" s="80">
        <v>0.11899999999999999</v>
      </c>
      <c r="H66" s="45">
        <v>13</v>
      </c>
      <c r="I66" s="45">
        <v>48941637</v>
      </c>
      <c r="J66" s="45" t="s">
        <v>1540</v>
      </c>
      <c r="K66" s="45" t="s">
        <v>1550</v>
      </c>
      <c r="L66" s="45" t="s">
        <v>328</v>
      </c>
      <c r="M66" s="46" t="s">
        <v>1268</v>
      </c>
      <c r="O66" s="45"/>
      <c r="P66" s="45"/>
    </row>
    <row r="67" spans="1:16" ht="16.05" customHeight="1">
      <c r="A67" s="45" t="s">
        <v>1390</v>
      </c>
      <c r="B67" s="99" t="s">
        <v>1547</v>
      </c>
      <c r="C67" s="45" t="s">
        <v>381</v>
      </c>
      <c r="D67" s="45" t="s">
        <v>324</v>
      </c>
      <c r="E67" s="45">
        <v>5</v>
      </c>
      <c r="F67" s="45" t="s">
        <v>1551</v>
      </c>
      <c r="G67" s="80">
        <v>0.1535</v>
      </c>
      <c r="H67" s="45">
        <v>17</v>
      </c>
      <c r="I67" s="45">
        <v>7578457</v>
      </c>
      <c r="J67" s="45" t="s">
        <v>1552</v>
      </c>
      <c r="K67" s="45" t="s">
        <v>1274</v>
      </c>
      <c r="L67" s="45" t="s">
        <v>327</v>
      </c>
      <c r="M67" s="46" t="s">
        <v>1268</v>
      </c>
      <c r="O67" s="45"/>
      <c r="P67" s="45"/>
    </row>
    <row r="68" spans="1:16" ht="16.05" customHeight="1">
      <c r="A68" s="45" t="s">
        <v>1474</v>
      </c>
      <c r="B68" s="99" t="s">
        <v>1553</v>
      </c>
      <c r="C68" s="45" t="s">
        <v>1285</v>
      </c>
      <c r="D68" s="45" t="s">
        <v>324</v>
      </c>
      <c r="E68" s="45">
        <v>2</v>
      </c>
      <c r="F68" s="45" t="s">
        <v>1536</v>
      </c>
      <c r="G68" s="80">
        <v>1.2999999999999999E-3</v>
      </c>
      <c r="H68" s="45">
        <v>12</v>
      </c>
      <c r="I68" s="45">
        <v>25398284</v>
      </c>
      <c r="J68" s="45" t="s">
        <v>1289</v>
      </c>
      <c r="K68" s="45" t="s">
        <v>1274</v>
      </c>
      <c r="L68" s="45" t="s">
        <v>1275</v>
      </c>
      <c r="M68" s="46" t="s">
        <v>1280</v>
      </c>
      <c r="O68" s="45"/>
      <c r="P68" s="45"/>
    </row>
    <row r="69" spans="1:16" ht="16.05" customHeight="1">
      <c r="A69" s="45" t="s">
        <v>1474</v>
      </c>
      <c r="B69" s="99" t="s">
        <v>1553</v>
      </c>
      <c r="C69" s="45" t="s">
        <v>381</v>
      </c>
      <c r="D69" s="45" t="s">
        <v>324</v>
      </c>
      <c r="E69" s="45">
        <v>8</v>
      </c>
      <c r="F69" s="45" t="s">
        <v>1554</v>
      </c>
      <c r="G69" s="80">
        <v>3.0000000000000001E-3</v>
      </c>
      <c r="H69" s="45">
        <v>17</v>
      </c>
      <c r="I69" s="45">
        <v>7577108</v>
      </c>
      <c r="J69" s="45" t="s">
        <v>1555</v>
      </c>
      <c r="K69" s="45" t="s">
        <v>1274</v>
      </c>
      <c r="L69" s="45" t="s">
        <v>1275</v>
      </c>
      <c r="M69" s="46" t="s">
        <v>1268</v>
      </c>
      <c r="O69" s="45"/>
      <c r="P69" s="45"/>
    </row>
    <row r="70" spans="1:16" ht="16.05" customHeight="1">
      <c r="A70" s="45" t="s">
        <v>1477</v>
      </c>
      <c r="B70" s="99" t="s">
        <v>1556</v>
      </c>
      <c r="C70" s="45" t="s">
        <v>1557</v>
      </c>
      <c r="D70" s="45" t="s">
        <v>371</v>
      </c>
      <c r="E70" s="45">
        <v>18</v>
      </c>
      <c r="F70" s="45" t="s">
        <v>1558</v>
      </c>
      <c r="G70" s="80">
        <v>4.5600000000000002E-2</v>
      </c>
      <c r="H70" s="45">
        <v>17</v>
      </c>
      <c r="I70" s="45">
        <v>29553477</v>
      </c>
      <c r="J70" s="45" t="s">
        <v>1540</v>
      </c>
      <c r="K70" s="45" t="s">
        <v>328</v>
      </c>
      <c r="L70" s="45" t="s">
        <v>1559</v>
      </c>
      <c r="M70" s="46" t="s">
        <v>1268</v>
      </c>
      <c r="O70" s="45"/>
      <c r="P70" s="45"/>
    </row>
    <row r="71" spans="1:16" ht="16.05" customHeight="1">
      <c r="A71" s="45" t="s">
        <v>1394</v>
      </c>
      <c r="B71" s="99" t="s">
        <v>1396</v>
      </c>
      <c r="C71" s="45" t="s">
        <v>323</v>
      </c>
      <c r="D71" s="45" t="s">
        <v>324</v>
      </c>
      <c r="E71" s="45">
        <v>21</v>
      </c>
      <c r="F71" s="45" t="s">
        <v>1276</v>
      </c>
      <c r="G71" s="80">
        <v>1.6000000000000001E-3</v>
      </c>
      <c r="H71" s="45">
        <v>7</v>
      </c>
      <c r="I71" s="45">
        <v>55259515</v>
      </c>
      <c r="J71" s="45" t="s">
        <v>1279</v>
      </c>
      <c r="K71" s="45" t="s">
        <v>1275</v>
      </c>
      <c r="L71" s="45" t="s">
        <v>327</v>
      </c>
      <c r="M71" s="46" t="s">
        <v>1280</v>
      </c>
      <c r="O71" s="45"/>
      <c r="P71" s="45"/>
    </row>
    <row r="72" spans="1:16" ht="16.05" customHeight="1">
      <c r="A72" s="45" t="s">
        <v>1397</v>
      </c>
      <c r="B72" s="99" t="s">
        <v>1560</v>
      </c>
      <c r="C72" s="45" t="s">
        <v>381</v>
      </c>
      <c r="D72" s="45" t="s">
        <v>324</v>
      </c>
      <c r="E72" s="45">
        <v>8</v>
      </c>
      <c r="F72" s="45" t="s">
        <v>1561</v>
      </c>
      <c r="G72" s="80">
        <v>1.7000000000000001E-2</v>
      </c>
      <c r="H72" s="45">
        <v>17</v>
      </c>
      <c r="I72" s="45">
        <v>7577094</v>
      </c>
      <c r="J72" s="45" t="s">
        <v>1562</v>
      </c>
      <c r="K72" s="45" t="s">
        <v>327</v>
      </c>
      <c r="L72" s="45" t="s">
        <v>328</v>
      </c>
      <c r="M72" s="46" t="s">
        <v>1268</v>
      </c>
      <c r="O72" s="45"/>
      <c r="P72" s="45"/>
    </row>
    <row r="73" spans="1:16" ht="16.05" customHeight="1">
      <c r="A73" s="45" t="s">
        <v>1438</v>
      </c>
      <c r="B73" s="99" t="s">
        <v>1563</v>
      </c>
      <c r="C73" s="45" t="s">
        <v>1338</v>
      </c>
      <c r="D73" s="45" t="s">
        <v>324</v>
      </c>
      <c r="E73" s="45">
        <v>11</v>
      </c>
      <c r="F73" s="45" t="s">
        <v>1545</v>
      </c>
      <c r="G73" s="80">
        <v>2E-3</v>
      </c>
      <c r="H73" s="45">
        <v>7</v>
      </c>
      <c r="I73" s="45">
        <v>140481402</v>
      </c>
      <c r="J73" s="45" t="s">
        <v>1546</v>
      </c>
      <c r="K73" s="45" t="s">
        <v>1274</v>
      </c>
      <c r="L73" s="45" t="s">
        <v>327</v>
      </c>
      <c r="M73" s="46" t="s">
        <v>1280</v>
      </c>
      <c r="O73" s="45"/>
      <c r="P73" s="45"/>
    </row>
    <row r="74" spans="1:16" ht="16.05" customHeight="1">
      <c r="A74" s="45" t="s">
        <v>1441</v>
      </c>
      <c r="B74" s="99" t="s">
        <v>1564</v>
      </c>
      <c r="C74" s="45" t="s">
        <v>381</v>
      </c>
      <c r="D74" s="45" t="s">
        <v>376</v>
      </c>
      <c r="E74" s="45">
        <v>6</v>
      </c>
      <c r="F74" s="45" t="s">
        <v>1565</v>
      </c>
      <c r="G74" s="80">
        <v>1.54E-2</v>
      </c>
      <c r="H74" s="45">
        <v>17</v>
      </c>
      <c r="I74" s="45">
        <v>7578263</v>
      </c>
      <c r="J74" s="45" t="s">
        <v>1540</v>
      </c>
      <c r="K74" s="45" t="s">
        <v>327</v>
      </c>
      <c r="L74" s="45" t="s">
        <v>328</v>
      </c>
      <c r="M74" s="46" t="s">
        <v>1268</v>
      </c>
      <c r="O74" s="45"/>
      <c r="P74" s="45"/>
    </row>
    <row r="75" spans="1:16" ht="16.05" customHeight="1">
      <c r="A75" s="45" t="s">
        <v>1447</v>
      </c>
      <c r="B75" s="99" t="s">
        <v>1566</v>
      </c>
      <c r="C75" s="45" t="s">
        <v>323</v>
      </c>
      <c r="D75" s="45" t="s">
        <v>1350</v>
      </c>
      <c r="E75" s="45">
        <v>19</v>
      </c>
      <c r="F75" s="45" t="s">
        <v>1567</v>
      </c>
      <c r="G75" s="80">
        <v>2.0000000000000001E-4</v>
      </c>
      <c r="H75" s="45">
        <v>7</v>
      </c>
      <c r="I75" s="45">
        <v>55242469</v>
      </c>
      <c r="J75" s="45" t="s">
        <v>1568</v>
      </c>
      <c r="K75" s="45" t="s">
        <v>1569</v>
      </c>
      <c r="L75" s="45" t="s">
        <v>1275</v>
      </c>
      <c r="M75" s="46" t="s">
        <v>1280</v>
      </c>
      <c r="O75" s="45"/>
      <c r="P75" s="45"/>
    </row>
    <row r="76" spans="1:16" ht="16.05" customHeight="1">
      <c r="A76" s="45" t="s">
        <v>1459</v>
      </c>
      <c r="B76" s="99" t="s">
        <v>1570</v>
      </c>
      <c r="C76" s="45" t="s">
        <v>381</v>
      </c>
      <c r="D76" s="45" t="s">
        <v>324</v>
      </c>
      <c r="E76" s="45">
        <v>7</v>
      </c>
      <c r="F76" s="45" t="s">
        <v>1571</v>
      </c>
      <c r="G76" s="80">
        <v>5.9200000000000003E-2</v>
      </c>
      <c r="H76" s="45">
        <v>17</v>
      </c>
      <c r="I76" s="45">
        <v>7577574</v>
      </c>
      <c r="J76" s="45" t="s">
        <v>1572</v>
      </c>
      <c r="K76" s="45" t="s">
        <v>1275</v>
      </c>
      <c r="L76" s="45" t="s">
        <v>1274</v>
      </c>
      <c r="M76" s="46" t="s">
        <v>1268</v>
      </c>
      <c r="O76" s="45"/>
      <c r="P76" s="45"/>
    </row>
    <row r="77" spans="1:16" ht="16.05" customHeight="1">
      <c r="A77" s="45" t="s">
        <v>1459</v>
      </c>
      <c r="B77" s="99" t="s">
        <v>1570</v>
      </c>
      <c r="C77" s="45" t="s">
        <v>381</v>
      </c>
      <c r="D77" s="45" t="s">
        <v>324</v>
      </c>
      <c r="E77" s="45">
        <v>5</v>
      </c>
      <c r="F77" s="45" t="s">
        <v>1573</v>
      </c>
      <c r="G77" s="80">
        <v>5.45E-2</v>
      </c>
      <c r="H77" s="45">
        <v>17</v>
      </c>
      <c r="I77" s="45">
        <v>7578538</v>
      </c>
      <c r="J77" s="45" t="s">
        <v>1574</v>
      </c>
      <c r="K77" s="45" t="s">
        <v>1275</v>
      </c>
      <c r="L77" s="45" t="s">
        <v>328</v>
      </c>
      <c r="M77" s="46" t="s">
        <v>1268</v>
      </c>
      <c r="O77" s="45"/>
      <c r="P77" s="45"/>
    </row>
    <row r="78" spans="1:16" ht="16.05" customHeight="1">
      <c r="A78" s="45" t="s">
        <v>1459</v>
      </c>
      <c r="B78" s="99" t="s">
        <v>1570</v>
      </c>
      <c r="C78" s="45" t="s">
        <v>1575</v>
      </c>
      <c r="D78" s="45" t="s">
        <v>324</v>
      </c>
      <c r="E78" s="45">
        <v>1</v>
      </c>
      <c r="F78" s="45" t="s">
        <v>1576</v>
      </c>
      <c r="G78" s="80">
        <v>6.3E-3</v>
      </c>
      <c r="H78" s="45">
        <v>7</v>
      </c>
      <c r="I78" s="45">
        <v>53103392</v>
      </c>
      <c r="J78" s="45" t="s">
        <v>1577</v>
      </c>
      <c r="K78" s="45" t="s">
        <v>327</v>
      </c>
      <c r="L78" s="45" t="s">
        <v>328</v>
      </c>
      <c r="M78" s="46" t="s">
        <v>1268</v>
      </c>
      <c r="O78" s="45"/>
      <c r="P78" s="45"/>
    </row>
    <row r="79" spans="1:16" ht="16.05" customHeight="1">
      <c r="A79" s="45" t="s">
        <v>1465</v>
      </c>
      <c r="B79" s="99" t="s">
        <v>1578</v>
      </c>
      <c r="C79" s="45" t="s">
        <v>1579</v>
      </c>
      <c r="D79" s="45" t="s">
        <v>376</v>
      </c>
      <c r="E79" s="45">
        <v>5</v>
      </c>
      <c r="F79" s="45" t="s">
        <v>1580</v>
      </c>
      <c r="G79" s="80">
        <v>6.1000000000000004E-3</v>
      </c>
      <c r="H79" s="45">
        <v>10</v>
      </c>
      <c r="I79" s="45">
        <v>89692904</v>
      </c>
      <c r="J79" s="45" t="s">
        <v>1540</v>
      </c>
      <c r="K79" s="45" t="s">
        <v>1274</v>
      </c>
      <c r="L79" s="45" t="s">
        <v>1275</v>
      </c>
      <c r="M79" s="46" t="s">
        <v>1268</v>
      </c>
      <c r="O79" s="45"/>
      <c r="P79" s="45"/>
    </row>
    <row r="80" spans="1:16" ht="16.05" customHeight="1">
      <c r="A80" s="45" t="s">
        <v>1465</v>
      </c>
      <c r="B80" s="99" t="s">
        <v>1578</v>
      </c>
      <c r="C80" s="45" t="s">
        <v>381</v>
      </c>
      <c r="D80" s="45" t="s">
        <v>324</v>
      </c>
      <c r="E80" s="45">
        <v>8</v>
      </c>
      <c r="F80" s="45" t="s">
        <v>1581</v>
      </c>
      <c r="G80" s="80">
        <v>1.1999999999999999E-3</v>
      </c>
      <c r="H80" s="45">
        <v>17</v>
      </c>
      <c r="I80" s="45">
        <v>7577120</v>
      </c>
      <c r="J80" s="45" t="s">
        <v>1345</v>
      </c>
      <c r="K80" s="45" t="s">
        <v>1274</v>
      </c>
      <c r="L80" s="45" t="s">
        <v>1275</v>
      </c>
      <c r="M80" s="46" t="s">
        <v>1280</v>
      </c>
      <c r="O80" s="45"/>
      <c r="P80" s="45"/>
    </row>
    <row r="81" spans="1:17" ht="16.05" customHeight="1">
      <c r="A81" s="49" t="s">
        <v>1468</v>
      </c>
      <c r="B81" s="117" t="s">
        <v>1582</v>
      </c>
      <c r="C81" s="49" t="s">
        <v>381</v>
      </c>
      <c r="D81" s="49" t="s">
        <v>371</v>
      </c>
      <c r="E81" s="49">
        <v>4</v>
      </c>
      <c r="F81" s="49" t="s">
        <v>1583</v>
      </c>
      <c r="G81" s="83">
        <v>2.24E-2</v>
      </c>
      <c r="H81" s="49">
        <v>17</v>
      </c>
      <c r="I81" s="49">
        <v>7579409</v>
      </c>
      <c r="J81" s="49" t="s">
        <v>1540</v>
      </c>
      <c r="K81" s="49" t="s">
        <v>1584</v>
      </c>
      <c r="L81" s="49" t="s">
        <v>328</v>
      </c>
      <c r="M81" s="50" t="s">
        <v>1268</v>
      </c>
      <c r="O81" s="45"/>
      <c r="P81" s="45"/>
    </row>
    <row r="83" spans="1:17" ht="16.05" customHeight="1">
      <c r="A83" s="100" t="s">
        <v>2041</v>
      </c>
      <c r="G83" s="47"/>
    </row>
    <row r="84" spans="1:17" s="160" customFormat="1" ht="16.05" customHeight="1">
      <c r="A84" s="17" t="s">
        <v>1130</v>
      </c>
      <c r="B84" s="17" t="s">
        <v>1585</v>
      </c>
      <c r="C84" s="17" t="s">
        <v>308</v>
      </c>
      <c r="D84" s="17" t="s">
        <v>309</v>
      </c>
      <c r="E84" s="17" t="s">
        <v>310</v>
      </c>
      <c r="F84" s="17" t="s">
        <v>311</v>
      </c>
      <c r="G84" s="17" t="s">
        <v>316</v>
      </c>
      <c r="H84" s="17" t="s">
        <v>318</v>
      </c>
      <c r="I84" s="17" t="s">
        <v>319</v>
      </c>
      <c r="J84" s="17" t="s">
        <v>364</v>
      </c>
      <c r="K84" s="17" t="s">
        <v>320</v>
      </c>
      <c r="L84" s="17" t="s">
        <v>321</v>
      </c>
      <c r="M84" s="18" t="s">
        <v>1262</v>
      </c>
      <c r="N84" s="99"/>
      <c r="O84" s="99"/>
      <c r="P84" s="99"/>
      <c r="Q84" s="99"/>
    </row>
    <row r="85" spans="1:17" ht="16.05" customHeight="1">
      <c r="A85" s="99" t="s">
        <v>1527</v>
      </c>
      <c r="B85" s="99" t="s">
        <v>1378</v>
      </c>
      <c r="C85" s="99" t="s">
        <v>1338</v>
      </c>
      <c r="D85" s="99" t="s">
        <v>324</v>
      </c>
      <c r="E85" s="99">
        <v>11</v>
      </c>
      <c r="F85" s="99" t="s">
        <v>1586</v>
      </c>
      <c r="G85" s="99">
        <v>1E-4</v>
      </c>
      <c r="H85" s="99">
        <v>7</v>
      </c>
      <c r="I85" s="99">
        <v>140481393</v>
      </c>
      <c r="J85" s="99" t="s">
        <v>1587</v>
      </c>
      <c r="K85" s="99" t="s">
        <v>1275</v>
      </c>
      <c r="L85" s="99" t="s">
        <v>1274</v>
      </c>
      <c r="M85" s="66" t="s">
        <v>1280</v>
      </c>
    </row>
    <row r="86" spans="1:17" ht="16.05" customHeight="1">
      <c r="A86" s="99" t="s">
        <v>1588</v>
      </c>
      <c r="B86" s="99" t="s">
        <v>1382</v>
      </c>
      <c r="C86" s="45" t="s">
        <v>381</v>
      </c>
      <c r="D86" s="45" t="s">
        <v>324</v>
      </c>
      <c r="E86" s="45">
        <v>8</v>
      </c>
      <c r="F86" s="45" t="s">
        <v>1589</v>
      </c>
      <c r="G86" s="81">
        <v>9.7999999999999997E-3</v>
      </c>
      <c r="H86" s="45">
        <v>17</v>
      </c>
      <c r="I86" s="45">
        <v>7577129</v>
      </c>
      <c r="J86" s="45" t="s">
        <v>1590</v>
      </c>
      <c r="K86" s="45" t="s">
        <v>328</v>
      </c>
      <c r="L86" s="45" t="s">
        <v>1274</v>
      </c>
      <c r="M86" s="46" t="s">
        <v>1268</v>
      </c>
    </row>
    <row r="87" spans="1:17" ht="16.05" customHeight="1">
      <c r="A87" s="99" t="s">
        <v>1588</v>
      </c>
      <c r="B87" s="99" t="s">
        <v>1382</v>
      </c>
      <c r="C87" s="45" t="s">
        <v>1591</v>
      </c>
      <c r="D87" s="45" t="s">
        <v>324</v>
      </c>
      <c r="E87" s="45">
        <v>2</v>
      </c>
      <c r="F87" s="45" t="s">
        <v>1592</v>
      </c>
      <c r="G87" s="81">
        <v>8.2000000000000007E-3</v>
      </c>
      <c r="H87" s="45">
        <v>2</v>
      </c>
      <c r="I87" s="45">
        <v>178098959</v>
      </c>
      <c r="J87" s="45" t="s">
        <v>1593</v>
      </c>
      <c r="K87" s="45" t="s">
        <v>1275</v>
      </c>
      <c r="L87" s="45" t="s">
        <v>1274</v>
      </c>
      <c r="M87" s="46" t="s">
        <v>1268</v>
      </c>
    </row>
    <row r="88" spans="1:17" ht="16.05" customHeight="1">
      <c r="A88" s="99" t="s">
        <v>1386</v>
      </c>
      <c r="B88" s="99" t="s">
        <v>1389</v>
      </c>
      <c r="C88" s="99" t="s">
        <v>1538</v>
      </c>
      <c r="D88" s="99" t="s">
        <v>371</v>
      </c>
      <c r="E88" s="99">
        <v>7</v>
      </c>
      <c r="F88" s="99" t="s">
        <v>1539</v>
      </c>
      <c r="G88" s="99">
        <v>6.9999999999999999E-4</v>
      </c>
      <c r="H88" s="99">
        <v>1</v>
      </c>
      <c r="I88" s="99">
        <v>27088681</v>
      </c>
      <c r="J88" s="99" t="s">
        <v>1540</v>
      </c>
      <c r="K88" s="99" t="s">
        <v>1541</v>
      </c>
      <c r="L88" s="99" t="s">
        <v>1275</v>
      </c>
      <c r="M88" s="66" t="s">
        <v>1268</v>
      </c>
    </row>
    <row r="89" spans="1:17" ht="16.05" customHeight="1">
      <c r="A89" s="99" t="s">
        <v>1386</v>
      </c>
      <c r="B89" s="99" t="s">
        <v>1389</v>
      </c>
      <c r="C89" s="99" t="s">
        <v>381</v>
      </c>
      <c r="D89" s="99" t="s">
        <v>376</v>
      </c>
      <c r="E89" s="99">
        <v>7</v>
      </c>
      <c r="F89" s="99" t="s">
        <v>1542</v>
      </c>
      <c r="G89" s="99">
        <v>2.9999999999999997E-4</v>
      </c>
      <c r="H89" s="99">
        <v>17</v>
      </c>
      <c r="I89" s="99">
        <v>7577509</v>
      </c>
      <c r="J89" s="99" t="s">
        <v>1540</v>
      </c>
      <c r="K89" s="99" t="s">
        <v>1274</v>
      </c>
      <c r="L89" s="99" t="s">
        <v>328</v>
      </c>
      <c r="M89" s="66" t="s">
        <v>1268</v>
      </c>
    </row>
    <row r="90" spans="1:17" ht="16.05" customHeight="1">
      <c r="A90" s="99" t="s">
        <v>1386</v>
      </c>
      <c r="B90" s="99" t="s">
        <v>1389</v>
      </c>
      <c r="C90" s="99" t="s">
        <v>381</v>
      </c>
      <c r="D90" s="99" t="s">
        <v>324</v>
      </c>
      <c r="E90" s="99">
        <v>4</v>
      </c>
      <c r="F90" s="99" t="s">
        <v>1543</v>
      </c>
      <c r="G90" s="99">
        <v>2.0000000000000001E-4</v>
      </c>
      <c r="H90" s="99">
        <v>17</v>
      </c>
      <c r="I90" s="99">
        <v>7579358</v>
      </c>
      <c r="J90" s="99" t="s">
        <v>1544</v>
      </c>
      <c r="K90" s="99" t="s">
        <v>1274</v>
      </c>
      <c r="L90" s="99" t="s">
        <v>328</v>
      </c>
      <c r="M90" s="66" t="s">
        <v>1268</v>
      </c>
    </row>
    <row r="91" spans="1:17" ht="16.05" customHeight="1">
      <c r="A91" s="99" t="s">
        <v>1390</v>
      </c>
      <c r="B91" s="99" t="s">
        <v>1393</v>
      </c>
      <c r="C91" s="99" t="s">
        <v>1285</v>
      </c>
      <c r="D91" s="99" t="s">
        <v>324</v>
      </c>
      <c r="E91" s="99">
        <v>2</v>
      </c>
      <c r="F91" s="99" t="s">
        <v>1286</v>
      </c>
      <c r="G91" s="99">
        <v>1E-4</v>
      </c>
      <c r="H91" s="99">
        <v>12</v>
      </c>
      <c r="I91" s="99">
        <v>25398285</v>
      </c>
      <c r="J91" s="99" t="s">
        <v>1289</v>
      </c>
      <c r="K91" s="99" t="s">
        <v>1274</v>
      </c>
      <c r="L91" s="99" t="s">
        <v>328</v>
      </c>
      <c r="M91" s="66" t="s">
        <v>1280</v>
      </c>
    </row>
    <row r="92" spans="1:17" ht="16.05" customHeight="1">
      <c r="A92" s="99" t="s">
        <v>1390</v>
      </c>
      <c r="B92" s="99" t="s">
        <v>1393</v>
      </c>
      <c r="C92" s="99" t="s">
        <v>381</v>
      </c>
      <c r="D92" s="99" t="s">
        <v>324</v>
      </c>
      <c r="E92" s="99">
        <v>5</v>
      </c>
      <c r="F92" s="99" t="s">
        <v>1551</v>
      </c>
      <c r="G92" s="99">
        <v>1E-4</v>
      </c>
      <c r="H92" s="99">
        <v>17</v>
      </c>
      <c r="I92" s="99">
        <v>7578457</v>
      </c>
      <c r="J92" s="99" t="s">
        <v>1552</v>
      </c>
      <c r="K92" s="99" t="s">
        <v>1274</v>
      </c>
      <c r="L92" s="99" t="s">
        <v>327</v>
      </c>
      <c r="M92" s="66" t="s">
        <v>1268</v>
      </c>
    </row>
    <row r="93" spans="1:17" ht="16.05" customHeight="1">
      <c r="A93" s="99" t="s">
        <v>1408</v>
      </c>
      <c r="B93" s="99" t="s">
        <v>1411</v>
      </c>
      <c r="C93" s="99" t="s">
        <v>381</v>
      </c>
      <c r="D93" s="99" t="s">
        <v>324</v>
      </c>
      <c r="E93" s="99">
        <v>8</v>
      </c>
      <c r="F93" s="99" t="s">
        <v>1342</v>
      </c>
      <c r="G93" s="99">
        <v>8.0000000000000004E-4</v>
      </c>
      <c r="H93" s="99">
        <v>17</v>
      </c>
      <c r="I93" s="99">
        <v>7577121</v>
      </c>
      <c r="J93" s="99" t="s">
        <v>1345</v>
      </c>
      <c r="K93" s="99" t="s">
        <v>327</v>
      </c>
      <c r="L93" s="99" t="s">
        <v>328</v>
      </c>
      <c r="M93" s="66" t="s">
        <v>1280</v>
      </c>
    </row>
    <row r="94" spans="1:17" ht="16.05" customHeight="1">
      <c r="A94" s="49" t="s">
        <v>1416</v>
      </c>
      <c r="B94" s="161" t="s">
        <v>1419</v>
      </c>
      <c r="C94" s="49" t="s">
        <v>381</v>
      </c>
      <c r="D94" s="49" t="s">
        <v>324</v>
      </c>
      <c r="E94" s="49">
        <v>7</v>
      </c>
      <c r="F94" s="49" t="s">
        <v>1594</v>
      </c>
      <c r="G94" s="49">
        <v>6.9999999999999999E-4</v>
      </c>
      <c r="H94" s="84">
        <v>17</v>
      </c>
      <c r="I94" s="49">
        <v>7577539</v>
      </c>
      <c r="J94" s="49" t="s">
        <v>1595</v>
      </c>
      <c r="K94" s="49" t="s">
        <v>327</v>
      </c>
      <c r="L94" s="49" t="s">
        <v>328</v>
      </c>
      <c r="M94" s="50" t="s">
        <v>1280</v>
      </c>
    </row>
    <row r="96" spans="1:17" ht="16.05" customHeight="1">
      <c r="A96" s="100" t="s">
        <v>2042</v>
      </c>
      <c r="G96" s="47"/>
    </row>
    <row r="97" spans="1:12" ht="16.05" customHeight="1">
      <c r="A97" s="162" t="s">
        <v>1596</v>
      </c>
      <c r="B97" s="17" t="s">
        <v>308</v>
      </c>
      <c r="C97" s="17" t="s">
        <v>309</v>
      </c>
      <c r="D97" s="17" t="s">
        <v>310</v>
      </c>
      <c r="E97" s="17" t="s">
        <v>311</v>
      </c>
      <c r="F97" s="17" t="s">
        <v>316</v>
      </c>
      <c r="G97" s="17" t="s">
        <v>318</v>
      </c>
      <c r="H97" s="17" t="s">
        <v>319</v>
      </c>
      <c r="I97" s="17" t="s">
        <v>364</v>
      </c>
      <c r="J97" s="17" t="s">
        <v>320</v>
      </c>
      <c r="K97" s="17" t="s">
        <v>321</v>
      </c>
      <c r="L97" s="18" t="s">
        <v>1262</v>
      </c>
    </row>
    <row r="98" spans="1:12" ht="16.05" customHeight="1">
      <c r="A98" s="45" t="s">
        <v>1401</v>
      </c>
      <c r="B98" s="45" t="s">
        <v>323</v>
      </c>
      <c r="C98" s="45" t="s">
        <v>324</v>
      </c>
      <c r="D98" s="45">
        <v>21</v>
      </c>
      <c r="E98" s="45" t="s">
        <v>1597</v>
      </c>
      <c r="F98" s="45">
        <v>0.47710000000000002</v>
      </c>
      <c r="G98" s="45">
        <v>7</v>
      </c>
      <c r="H98" s="45">
        <v>55259437</v>
      </c>
      <c r="I98" s="45" t="s">
        <v>1598</v>
      </c>
      <c r="J98" s="45" t="s">
        <v>327</v>
      </c>
      <c r="K98" s="45" t="s">
        <v>328</v>
      </c>
      <c r="L98" s="53" t="s">
        <v>1268</v>
      </c>
    </row>
    <row r="99" spans="1:12" ht="16.05" customHeight="1">
      <c r="A99" s="45" t="s">
        <v>1405</v>
      </c>
      <c r="B99" s="45" t="s">
        <v>381</v>
      </c>
      <c r="C99" s="45" t="s">
        <v>376</v>
      </c>
      <c r="D99" s="45">
        <v>8</v>
      </c>
      <c r="E99" s="45" t="s">
        <v>1599</v>
      </c>
      <c r="F99" s="45">
        <v>0.28999999999999998</v>
      </c>
      <c r="G99" s="45">
        <v>17</v>
      </c>
      <c r="H99" s="45">
        <v>7577046</v>
      </c>
      <c r="I99" s="45" t="s">
        <v>1540</v>
      </c>
      <c r="J99" s="45" t="s">
        <v>1274</v>
      </c>
      <c r="K99" s="45" t="s">
        <v>328</v>
      </c>
      <c r="L99" s="46" t="s">
        <v>1268</v>
      </c>
    </row>
    <row r="100" spans="1:12" ht="16.05" customHeight="1">
      <c r="A100" s="45" t="s">
        <v>1409</v>
      </c>
      <c r="B100" s="45" t="s">
        <v>381</v>
      </c>
      <c r="C100" s="45" t="s">
        <v>324</v>
      </c>
      <c r="D100" s="45">
        <v>7</v>
      </c>
      <c r="E100" s="45" t="s">
        <v>1600</v>
      </c>
      <c r="F100" s="45">
        <v>0.25259999999999999</v>
      </c>
      <c r="G100" s="45">
        <v>17</v>
      </c>
      <c r="H100" s="45">
        <v>7577551</v>
      </c>
      <c r="I100" s="45" t="s">
        <v>1601</v>
      </c>
      <c r="J100" s="45" t="s">
        <v>1274</v>
      </c>
      <c r="K100" s="45" t="s">
        <v>328</v>
      </c>
      <c r="L100" s="46" t="s">
        <v>1268</v>
      </c>
    </row>
    <row r="101" spans="1:12" ht="16.05" customHeight="1">
      <c r="A101" s="45" t="s">
        <v>1413</v>
      </c>
      <c r="B101" s="45" t="s">
        <v>1579</v>
      </c>
      <c r="C101" s="45" t="s">
        <v>324</v>
      </c>
      <c r="D101" s="45">
        <v>5</v>
      </c>
      <c r="E101" s="45" t="s">
        <v>1602</v>
      </c>
      <c r="F101" s="45">
        <v>5.1799999999999999E-2</v>
      </c>
      <c r="G101" s="45">
        <v>10</v>
      </c>
      <c r="H101" s="45">
        <v>89692881</v>
      </c>
      <c r="I101" s="45" t="s">
        <v>1603</v>
      </c>
      <c r="J101" s="45" t="s">
        <v>1275</v>
      </c>
      <c r="K101" s="45" t="s">
        <v>328</v>
      </c>
      <c r="L101" s="46" t="s">
        <v>1268</v>
      </c>
    </row>
    <row r="102" spans="1:12" ht="16.05" customHeight="1">
      <c r="A102" s="45" t="s">
        <v>1413</v>
      </c>
      <c r="B102" s="45" t="s">
        <v>381</v>
      </c>
      <c r="C102" s="45" t="s">
        <v>324</v>
      </c>
      <c r="D102" s="45">
        <v>6</v>
      </c>
      <c r="E102" s="45" t="s">
        <v>1604</v>
      </c>
      <c r="F102" s="45">
        <v>0.31040000000000001</v>
      </c>
      <c r="G102" s="45">
        <v>17</v>
      </c>
      <c r="H102" s="45">
        <v>7578260</v>
      </c>
      <c r="I102" s="45" t="s">
        <v>1605</v>
      </c>
      <c r="J102" s="45" t="s">
        <v>1274</v>
      </c>
      <c r="K102" s="45" t="s">
        <v>1275</v>
      </c>
      <c r="L102" s="46" t="s">
        <v>1268</v>
      </c>
    </row>
    <row r="103" spans="1:12" ht="16.05" customHeight="1">
      <c r="A103" s="45" t="s">
        <v>1413</v>
      </c>
      <c r="B103" s="45" t="s">
        <v>323</v>
      </c>
      <c r="C103" s="45" t="s">
        <v>1350</v>
      </c>
      <c r="D103" s="45">
        <v>19</v>
      </c>
      <c r="E103" s="45" t="s">
        <v>1606</v>
      </c>
      <c r="F103" s="45">
        <v>0.27829999999999999</v>
      </c>
      <c r="G103" s="45">
        <v>7</v>
      </c>
      <c r="H103" s="45">
        <v>55242464</v>
      </c>
      <c r="I103" s="45" t="s">
        <v>1568</v>
      </c>
      <c r="J103" s="45" t="s">
        <v>1607</v>
      </c>
      <c r="K103" s="45" t="s">
        <v>328</v>
      </c>
      <c r="L103" s="46" t="s">
        <v>1280</v>
      </c>
    </row>
    <row r="104" spans="1:12" ht="16.05" customHeight="1">
      <c r="A104" s="45" t="s">
        <v>1380</v>
      </c>
      <c r="B104" s="45" t="s">
        <v>381</v>
      </c>
      <c r="C104" s="45" t="s">
        <v>324</v>
      </c>
      <c r="D104" s="45">
        <v>8</v>
      </c>
      <c r="E104" s="45" t="s">
        <v>1589</v>
      </c>
      <c r="F104" s="45">
        <v>0.28699999999999998</v>
      </c>
      <c r="G104" s="45">
        <v>17</v>
      </c>
      <c r="H104" s="45">
        <v>7577129</v>
      </c>
      <c r="I104" s="45" t="s">
        <v>1590</v>
      </c>
      <c r="J104" s="45" t="s">
        <v>328</v>
      </c>
      <c r="K104" s="45" t="s">
        <v>1274</v>
      </c>
      <c r="L104" s="46" t="s">
        <v>1268</v>
      </c>
    </row>
    <row r="105" spans="1:12" ht="16.05" customHeight="1">
      <c r="A105" s="45" t="s">
        <v>1380</v>
      </c>
      <c r="B105" s="45" t="s">
        <v>1591</v>
      </c>
      <c r="C105" s="45" t="s">
        <v>324</v>
      </c>
      <c r="D105" s="45">
        <v>2</v>
      </c>
      <c r="E105" s="45" t="s">
        <v>1592</v>
      </c>
      <c r="F105" s="45">
        <v>0.39250000000000002</v>
      </c>
      <c r="G105" s="45">
        <v>2</v>
      </c>
      <c r="H105" s="45">
        <v>178098959</v>
      </c>
      <c r="I105" s="45" t="s">
        <v>1593</v>
      </c>
      <c r="J105" s="45" t="s">
        <v>1275</v>
      </c>
      <c r="K105" s="45" t="s">
        <v>1274</v>
      </c>
      <c r="L105" s="46" t="s">
        <v>1268</v>
      </c>
    </row>
    <row r="106" spans="1:12" ht="16.05" customHeight="1">
      <c r="A106" s="45" t="s">
        <v>1417</v>
      </c>
      <c r="B106" s="45" t="s">
        <v>1608</v>
      </c>
      <c r="C106" s="45" t="s">
        <v>376</v>
      </c>
      <c r="D106" s="45">
        <v>3</v>
      </c>
      <c r="E106" s="45" t="s">
        <v>1609</v>
      </c>
      <c r="F106" s="45">
        <v>0.41930000000000001</v>
      </c>
      <c r="G106" s="45">
        <v>1</v>
      </c>
      <c r="H106" s="45">
        <v>157805676</v>
      </c>
      <c r="I106" s="45" t="s">
        <v>1540</v>
      </c>
      <c r="J106" s="45" t="s">
        <v>1274</v>
      </c>
      <c r="K106" s="45" t="s">
        <v>328</v>
      </c>
      <c r="L106" s="46" t="s">
        <v>1268</v>
      </c>
    </row>
    <row r="107" spans="1:12" ht="16.05" customHeight="1">
      <c r="A107" s="45" t="s">
        <v>1417</v>
      </c>
      <c r="B107" s="45" t="s">
        <v>1610</v>
      </c>
      <c r="C107" s="45" t="s">
        <v>324</v>
      </c>
      <c r="D107" s="45">
        <v>1</v>
      </c>
      <c r="E107" s="45" t="s">
        <v>1611</v>
      </c>
      <c r="F107" s="45">
        <v>0.34949999999999998</v>
      </c>
      <c r="G107" s="45">
        <v>11</v>
      </c>
      <c r="H107" s="45">
        <v>1651251</v>
      </c>
      <c r="I107" s="45" t="s">
        <v>1612</v>
      </c>
      <c r="J107" s="45" t="s">
        <v>327</v>
      </c>
      <c r="K107" s="45" t="s">
        <v>328</v>
      </c>
      <c r="L107" s="46" t="s">
        <v>1268</v>
      </c>
    </row>
    <row r="108" spans="1:12" ht="16.05" customHeight="1">
      <c r="A108" s="45" t="s">
        <v>1417</v>
      </c>
      <c r="B108" s="45" t="s">
        <v>381</v>
      </c>
      <c r="C108" s="45" t="s">
        <v>324</v>
      </c>
      <c r="D108" s="45">
        <v>7</v>
      </c>
      <c r="E108" s="45" t="s">
        <v>1613</v>
      </c>
      <c r="F108" s="45">
        <v>0.74419999999999997</v>
      </c>
      <c r="G108" s="45">
        <v>17</v>
      </c>
      <c r="H108" s="45">
        <v>7577545</v>
      </c>
      <c r="I108" s="45" t="s">
        <v>1614</v>
      </c>
      <c r="J108" s="45" t="s">
        <v>1275</v>
      </c>
      <c r="K108" s="45" t="s">
        <v>1274</v>
      </c>
      <c r="L108" s="46" t="s">
        <v>1268</v>
      </c>
    </row>
    <row r="109" spans="1:12" ht="16.05" customHeight="1">
      <c r="A109" s="45" t="s">
        <v>1417</v>
      </c>
      <c r="B109" s="45" t="s">
        <v>381</v>
      </c>
      <c r="C109" s="45" t="s">
        <v>324</v>
      </c>
      <c r="D109" s="45">
        <v>7</v>
      </c>
      <c r="E109" s="45" t="s">
        <v>1615</v>
      </c>
      <c r="F109" s="45">
        <v>0.75349999999999995</v>
      </c>
      <c r="G109" s="45">
        <v>17</v>
      </c>
      <c r="H109" s="45">
        <v>7577548</v>
      </c>
      <c r="I109" s="45" t="s">
        <v>1616</v>
      </c>
      <c r="J109" s="45" t="s">
        <v>1274</v>
      </c>
      <c r="K109" s="45" t="s">
        <v>328</v>
      </c>
      <c r="L109" s="46" t="s">
        <v>1268</v>
      </c>
    </row>
    <row r="110" spans="1:12" ht="16.05" customHeight="1">
      <c r="A110" s="45" t="s">
        <v>1384</v>
      </c>
      <c r="B110" s="45" t="s">
        <v>323</v>
      </c>
      <c r="C110" s="45" t="s">
        <v>324</v>
      </c>
      <c r="D110" s="45">
        <v>21</v>
      </c>
      <c r="E110" s="45" t="s">
        <v>1276</v>
      </c>
      <c r="F110" s="45">
        <v>3.39E-2</v>
      </c>
      <c r="G110" s="45">
        <v>7</v>
      </c>
      <c r="H110" s="45">
        <v>55259515</v>
      </c>
      <c r="I110" s="45" t="s">
        <v>1279</v>
      </c>
      <c r="J110" s="45" t="s">
        <v>1275</v>
      </c>
      <c r="K110" s="45" t="s">
        <v>327</v>
      </c>
      <c r="L110" s="46" t="s">
        <v>1280</v>
      </c>
    </row>
    <row r="111" spans="1:12" ht="16.05" customHeight="1">
      <c r="A111" s="45" t="s">
        <v>1425</v>
      </c>
      <c r="B111" s="45" t="s">
        <v>381</v>
      </c>
      <c r="C111" s="45" t="s">
        <v>324</v>
      </c>
      <c r="D111" s="45">
        <v>5</v>
      </c>
      <c r="E111" s="45" t="s">
        <v>1617</v>
      </c>
      <c r="F111" s="45">
        <v>0.28799999999999998</v>
      </c>
      <c r="G111" s="45">
        <v>17</v>
      </c>
      <c r="H111" s="45">
        <v>7578461</v>
      </c>
      <c r="I111" s="45" t="s">
        <v>1618</v>
      </c>
      <c r="J111" s="45" t="s">
        <v>1274</v>
      </c>
      <c r="K111" s="45" t="s">
        <v>328</v>
      </c>
      <c r="L111" s="46" t="s">
        <v>1268</v>
      </c>
    </row>
    <row r="112" spans="1:12" ht="16.05" customHeight="1">
      <c r="A112" s="45" t="s">
        <v>1425</v>
      </c>
      <c r="B112" s="45" t="s">
        <v>1591</v>
      </c>
      <c r="C112" s="45" t="s">
        <v>324</v>
      </c>
      <c r="D112" s="45">
        <v>2</v>
      </c>
      <c r="E112" s="45" t="s">
        <v>1619</v>
      </c>
      <c r="F112" s="45">
        <v>0.13639999999999999</v>
      </c>
      <c r="G112" s="45">
        <v>2</v>
      </c>
      <c r="H112" s="45">
        <v>178098953</v>
      </c>
      <c r="I112" s="45" t="s">
        <v>1620</v>
      </c>
      <c r="J112" s="45" t="s">
        <v>1274</v>
      </c>
      <c r="K112" s="45" t="s">
        <v>1275</v>
      </c>
      <c r="L112" s="46" t="s">
        <v>1268</v>
      </c>
    </row>
    <row r="113" spans="1:12" ht="16.05" customHeight="1">
      <c r="A113" s="45" t="s">
        <v>1425</v>
      </c>
      <c r="B113" s="45" t="s">
        <v>1591</v>
      </c>
      <c r="C113" s="45" t="s">
        <v>324</v>
      </c>
      <c r="D113" s="45">
        <v>2</v>
      </c>
      <c r="E113" s="45" t="s">
        <v>1621</v>
      </c>
      <c r="F113" s="45">
        <v>8.6599999999999996E-2</v>
      </c>
      <c r="G113" s="45">
        <v>2</v>
      </c>
      <c r="H113" s="45">
        <v>178098957</v>
      </c>
      <c r="I113" s="45" t="s">
        <v>1622</v>
      </c>
      <c r="J113" s="45" t="s">
        <v>327</v>
      </c>
      <c r="K113" s="45" t="s">
        <v>328</v>
      </c>
      <c r="L113" s="46" t="s">
        <v>1268</v>
      </c>
    </row>
    <row r="114" spans="1:12" ht="16.05" customHeight="1">
      <c r="A114" s="45" t="s">
        <v>1425</v>
      </c>
      <c r="B114" s="45" t="s">
        <v>1623</v>
      </c>
      <c r="C114" s="45" t="s">
        <v>324</v>
      </c>
      <c r="D114" s="45">
        <v>2</v>
      </c>
      <c r="E114" s="45" t="s">
        <v>1624</v>
      </c>
      <c r="F114" s="45">
        <v>0.34599999999999997</v>
      </c>
      <c r="G114" s="45">
        <v>9</v>
      </c>
      <c r="H114" s="45">
        <v>21971110</v>
      </c>
      <c r="I114" s="45" t="s">
        <v>1625</v>
      </c>
      <c r="J114" s="45" t="s">
        <v>1275</v>
      </c>
      <c r="K114" s="45" t="s">
        <v>1274</v>
      </c>
      <c r="L114" s="46" t="s">
        <v>1268</v>
      </c>
    </row>
    <row r="115" spans="1:12" ht="16.05" customHeight="1">
      <c r="A115" s="45" t="s">
        <v>1429</v>
      </c>
      <c r="B115" s="45" t="s">
        <v>381</v>
      </c>
      <c r="C115" s="45" t="s">
        <v>324</v>
      </c>
      <c r="D115" s="45">
        <v>10</v>
      </c>
      <c r="E115" s="45" t="s">
        <v>1626</v>
      </c>
      <c r="F115" s="45">
        <v>0.47039999999999998</v>
      </c>
      <c r="G115" s="45">
        <v>17</v>
      </c>
      <c r="H115" s="45">
        <v>7574027</v>
      </c>
      <c r="I115" s="45" t="s">
        <v>1627</v>
      </c>
      <c r="J115" s="45" t="s">
        <v>1274</v>
      </c>
      <c r="K115" s="45" t="s">
        <v>328</v>
      </c>
      <c r="L115" s="46" t="s">
        <v>1268</v>
      </c>
    </row>
    <row r="116" spans="1:12" ht="16.05" customHeight="1">
      <c r="A116" s="45" t="s">
        <v>1429</v>
      </c>
      <c r="B116" s="45" t="s">
        <v>323</v>
      </c>
      <c r="C116" s="45" t="s">
        <v>1350</v>
      </c>
      <c r="D116" s="45">
        <v>19</v>
      </c>
      <c r="E116" s="45" t="s">
        <v>1628</v>
      </c>
      <c r="F116" s="45">
        <v>0.23319999999999999</v>
      </c>
      <c r="G116" s="45">
        <v>7</v>
      </c>
      <c r="H116" s="45">
        <v>55242467</v>
      </c>
      <c r="I116" s="45" t="s">
        <v>1568</v>
      </c>
      <c r="J116" s="45" t="s">
        <v>1629</v>
      </c>
      <c r="K116" s="45" t="s">
        <v>328</v>
      </c>
      <c r="L116" s="46" t="s">
        <v>1280</v>
      </c>
    </row>
    <row r="117" spans="1:12" ht="16.05" customHeight="1">
      <c r="A117" s="45" t="s">
        <v>1387</v>
      </c>
      <c r="B117" s="45" t="s">
        <v>381</v>
      </c>
      <c r="C117" s="45" t="s">
        <v>376</v>
      </c>
      <c r="D117" s="45">
        <v>7</v>
      </c>
      <c r="E117" s="45" t="s">
        <v>1542</v>
      </c>
      <c r="F117" s="45">
        <v>5.5599999999999997E-2</v>
      </c>
      <c r="G117" s="45">
        <v>17</v>
      </c>
      <c r="H117" s="45">
        <v>7577509</v>
      </c>
      <c r="I117" s="45" t="s">
        <v>1540</v>
      </c>
      <c r="J117" s="45" t="s">
        <v>1274</v>
      </c>
      <c r="K117" s="45" t="s">
        <v>328</v>
      </c>
      <c r="L117" s="46" t="s">
        <v>1268</v>
      </c>
    </row>
    <row r="118" spans="1:12" ht="16.05" customHeight="1">
      <c r="A118" s="45" t="s">
        <v>1387</v>
      </c>
      <c r="B118" s="45" t="s">
        <v>381</v>
      </c>
      <c r="C118" s="45" t="s">
        <v>324</v>
      </c>
      <c r="D118" s="45">
        <v>4</v>
      </c>
      <c r="E118" s="45" t="s">
        <v>1543</v>
      </c>
      <c r="F118" s="45">
        <v>5.91E-2</v>
      </c>
      <c r="G118" s="45">
        <v>17</v>
      </c>
      <c r="H118" s="45">
        <v>7579358</v>
      </c>
      <c r="I118" s="45" t="s">
        <v>1544</v>
      </c>
      <c r="J118" s="45" t="s">
        <v>1274</v>
      </c>
      <c r="K118" s="45" t="s">
        <v>328</v>
      </c>
      <c r="L118" s="46" t="s">
        <v>1268</v>
      </c>
    </row>
    <row r="119" spans="1:12" ht="16.05" customHeight="1">
      <c r="A119" s="45" t="s">
        <v>1387</v>
      </c>
      <c r="B119" s="45" t="s">
        <v>1338</v>
      </c>
      <c r="C119" s="45" t="s">
        <v>324</v>
      </c>
      <c r="D119" s="45">
        <v>11</v>
      </c>
      <c r="E119" s="45" t="s">
        <v>1545</v>
      </c>
      <c r="F119" s="45">
        <v>0.14910000000000001</v>
      </c>
      <c r="G119" s="45">
        <v>7</v>
      </c>
      <c r="H119" s="45">
        <v>140481402</v>
      </c>
      <c r="I119" s="45" t="s">
        <v>1546</v>
      </c>
      <c r="J119" s="45" t="s">
        <v>1274</v>
      </c>
      <c r="K119" s="45" t="s">
        <v>327</v>
      </c>
      <c r="L119" s="46" t="s">
        <v>1280</v>
      </c>
    </row>
    <row r="120" spans="1:12" ht="16.05" customHeight="1">
      <c r="A120" s="45" t="s">
        <v>1391</v>
      </c>
      <c r="B120" s="45" t="s">
        <v>1285</v>
      </c>
      <c r="C120" s="45" t="s">
        <v>324</v>
      </c>
      <c r="D120" s="45">
        <v>2</v>
      </c>
      <c r="E120" s="45" t="s">
        <v>1286</v>
      </c>
      <c r="F120" s="45">
        <v>0.80420000000000003</v>
      </c>
      <c r="G120" s="45">
        <v>12</v>
      </c>
      <c r="H120" s="45">
        <v>25398285</v>
      </c>
      <c r="I120" s="45" t="s">
        <v>1289</v>
      </c>
      <c r="J120" s="45" t="s">
        <v>1274</v>
      </c>
      <c r="K120" s="45" t="s">
        <v>328</v>
      </c>
      <c r="L120" s="46" t="s">
        <v>1280</v>
      </c>
    </row>
    <row r="121" spans="1:12" ht="16.05" customHeight="1">
      <c r="A121" s="45" t="s">
        <v>1391</v>
      </c>
      <c r="B121" s="45" t="s">
        <v>1548</v>
      </c>
      <c r="C121" s="45" t="s">
        <v>371</v>
      </c>
      <c r="D121" s="45">
        <v>10</v>
      </c>
      <c r="E121" s="45" t="s">
        <v>1549</v>
      </c>
      <c r="F121" s="45">
        <v>0.84089999999999998</v>
      </c>
      <c r="G121" s="45">
        <v>13</v>
      </c>
      <c r="H121" s="45">
        <v>48941637</v>
      </c>
      <c r="I121" s="45" t="s">
        <v>1540</v>
      </c>
      <c r="J121" s="45" t="s">
        <v>1550</v>
      </c>
      <c r="K121" s="45" t="s">
        <v>328</v>
      </c>
      <c r="L121" s="46" t="s">
        <v>1268</v>
      </c>
    </row>
    <row r="122" spans="1:12" ht="16.05" customHeight="1">
      <c r="A122" s="45" t="s">
        <v>1391</v>
      </c>
      <c r="B122" s="45" t="s">
        <v>381</v>
      </c>
      <c r="C122" s="45" t="s">
        <v>324</v>
      </c>
      <c r="D122" s="45">
        <v>5</v>
      </c>
      <c r="E122" s="45" t="s">
        <v>1551</v>
      </c>
      <c r="F122" s="45">
        <v>0.8327</v>
      </c>
      <c r="G122" s="45">
        <v>17</v>
      </c>
      <c r="H122" s="45">
        <v>7578457</v>
      </c>
      <c r="I122" s="45" t="s">
        <v>1552</v>
      </c>
      <c r="J122" s="45" t="s">
        <v>1274</v>
      </c>
      <c r="K122" s="45" t="s">
        <v>327</v>
      </c>
      <c r="L122" s="46" t="s">
        <v>1268</v>
      </c>
    </row>
    <row r="123" spans="1:12" ht="16.05" customHeight="1">
      <c r="A123" s="45" t="s">
        <v>1433</v>
      </c>
      <c r="B123" s="45" t="s">
        <v>381</v>
      </c>
      <c r="C123" s="45" t="s">
        <v>376</v>
      </c>
      <c r="D123" s="45">
        <v>9</v>
      </c>
      <c r="E123" s="45" t="s">
        <v>1630</v>
      </c>
      <c r="F123" s="45">
        <v>0.53949999999999998</v>
      </c>
      <c r="G123" s="45">
        <v>17</v>
      </c>
      <c r="H123" s="45">
        <v>7576897</v>
      </c>
      <c r="I123" s="45" t="s">
        <v>1540</v>
      </c>
      <c r="J123" s="45" t="s">
        <v>327</v>
      </c>
      <c r="K123" s="45" t="s">
        <v>328</v>
      </c>
      <c r="L123" s="46" t="s">
        <v>1268</v>
      </c>
    </row>
    <row r="124" spans="1:12" ht="16.05" customHeight="1">
      <c r="A124" s="45" t="s">
        <v>1433</v>
      </c>
      <c r="B124" s="45" t="s">
        <v>1631</v>
      </c>
      <c r="C124" s="45" t="s">
        <v>324</v>
      </c>
      <c r="D124" s="45">
        <v>2</v>
      </c>
      <c r="E124" s="45" t="s">
        <v>1632</v>
      </c>
      <c r="F124" s="45">
        <v>2.0400000000000001E-2</v>
      </c>
      <c r="G124" s="45">
        <v>8</v>
      </c>
      <c r="H124" s="45">
        <v>128750683</v>
      </c>
      <c r="I124" s="45" t="s">
        <v>1633</v>
      </c>
      <c r="J124" s="45" t="s">
        <v>1274</v>
      </c>
      <c r="K124" s="45" t="s">
        <v>327</v>
      </c>
      <c r="L124" s="46" t="s">
        <v>1268</v>
      </c>
    </row>
    <row r="125" spans="1:12" ht="16.05" customHeight="1">
      <c r="A125" s="45" t="s">
        <v>1436</v>
      </c>
      <c r="B125" s="45" t="s">
        <v>1634</v>
      </c>
      <c r="C125" s="45" t="s">
        <v>1317</v>
      </c>
      <c r="D125" s="45">
        <v>13</v>
      </c>
      <c r="E125" s="45" t="s">
        <v>1635</v>
      </c>
      <c r="F125" s="45">
        <v>2.4400000000000002E-2</v>
      </c>
      <c r="G125" s="45">
        <v>7</v>
      </c>
      <c r="H125" s="45">
        <v>116411710</v>
      </c>
      <c r="I125" s="45" t="s">
        <v>1636</v>
      </c>
      <c r="J125" s="45" t="s">
        <v>1275</v>
      </c>
      <c r="K125" s="45" t="s">
        <v>327</v>
      </c>
      <c r="L125" s="46" t="s">
        <v>1280</v>
      </c>
    </row>
    <row r="126" spans="1:12" ht="16.05" customHeight="1">
      <c r="A126" s="45" t="s">
        <v>1439</v>
      </c>
      <c r="B126" s="45" t="s">
        <v>323</v>
      </c>
      <c r="C126" s="45" t="s">
        <v>1637</v>
      </c>
      <c r="D126" s="45">
        <v>19</v>
      </c>
      <c r="E126" s="45" t="s">
        <v>1606</v>
      </c>
      <c r="F126" s="45">
        <v>9.9400000000000002E-2</v>
      </c>
      <c r="G126" s="45">
        <v>7</v>
      </c>
      <c r="H126" s="45">
        <v>55242465</v>
      </c>
      <c r="I126" s="45" t="s">
        <v>1568</v>
      </c>
      <c r="J126" s="45" t="s">
        <v>1638</v>
      </c>
      <c r="K126" s="45" t="s">
        <v>327</v>
      </c>
      <c r="L126" s="46" t="s">
        <v>1280</v>
      </c>
    </row>
    <row r="127" spans="1:12" ht="16.05" customHeight="1">
      <c r="A127" s="45" t="s">
        <v>1442</v>
      </c>
      <c r="B127" s="45" t="s">
        <v>1634</v>
      </c>
      <c r="C127" s="45" t="s">
        <v>1317</v>
      </c>
      <c r="D127" s="45">
        <v>13</v>
      </c>
      <c r="E127" s="45" t="s">
        <v>1635</v>
      </c>
      <c r="F127" s="45">
        <v>0.03</v>
      </c>
      <c r="G127" s="45">
        <v>7</v>
      </c>
      <c r="H127" s="45">
        <v>116411710</v>
      </c>
      <c r="I127" s="45" t="s">
        <v>1636</v>
      </c>
      <c r="J127" s="45" t="s">
        <v>1275</v>
      </c>
      <c r="K127" s="45" t="s">
        <v>327</v>
      </c>
      <c r="L127" s="46" t="s">
        <v>1280</v>
      </c>
    </row>
    <row r="128" spans="1:12" ht="16.05" customHeight="1">
      <c r="A128" s="45" t="s">
        <v>1445</v>
      </c>
      <c r="B128" s="45" t="s">
        <v>1634</v>
      </c>
      <c r="C128" s="45" t="s">
        <v>1317</v>
      </c>
      <c r="D128" s="45">
        <v>14</v>
      </c>
      <c r="E128" s="45" t="s">
        <v>1639</v>
      </c>
      <c r="F128" s="45">
        <v>0.19370000000000001</v>
      </c>
      <c r="G128" s="45">
        <v>7</v>
      </c>
      <c r="H128" s="45">
        <v>116412044</v>
      </c>
      <c r="I128" s="45" t="s">
        <v>1640</v>
      </c>
      <c r="J128" s="45" t="s">
        <v>327</v>
      </c>
      <c r="K128" s="45" t="s">
        <v>1275</v>
      </c>
      <c r="L128" s="46" t="s">
        <v>1280</v>
      </c>
    </row>
    <row r="129" spans="1:12" ht="16.05" customHeight="1">
      <c r="A129" s="45" t="s">
        <v>1448</v>
      </c>
      <c r="B129" s="45" t="s">
        <v>323</v>
      </c>
      <c r="C129" s="45" t="s">
        <v>1350</v>
      </c>
      <c r="D129" s="45">
        <v>19</v>
      </c>
      <c r="E129" s="45" t="s">
        <v>1567</v>
      </c>
      <c r="F129" s="45">
        <v>0.1227</v>
      </c>
      <c r="G129" s="45">
        <v>7</v>
      </c>
      <c r="H129" s="45">
        <v>55242469</v>
      </c>
      <c r="I129" s="45" t="s">
        <v>1568</v>
      </c>
      <c r="J129" s="45" t="s">
        <v>1569</v>
      </c>
      <c r="K129" s="45" t="s">
        <v>1275</v>
      </c>
      <c r="L129" s="46" t="s">
        <v>1280</v>
      </c>
    </row>
    <row r="130" spans="1:12" ht="16.05" customHeight="1">
      <c r="A130" s="45" t="s">
        <v>1448</v>
      </c>
      <c r="B130" s="45" t="s">
        <v>381</v>
      </c>
      <c r="C130" s="45" t="s">
        <v>324</v>
      </c>
      <c r="D130" s="45">
        <v>7</v>
      </c>
      <c r="E130" s="45" t="s">
        <v>1641</v>
      </c>
      <c r="F130" s="45">
        <v>0.1086</v>
      </c>
      <c r="G130" s="45">
        <v>17</v>
      </c>
      <c r="H130" s="45">
        <v>7577548</v>
      </c>
      <c r="I130" s="45" t="s">
        <v>1616</v>
      </c>
      <c r="J130" s="45" t="s">
        <v>1274</v>
      </c>
      <c r="K130" s="45" t="s">
        <v>1275</v>
      </c>
      <c r="L130" s="46" t="s">
        <v>1268</v>
      </c>
    </row>
    <row r="131" spans="1:12" ht="16.05" customHeight="1">
      <c r="A131" s="45" t="s">
        <v>1454</v>
      </c>
      <c r="B131" s="45" t="s">
        <v>381</v>
      </c>
      <c r="C131" s="45" t="s">
        <v>376</v>
      </c>
      <c r="D131" s="45">
        <v>7</v>
      </c>
      <c r="E131" s="45" t="s">
        <v>1642</v>
      </c>
      <c r="F131" s="45">
        <v>2.35E-2</v>
      </c>
      <c r="G131" s="45">
        <v>17</v>
      </c>
      <c r="H131" s="45">
        <v>7577555</v>
      </c>
      <c r="I131" s="45" t="s">
        <v>1540</v>
      </c>
      <c r="J131" s="45" t="s">
        <v>327</v>
      </c>
      <c r="K131" s="45" t="s">
        <v>1275</v>
      </c>
      <c r="L131" s="46" t="s">
        <v>1268</v>
      </c>
    </row>
    <row r="132" spans="1:12" ht="16.05" customHeight="1">
      <c r="A132" s="45" t="s">
        <v>1454</v>
      </c>
      <c r="B132" s="45" t="s">
        <v>323</v>
      </c>
      <c r="C132" s="45" t="s">
        <v>1350</v>
      </c>
      <c r="D132" s="45">
        <v>19</v>
      </c>
      <c r="E132" s="45" t="s">
        <v>1606</v>
      </c>
      <c r="F132" s="45">
        <v>5.2699999999999997E-2</v>
      </c>
      <c r="G132" s="45">
        <v>7</v>
      </c>
      <c r="H132" s="45">
        <v>55242464</v>
      </c>
      <c r="I132" s="45" t="s">
        <v>1568</v>
      </c>
      <c r="J132" s="45" t="s">
        <v>1607</v>
      </c>
      <c r="K132" s="45" t="s">
        <v>328</v>
      </c>
      <c r="L132" s="46" t="s">
        <v>1280</v>
      </c>
    </row>
    <row r="133" spans="1:12" ht="16.05" customHeight="1">
      <c r="A133" s="45" t="s">
        <v>1395</v>
      </c>
      <c r="B133" s="45" t="s">
        <v>323</v>
      </c>
      <c r="C133" s="45" t="s">
        <v>324</v>
      </c>
      <c r="D133" s="45">
        <v>21</v>
      </c>
      <c r="E133" s="45" t="s">
        <v>1276</v>
      </c>
      <c r="F133" s="45">
        <v>0.42630000000000001</v>
      </c>
      <c r="G133" s="45">
        <v>7</v>
      </c>
      <c r="H133" s="45">
        <v>55259515</v>
      </c>
      <c r="I133" s="45" t="s">
        <v>1279</v>
      </c>
      <c r="J133" s="45" t="s">
        <v>1275</v>
      </c>
      <c r="K133" s="45" t="s">
        <v>327</v>
      </c>
      <c r="L133" s="46" t="s">
        <v>1280</v>
      </c>
    </row>
    <row r="134" spans="1:12" ht="16.05" customHeight="1">
      <c r="A134" s="45" t="s">
        <v>1457</v>
      </c>
      <c r="B134" s="45" t="s">
        <v>1643</v>
      </c>
      <c r="C134" s="45" t="s">
        <v>376</v>
      </c>
      <c r="D134" s="45">
        <v>6</v>
      </c>
      <c r="E134" s="45" t="s">
        <v>1644</v>
      </c>
      <c r="F134" s="45">
        <v>2.9899999999999999E-2</v>
      </c>
      <c r="G134" s="45">
        <v>18</v>
      </c>
      <c r="H134" s="45">
        <v>48584593</v>
      </c>
      <c r="I134" s="45" t="s">
        <v>1540</v>
      </c>
      <c r="J134" s="45" t="s">
        <v>1274</v>
      </c>
      <c r="K134" s="45" t="s">
        <v>1275</v>
      </c>
      <c r="L134" s="46" t="s">
        <v>1268</v>
      </c>
    </row>
    <row r="135" spans="1:12" ht="16.05" customHeight="1">
      <c r="A135" s="45" t="s">
        <v>1457</v>
      </c>
      <c r="B135" s="45" t="s">
        <v>1298</v>
      </c>
      <c r="C135" s="45" t="s">
        <v>324</v>
      </c>
      <c r="D135" s="45">
        <v>3</v>
      </c>
      <c r="E135" s="45" t="s">
        <v>1645</v>
      </c>
      <c r="F135" s="45">
        <v>2.9600000000000001E-2</v>
      </c>
      <c r="G135" s="45">
        <v>19</v>
      </c>
      <c r="H135" s="45">
        <v>10602767</v>
      </c>
      <c r="I135" s="45" t="s">
        <v>1646</v>
      </c>
      <c r="J135" s="45" t="s">
        <v>1274</v>
      </c>
      <c r="K135" s="45" t="s">
        <v>1275</v>
      </c>
      <c r="L135" s="46" t="s">
        <v>1268</v>
      </c>
    </row>
    <row r="136" spans="1:12" ht="16.05" customHeight="1">
      <c r="A136" s="45" t="s">
        <v>1457</v>
      </c>
      <c r="B136" s="45" t="s">
        <v>1623</v>
      </c>
      <c r="C136" s="45" t="s">
        <v>376</v>
      </c>
      <c r="D136" s="45">
        <v>2</v>
      </c>
      <c r="E136" s="45" t="s">
        <v>1647</v>
      </c>
      <c r="F136" s="45">
        <v>3.4700000000000002E-2</v>
      </c>
      <c r="G136" s="45">
        <v>9</v>
      </c>
      <c r="H136" s="45">
        <v>21971096</v>
      </c>
      <c r="I136" s="45" t="s">
        <v>1540</v>
      </c>
      <c r="J136" s="45" t="s">
        <v>1274</v>
      </c>
      <c r="K136" s="45" t="s">
        <v>328</v>
      </c>
      <c r="L136" s="46" t="s">
        <v>1268</v>
      </c>
    </row>
    <row r="137" spans="1:12" ht="16.05" customHeight="1">
      <c r="A137" s="45" t="s">
        <v>1466</v>
      </c>
      <c r="B137" s="45" t="s">
        <v>381</v>
      </c>
      <c r="C137" s="45" t="s">
        <v>324</v>
      </c>
      <c r="D137" s="45">
        <v>7</v>
      </c>
      <c r="E137" s="45" t="s">
        <v>1615</v>
      </c>
      <c r="F137" s="45">
        <v>0.1792</v>
      </c>
      <c r="G137" s="45">
        <v>17</v>
      </c>
      <c r="H137" s="45">
        <v>7577548</v>
      </c>
      <c r="I137" s="45" t="s">
        <v>1616</v>
      </c>
      <c r="J137" s="45" t="s">
        <v>1274</v>
      </c>
      <c r="K137" s="45" t="s">
        <v>328</v>
      </c>
      <c r="L137" s="46" t="s">
        <v>1268</v>
      </c>
    </row>
    <row r="138" spans="1:12" ht="16.05" customHeight="1">
      <c r="A138" s="45" t="s">
        <v>1466</v>
      </c>
      <c r="B138" s="45" t="s">
        <v>1591</v>
      </c>
      <c r="C138" s="45" t="s">
        <v>324</v>
      </c>
      <c r="D138" s="45">
        <v>2</v>
      </c>
      <c r="E138" s="45" t="s">
        <v>1648</v>
      </c>
      <c r="F138" s="45">
        <v>0.20960000000000001</v>
      </c>
      <c r="G138" s="45">
        <v>2</v>
      </c>
      <c r="H138" s="45">
        <v>178098810</v>
      </c>
      <c r="I138" s="45" t="s">
        <v>1649</v>
      </c>
      <c r="J138" s="45" t="s">
        <v>1274</v>
      </c>
      <c r="K138" s="45" t="s">
        <v>327</v>
      </c>
      <c r="L138" s="46" t="s">
        <v>1268</v>
      </c>
    </row>
    <row r="139" spans="1:12" ht="16.05" customHeight="1">
      <c r="A139" s="45" t="s">
        <v>1398</v>
      </c>
      <c r="B139" s="45" t="s">
        <v>381</v>
      </c>
      <c r="C139" s="45" t="s">
        <v>324</v>
      </c>
      <c r="D139" s="45">
        <v>8</v>
      </c>
      <c r="E139" s="45" t="s">
        <v>1561</v>
      </c>
      <c r="F139" s="45">
        <v>0.85360000000000003</v>
      </c>
      <c r="G139" s="45">
        <v>17</v>
      </c>
      <c r="H139" s="45">
        <v>7577094</v>
      </c>
      <c r="I139" s="45" t="s">
        <v>1562</v>
      </c>
      <c r="J139" s="45" t="s">
        <v>327</v>
      </c>
      <c r="K139" s="45" t="s">
        <v>328</v>
      </c>
      <c r="L139" s="46" t="s">
        <v>1268</v>
      </c>
    </row>
    <row r="140" spans="1:12" ht="16.05" customHeight="1">
      <c r="A140" s="45" t="s">
        <v>1472</v>
      </c>
      <c r="B140" s="45" t="s">
        <v>1269</v>
      </c>
      <c r="C140" s="45" t="s">
        <v>324</v>
      </c>
      <c r="D140" s="45">
        <v>3</v>
      </c>
      <c r="E140" s="45" t="s">
        <v>1650</v>
      </c>
      <c r="F140" s="45">
        <v>7.2800000000000004E-2</v>
      </c>
      <c r="G140" s="45">
        <v>3</v>
      </c>
      <c r="H140" s="45">
        <v>41266113</v>
      </c>
      <c r="I140" s="45" t="s">
        <v>1273</v>
      </c>
      <c r="J140" s="45" t="s">
        <v>1274</v>
      </c>
      <c r="K140" s="45" t="s">
        <v>328</v>
      </c>
      <c r="L140" s="46" t="s">
        <v>1268</v>
      </c>
    </row>
    <row r="141" spans="1:12" ht="16.05" customHeight="1">
      <c r="A141" s="45" t="s">
        <v>1472</v>
      </c>
      <c r="B141" s="45" t="s">
        <v>323</v>
      </c>
      <c r="C141" s="45" t="s">
        <v>324</v>
      </c>
      <c r="D141" s="45">
        <v>21</v>
      </c>
      <c r="E141" s="45" t="s">
        <v>1276</v>
      </c>
      <c r="F141" s="45">
        <v>0.25390000000000001</v>
      </c>
      <c r="G141" s="45">
        <v>7</v>
      </c>
      <c r="H141" s="45">
        <v>55259515</v>
      </c>
      <c r="I141" s="45" t="s">
        <v>1279</v>
      </c>
      <c r="J141" s="45" t="s">
        <v>1275</v>
      </c>
      <c r="K141" s="45" t="s">
        <v>327</v>
      </c>
      <c r="L141" s="46" t="s">
        <v>1280</v>
      </c>
    </row>
    <row r="142" spans="1:12" ht="16.05" customHeight="1">
      <c r="A142" s="45" t="s">
        <v>1475</v>
      </c>
      <c r="B142" s="45" t="s">
        <v>1285</v>
      </c>
      <c r="C142" s="45" t="s">
        <v>324</v>
      </c>
      <c r="D142" s="45">
        <v>2</v>
      </c>
      <c r="E142" s="45" t="s">
        <v>1536</v>
      </c>
      <c r="F142" s="45">
        <v>0.23469999999999999</v>
      </c>
      <c r="G142" s="45">
        <v>12</v>
      </c>
      <c r="H142" s="45">
        <v>25398284</v>
      </c>
      <c r="I142" s="45" t="s">
        <v>1289</v>
      </c>
      <c r="J142" s="45" t="s">
        <v>1274</v>
      </c>
      <c r="K142" s="45" t="s">
        <v>1275</v>
      </c>
      <c r="L142" s="46" t="s">
        <v>1280</v>
      </c>
    </row>
    <row r="143" spans="1:12" ht="16.05" customHeight="1">
      <c r="A143" s="45" t="s">
        <v>1478</v>
      </c>
      <c r="B143" s="45" t="s">
        <v>323</v>
      </c>
      <c r="C143" s="45" t="s">
        <v>1350</v>
      </c>
      <c r="D143" s="45">
        <v>19</v>
      </c>
      <c r="E143" s="45" t="s">
        <v>1606</v>
      </c>
      <c r="F143" s="45">
        <v>0.37380000000000002</v>
      </c>
      <c r="G143" s="45">
        <v>7</v>
      </c>
      <c r="H143" s="45">
        <v>55242464</v>
      </c>
      <c r="I143" s="45" t="s">
        <v>1568</v>
      </c>
      <c r="J143" s="45" t="s">
        <v>1607</v>
      </c>
      <c r="K143" s="45" t="s">
        <v>328</v>
      </c>
      <c r="L143" s="46" t="s">
        <v>1280</v>
      </c>
    </row>
    <row r="144" spans="1:12" ht="16.05" customHeight="1">
      <c r="A144" s="49" t="s">
        <v>1481</v>
      </c>
      <c r="B144" s="49" t="s">
        <v>323</v>
      </c>
      <c r="C144" s="49" t="s">
        <v>324</v>
      </c>
      <c r="D144" s="49">
        <v>21</v>
      </c>
      <c r="E144" s="49" t="s">
        <v>1276</v>
      </c>
      <c r="F144" s="49">
        <v>8.6999999999999994E-2</v>
      </c>
      <c r="G144" s="49">
        <v>7</v>
      </c>
      <c r="H144" s="49">
        <v>55259515</v>
      </c>
      <c r="I144" s="49" t="s">
        <v>1279</v>
      </c>
      <c r="J144" s="49" t="s">
        <v>1275</v>
      </c>
      <c r="K144" s="49" t="s">
        <v>327</v>
      </c>
      <c r="L144" s="50" t="s">
        <v>1268</v>
      </c>
    </row>
    <row r="146" spans="1:17" ht="16.05" customHeight="1">
      <c r="A146" s="100" t="s">
        <v>2043</v>
      </c>
      <c r="G146" s="47"/>
    </row>
    <row r="147" spans="1:17" ht="25.95" customHeight="1">
      <c r="A147" s="25" t="s">
        <v>1651</v>
      </c>
      <c r="B147" s="26" t="s">
        <v>1359</v>
      </c>
      <c r="C147" s="26" t="s">
        <v>1678</v>
      </c>
      <c r="D147" s="26" t="s">
        <v>1679</v>
      </c>
      <c r="E147" s="26" t="s">
        <v>1360</v>
      </c>
      <c r="F147" s="26" t="s">
        <v>1361</v>
      </c>
      <c r="G147" s="26" t="s">
        <v>1652</v>
      </c>
      <c r="H147" s="26" t="s">
        <v>1653</v>
      </c>
      <c r="I147" s="26" t="s">
        <v>1654</v>
      </c>
      <c r="J147" s="27" t="s">
        <v>1365</v>
      </c>
      <c r="Q147" s="154"/>
    </row>
    <row r="148" spans="1:17" ht="16.05" customHeight="1">
      <c r="A148" s="125" t="s">
        <v>1655</v>
      </c>
      <c r="B148" s="99">
        <v>54503524</v>
      </c>
      <c r="C148" s="99">
        <v>31618391</v>
      </c>
      <c r="D148" s="99">
        <v>4736223</v>
      </c>
      <c r="E148" s="99">
        <v>0.58199999999999996</v>
      </c>
      <c r="F148" s="99">
        <v>24819</v>
      </c>
      <c r="G148" s="99">
        <v>14383</v>
      </c>
      <c r="H148" s="99">
        <v>3717</v>
      </c>
      <c r="I148" s="99">
        <v>2195</v>
      </c>
      <c r="J148" s="66" t="s">
        <v>1366</v>
      </c>
      <c r="Q148" s="154"/>
    </row>
    <row r="149" spans="1:17" ht="16.05" customHeight="1">
      <c r="A149" s="125" t="s">
        <v>1378</v>
      </c>
      <c r="B149" s="99">
        <v>35215332</v>
      </c>
      <c r="C149" s="99">
        <v>19061271</v>
      </c>
      <c r="D149" s="99">
        <v>4023888</v>
      </c>
      <c r="E149" s="99">
        <v>0.54200000000000004</v>
      </c>
      <c r="F149" s="99">
        <v>13821</v>
      </c>
      <c r="G149" s="99">
        <v>11287</v>
      </c>
      <c r="H149" s="99">
        <v>2884</v>
      </c>
      <c r="I149" s="99">
        <v>2755</v>
      </c>
      <c r="J149" s="66" t="s">
        <v>1656</v>
      </c>
      <c r="Q149" s="154"/>
    </row>
    <row r="150" spans="1:17" ht="16.05" customHeight="1">
      <c r="A150" s="125" t="s">
        <v>1657</v>
      </c>
      <c r="B150" s="99">
        <v>40839610</v>
      </c>
      <c r="C150" s="99">
        <v>28828813</v>
      </c>
      <c r="D150" s="99">
        <v>8797699</v>
      </c>
      <c r="E150" s="99">
        <v>0.69799999999999995</v>
      </c>
      <c r="F150" s="99">
        <v>22523</v>
      </c>
      <c r="G150" s="99">
        <v>14471</v>
      </c>
      <c r="H150" s="99">
        <v>6873</v>
      </c>
      <c r="I150" s="99">
        <v>4806</v>
      </c>
      <c r="J150" s="66" t="s">
        <v>1366</v>
      </c>
      <c r="Q150" s="154"/>
    </row>
    <row r="151" spans="1:17" ht="16.05" customHeight="1">
      <c r="A151" s="125" t="s">
        <v>1382</v>
      </c>
      <c r="B151" s="99">
        <v>40557310</v>
      </c>
      <c r="C151" s="99">
        <v>28101064</v>
      </c>
      <c r="D151" s="99">
        <v>12154191</v>
      </c>
      <c r="E151" s="99">
        <v>0.69299999999999995</v>
      </c>
      <c r="F151" s="99">
        <v>21272</v>
      </c>
      <c r="G151" s="99">
        <v>15457</v>
      </c>
      <c r="H151" s="99">
        <v>9169</v>
      </c>
      <c r="I151" s="99">
        <v>6894</v>
      </c>
      <c r="J151" s="66" t="s">
        <v>1656</v>
      </c>
      <c r="Q151" s="154"/>
    </row>
    <row r="152" spans="1:17" ht="16.05" customHeight="1">
      <c r="A152" s="125" t="s">
        <v>1380</v>
      </c>
      <c r="B152" s="99">
        <v>2105606</v>
      </c>
      <c r="C152" s="99">
        <v>1303980</v>
      </c>
      <c r="D152" s="99">
        <v>584247</v>
      </c>
      <c r="E152" s="99">
        <v>0.61099999999999999</v>
      </c>
      <c r="F152" s="99">
        <v>841</v>
      </c>
      <c r="G152" s="99">
        <v>626</v>
      </c>
      <c r="H152" s="99">
        <v>376</v>
      </c>
      <c r="I152" s="99">
        <v>295</v>
      </c>
      <c r="J152" s="66" t="s">
        <v>1658</v>
      </c>
      <c r="Q152" s="154"/>
    </row>
    <row r="153" spans="1:17" ht="16.05" customHeight="1">
      <c r="A153" s="125" t="s">
        <v>1535</v>
      </c>
      <c r="B153" s="99">
        <v>53559608</v>
      </c>
      <c r="C153" s="99">
        <v>36646589</v>
      </c>
      <c r="D153" s="99">
        <v>9851835</v>
      </c>
      <c r="E153" s="99">
        <v>0.67700000000000005</v>
      </c>
      <c r="F153" s="99">
        <v>28549</v>
      </c>
      <c r="G153" s="99">
        <v>18560</v>
      </c>
      <c r="H153" s="99">
        <v>7675</v>
      </c>
      <c r="I153" s="99">
        <v>5379</v>
      </c>
      <c r="J153" s="66" t="s">
        <v>1366</v>
      </c>
      <c r="Q153" s="154"/>
    </row>
    <row r="154" spans="1:17" ht="16.05" customHeight="1">
      <c r="A154" s="125" t="s">
        <v>1384</v>
      </c>
      <c r="B154" s="99">
        <v>1895412</v>
      </c>
      <c r="C154" s="99">
        <v>1260541</v>
      </c>
      <c r="D154" s="99">
        <v>633586</v>
      </c>
      <c r="E154" s="99">
        <v>0.65700000000000003</v>
      </c>
      <c r="F154" s="99">
        <v>939</v>
      </c>
      <c r="G154" s="99">
        <v>694</v>
      </c>
      <c r="H154" s="99">
        <v>471</v>
      </c>
      <c r="I154" s="99">
        <v>354</v>
      </c>
      <c r="J154" s="66" t="s">
        <v>1658</v>
      </c>
      <c r="Q154" s="154"/>
    </row>
    <row r="155" spans="1:17" ht="16.05" customHeight="1">
      <c r="A155" s="125" t="s">
        <v>1537</v>
      </c>
      <c r="B155" s="99">
        <v>104750500</v>
      </c>
      <c r="C155" s="99">
        <v>64357174</v>
      </c>
      <c r="D155" s="99">
        <v>14708361</v>
      </c>
      <c r="E155" s="99">
        <v>0.61699999999999999</v>
      </c>
      <c r="F155" s="99">
        <v>41688</v>
      </c>
      <c r="G155" s="99">
        <v>29106</v>
      </c>
      <c r="H155" s="99">
        <v>9527</v>
      </c>
      <c r="I155" s="99">
        <v>7861</v>
      </c>
      <c r="J155" s="66" t="s">
        <v>1366</v>
      </c>
      <c r="Q155" s="154"/>
    </row>
    <row r="156" spans="1:17" ht="16.05" customHeight="1">
      <c r="A156" s="125" t="s">
        <v>1389</v>
      </c>
      <c r="B156" s="99">
        <v>25363396</v>
      </c>
      <c r="C156" s="99">
        <v>15148108</v>
      </c>
      <c r="D156" s="99">
        <v>9041152</v>
      </c>
      <c r="E156" s="99">
        <v>0.59799999999999998</v>
      </c>
      <c r="F156" s="99">
        <v>9581</v>
      </c>
      <c r="G156" s="99">
        <v>7799</v>
      </c>
      <c r="H156" s="99">
        <v>5699</v>
      </c>
      <c r="I156" s="99">
        <v>4894</v>
      </c>
      <c r="J156" s="66" t="s">
        <v>1656</v>
      </c>
      <c r="Q156" s="154"/>
    </row>
    <row r="157" spans="1:17" ht="16.05" customHeight="1">
      <c r="A157" s="125" t="s">
        <v>1387</v>
      </c>
      <c r="B157" s="99">
        <v>2569782</v>
      </c>
      <c r="C157" s="99">
        <v>1831016</v>
      </c>
      <c r="D157" s="99">
        <v>862406</v>
      </c>
      <c r="E157" s="99">
        <v>0.70299999999999996</v>
      </c>
      <c r="F157" s="99">
        <v>1103</v>
      </c>
      <c r="G157" s="99">
        <v>757</v>
      </c>
      <c r="H157" s="99">
        <v>519</v>
      </c>
      <c r="I157" s="99">
        <v>366</v>
      </c>
      <c r="J157" s="66" t="s">
        <v>1658</v>
      </c>
      <c r="Q157" s="154"/>
    </row>
    <row r="158" spans="1:17" ht="16.05" customHeight="1">
      <c r="A158" s="125" t="s">
        <v>1547</v>
      </c>
      <c r="B158" s="99">
        <v>106622284</v>
      </c>
      <c r="C158" s="99">
        <v>77589130</v>
      </c>
      <c r="D158" s="99">
        <v>15410913</v>
      </c>
      <c r="E158" s="99">
        <v>0.73</v>
      </c>
      <c r="F158" s="99">
        <v>50032</v>
      </c>
      <c r="G158" s="99">
        <v>33624</v>
      </c>
      <c r="H158" s="99">
        <v>9937</v>
      </c>
      <c r="I158" s="99">
        <v>7818</v>
      </c>
      <c r="J158" s="66" t="s">
        <v>1366</v>
      </c>
      <c r="Q158" s="154"/>
    </row>
    <row r="159" spans="1:17" ht="16.05" customHeight="1">
      <c r="A159" s="125" t="s">
        <v>1393</v>
      </c>
      <c r="B159" s="99">
        <v>31209622</v>
      </c>
      <c r="C159" s="99">
        <v>12961325</v>
      </c>
      <c r="D159" s="99">
        <v>7567313</v>
      </c>
      <c r="E159" s="99">
        <v>0.41599999999999998</v>
      </c>
      <c r="F159" s="99">
        <v>8037</v>
      </c>
      <c r="G159" s="99">
        <v>6638</v>
      </c>
      <c r="H159" s="99">
        <v>4650</v>
      </c>
      <c r="I159" s="99">
        <v>4073</v>
      </c>
      <c r="J159" s="66" t="s">
        <v>1656</v>
      </c>
      <c r="Q159" s="154"/>
    </row>
    <row r="160" spans="1:17" ht="16.05" customHeight="1">
      <c r="A160" s="125" t="s">
        <v>1391</v>
      </c>
      <c r="B160" s="99">
        <v>2442618</v>
      </c>
      <c r="C160" s="99">
        <v>1733337</v>
      </c>
      <c r="D160" s="99">
        <v>780926</v>
      </c>
      <c r="E160" s="99">
        <v>0.7</v>
      </c>
      <c r="F160" s="99">
        <v>1014</v>
      </c>
      <c r="G160" s="99">
        <v>711</v>
      </c>
      <c r="H160" s="99">
        <v>456</v>
      </c>
      <c r="I160" s="99">
        <v>329</v>
      </c>
      <c r="J160" s="66" t="s">
        <v>1658</v>
      </c>
      <c r="Q160" s="154"/>
    </row>
    <row r="161" spans="1:17" ht="16.05" customHeight="1">
      <c r="A161" s="125" t="s">
        <v>1395</v>
      </c>
      <c r="B161" s="99">
        <v>3189788</v>
      </c>
      <c r="C161" s="99">
        <v>2010033</v>
      </c>
      <c r="D161" s="99">
        <v>960983</v>
      </c>
      <c r="E161" s="99">
        <v>0.623</v>
      </c>
      <c r="F161" s="99">
        <v>1177</v>
      </c>
      <c r="G161" s="99">
        <v>827</v>
      </c>
      <c r="H161" s="99">
        <v>562</v>
      </c>
      <c r="I161" s="99">
        <v>407</v>
      </c>
      <c r="J161" s="66" t="s">
        <v>1658</v>
      </c>
      <c r="Q161" s="154"/>
    </row>
    <row r="162" spans="1:17" ht="16.05" customHeight="1">
      <c r="A162" s="125" t="s">
        <v>1659</v>
      </c>
      <c r="B162" s="99">
        <v>54716934</v>
      </c>
      <c r="C162" s="99">
        <v>31548051</v>
      </c>
      <c r="D162" s="99">
        <v>5546789</v>
      </c>
      <c r="E162" s="99">
        <v>0.57699999999999996</v>
      </c>
      <c r="F162" s="99">
        <v>24870</v>
      </c>
      <c r="G162" s="99">
        <v>14407</v>
      </c>
      <c r="H162" s="99">
        <v>4372</v>
      </c>
      <c r="I162" s="99">
        <v>2618</v>
      </c>
      <c r="J162" s="66" t="s">
        <v>1366</v>
      </c>
      <c r="Q162" s="154"/>
    </row>
    <row r="163" spans="1:17" ht="16.05" customHeight="1">
      <c r="A163" s="125" t="s">
        <v>1403</v>
      </c>
      <c r="B163" s="99">
        <v>40583380</v>
      </c>
      <c r="C163" s="99">
        <v>21567084</v>
      </c>
      <c r="D163" s="99">
        <v>5132016</v>
      </c>
      <c r="E163" s="99">
        <v>0.53200000000000003</v>
      </c>
      <c r="F163" s="99">
        <v>15403</v>
      </c>
      <c r="G163" s="99">
        <v>12588</v>
      </c>
      <c r="H163" s="99">
        <v>3663</v>
      </c>
      <c r="I163" s="99">
        <v>3398</v>
      </c>
      <c r="J163" s="66" t="s">
        <v>1656</v>
      </c>
      <c r="Q163" s="154"/>
    </row>
    <row r="164" spans="1:17" ht="16.05" customHeight="1">
      <c r="A164" s="125" t="s">
        <v>1660</v>
      </c>
      <c r="B164" s="99">
        <v>48683772</v>
      </c>
      <c r="C164" s="99">
        <v>29688327</v>
      </c>
      <c r="D164" s="99">
        <v>5530161</v>
      </c>
      <c r="E164" s="99">
        <v>0.61</v>
      </c>
      <c r="F164" s="99">
        <v>23429</v>
      </c>
      <c r="G164" s="99">
        <v>13848</v>
      </c>
      <c r="H164" s="99">
        <v>4364</v>
      </c>
      <c r="I164" s="99">
        <v>2683</v>
      </c>
      <c r="J164" s="66" t="s">
        <v>1366</v>
      </c>
      <c r="Q164" s="154"/>
    </row>
    <row r="165" spans="1:17" ht="16.05" customHeight="1">
      <c r="A165" s="125" t="s">
        <v>1407</v>
      </c>
      <c r="B165" s="99">
        <v>35478136</v>
      </c>
      <c r="C165" s="99">
        <v>19331667</v>
      </c>
      <c r="D165" s="99">
        <v>2123956</v>
      </c>
      <c r="E165" s="99">
        <v>0.54500000000000004</v>
      </c>
      <c r="F165" s="99">
        <v>13502</v>
      </c>
      <c r="G165" s="99">
        <v>11648</v>
      </c>
      <c r="H165" s="99">
        <v>1462</v>
      </c>
      <c r="I165" s="99">
        <v>1590</v>
      </c>
      <c r="J165" s="66" t="s">
        <v>1656</v>
      </c>
      <c r="Q165" s="154"/>
    </row>
    <row r="166" spans="1:17" ht="16.05" customHeight="1">
      <c r="A166" s="125" t="s">
        <v>1661</v>
      </c>
      <c r="B166" s="99">
        <v>50366480</v>
      </c>
      <c r="C166" s="99">
        <v>30311618</v>
      </c>
      <c r="D166" s="99">
        <v>5132460</v>
      </c>
      <c r="E166" s="99">
        <v>0.60199999999999998</v>
      </c>
      <c r="F166" s="99">
        <v>23832</v>
      </c>
      <c r="G166" s="99">
        <v>13960</v>
      </c>
      <c r="H166" s="99">
        <v>4035</v>
      </c>
      <c r="I166" s="99">
        <v>2533</v>
      </c>
      <c r="J166" s="66" t="s">
        <v>1366</v>
      </c>
      <c r="Q166" s="154"/>
    </row>
    <row r="167" spans="1:17" ht="16.05" customHeight="1">
      <c r="A167" s="125" t="s">
        <v>1411</v>
      </c>
      <c r="B167" s="99">
        <v>43025690</v>
      </c>
      <c r="C167" s="99">
        <v>26828481</v>
      </c>
      <c r="D167" s="99">
        <v>6671052</v>
      </c>
      <c r="E167" s="99">
        <v>0.624</v>
      </c>
      <c r="F167" s="99">
        <v>19775</v>
      </c>
      <c r="G167" s="99">
        <v>14981</v>
      </c>
      <c r="H167" s="99">
        <v>4829</v>
      </c>
      <c r="I167" s="99">
        <v>4231</v>
      </c>
      <c r="J167" s="66" t="s">
        <v>1656</v>
      </c>
      <c r="Q167" s="154"/>
    </row>
    <row r="168" spans="1:17" ht="16.05" customHeight="1">
      <c r="A168" s="125" t="s">
        <v>1662</v>
      </c>
      <c r="B168" s="99">
        <v>56181550</v>
      </c>
      <c r="C168" s="99">
        <v>36052742</v>
      </c>
      <c r="D168" s="99">
        <v>6265915</v>
      </c>
      <c r="E168" s="99">
        <v>0.64100000000000001</v>
      </c>
      <c r="F168" s="99">
        <v>28303</v>
      </c>
      <c r="G168" s="99">
        <v>16243</v>
      </c>
      <c r="H168" s="99">
        <v>4919</v>
      </c>
      <c r="I168" s="99">
        <v>2986</v>
      </c>
      <c r="J168" s="66" t="s">
        <v>1366</v>
      </c>
      <c r="Q168" s="154"/>
    </row>
    <row r="169" spans="1:17" ht="16.05" customHeight="1">
      <c r="A169" s="125" t="s">
        <v>1415</v>
      </c>
      <c r="B169" s="99">
        <v>39516144</v>
      </c>
      <c r="C169" s="99">
        <v>24159309</v>
      </c>
      <c r="D169" s="99">
        <v>5363084</v>
      </c>
      <c r="E169" s="99">
        <v>0.61199999999999999</v>
      </c>
      <c r="F169" s="99">
        <v>17803</v>
      </c>
      <c r="G169" s="99">
        <v>14259</v>
      </c>
      <c r="H169" s="99">
        <v>3859</v>
      </c>
      <c r="I169" s="99">
        <v>3672</v>
      </c>
      <c r="J169" s="66" t="s">
        <v>1656</v>
      </c>
      <c r="Q169" s="154"/>
    </row>
    <row r="170" spans="1:17" ht="16.05" customHeight="1">
      <c r="A170" s="125" t="s">
        <v>1663</v>
      </c>
      <c r="B170" s="99">
        <v>58378804</v>
      </c>
      <c r="C170" s="99">
        <v>41362971</v>
      </c>
      <c r="D170" s="99">
        <v>9924971</v>
      </c>
      <c r="E170" s="99">
        <v>0.70099999999999996</v>
      </c>
      <c r="F170" s="99">
        <v>32408</v>
      </c>
      <c r="G170" s="99">
        <v>20617</v>
      </c>
      <c r="H170" s="99">
        <v>7776</v>
      </c>
      <c r="I170" s="99">
        <v>5281</v>
      </c>
      <c r="J170" s="66" t="s">
        <v>1366</v>
      </c>
      <c r="Q170" s="154"/>
    </row>
    <row r="171" spans="1:17" ht="16.05" customHeight="1">
      <c r="A171" s="125" t="s">
        <v>1419</v>
      </c>
      <c r="B171" s="99">
        <v>54695436</v>
      </c>
      <c r="C171" s="99">
        <v>37052244</v>
      </c>
      <c r="D171" s="99">
        <v>12474137</v>
      </c>
      <c r="E171" s="99">
        <v>0.67800000000000005</v>
      </c>
      <c r="F171" s="99">
        <v>27333</v>
      </c>
      <c r="G171" s="99">
        <v>20107</v>
      </c>
      <c r="H171" s="99">
        <v>9052</v>
      </c>
      <c r="I171" s="99">
        <v>6980</v>
      </c>
      <c r="J171" s="66" t="s">
        <v>1656</v>
      </c>
      <c r="Q171" s="154"/>
    </row>
    <row r="172" spans="1:17" ht="16.05" customHeight="1">
      <c r="A172" s="125" t="s">
        <v>1417</v>
      </c>
      <c r="B172" s="99">
        <v>2111396</v>
      </c>
      <c r="C172" s="99">
        <v>1445170</v>
      </c>
      <c r="D172" s="99">
        <v>613540</v>
      </c>
      <c r="E172" s="99">
        <v>0.67600000000000005</v>
      </c>
      <c r="F172" s="99">
        <v>948</v>
      </c>
      <c r="G172" s="99">
        <v>677</v>
      </c>
      <c r="H172" s="99">
        <v>402</v>
      </c>
      <c r="I172" s="99">
        <v>301</v>
      </c>
      <c r="J172" s="66" t="s">
        <v>1658</v>
      </c>
      <c r="Q172" s="154"/>
    </row>
    <row r="173" spans="1:17" ht="16.05" customHeight="1">
      <c r="A173" s="125" t="s">
        <v>1664</v>
      </c>
      <c r="B173" s="99">
        <v>49554238</v>
      </c>
      <c r="C173" s="99">
        <v>34377792</v>
      </c>
      <c r="D173" s="99">
        <v>9387739</v>
      </c>
      <c r="E173" s="99">
        <v>0.68600000000000005</v>
      </c>
      <c r="F173" s="99">
        <v>27348</v>
      </c>
      <c r="G173" s="99">
        <v>16235</v>
      </c>
      <c r="H173" s="99">
        <v>7468</v>
      </c>
      <c r="I173" s="99">
        <v>4630</v>
      </c>
      <c r="J173" s="66" t="s">
        <v>1366</v>
      </c>
      <c r="Q173" s="154"/>
    </row>
    <row r="174" spans="1:17" ht="16.05" customHeight="1">
      <c r="A174" s="125" t="s">
        <v>1423</v>
      </c>
      <c r="B174" s="99">
        <v>48648232</v>
      </c>
      <c r="C174" s="99">
        <v>30029913</v>
      </c>
      <c r="D174" s="99">
        <v>11506898</v>
      </c>
      <c r="E174" s="99">
        <v>0.61699999999999999</v>
      </c>
      <c r="F174" s="99">
        <v>24496</v>
      </c>
      <c r="G174" s="99">
        <v>17356</v>
      </c>
      <c r="H174" s="99">
        <v>9393</v>
      </c>
      <c r="I174" s="99">
        <v>6830</v>
      </c>
      <c r="J174" s="66" t="s">
        <v>1656</v>
      </c>
      <c r="Q174" s="154"/>
    </row>
    <row r="175" spans="1:17" ht="16.05" customHeight="1">
      <c r="A175" s="125" t="s">
        <v>1421</v>
      </c>
      <c r="B175" s="99">
        <v>2063740</v>
      </c>
      <c r="C175" s="99">
        <v>1501618</v>
      </c>
      <c r="D175" s="99">
        <v>725059</v>
      </c>
      <c r="E175" s="99">
        <v>0.71799999999999997</v>
      </c>
      <c r="F175" s="99">
        <v>1068</v>
      </c>
      <c r="G175" s="99">
        <v>812</v>
      </c>
      <c r="H175" s="99">
        <v>515</v>
      </c>
      <c r="I175" s="99">
        <v>401</v>
      </c>
      <c r="J175" s="66" t="s">
        <v>1658</v>
      </c>
      <c r="Q175" s="154"/>
    </row>
    <row r="176" spans="1:17" ht="16.05" customHeight="1">
      <c r="A176" s="125" t="s">
        <v>1665</v>
      </c>
      <c r="B176" s="99">
        <v>59766474</v>
      </c>
      <c r="C176" s="99">
        <v>42357608</v>
      </c>
      <c r="D176" s="99">
        <v>10835787</v>
      </c>
      <c r="E176" s="99">
        <v>0.7</v>
      </c>
      <c r="F176" s="99">
        <v>27646</v>
      </c>
      <c r="G176" s="99">
        <v>17806</v>
      </c>
      <c r="H176" s="99">
        <v>7072</v>
      </c>
      <c r="I176" s="99">
        <v>4965</v>
      </c>
      <c r="J176" s="66" t="s">
        <v>1366</v>
      </c>
      <c r="Q176" s="154"/>
    </row>
    <row r="177" spans="1:17" ht="16.05" customHeight="1">
      <c r="A177" s="125" t="s">
        <v>1427</v>
      </c>
      <c r="B177" s="99">
        <v>66542366</v>
      </c>
      <c r="C177" s="99">
        <v>45571091</v>
      </c>
      <c r="D177" s="99">
        <v>15149718</v>
      </c>
      <c r="E177" s="99">
        <v>0.68500000000000005</v>
      </c>
      <c r="F177" s="99">
        <v>28024</v>
      </c>
      <c r="G177" s="99">
        <v>20872</v>
      </c>
      <c r="H177" s="99">
        <v>9042</v>
      </c>
      <c r="I177" s="99">
        <v>7031</v>
      </c>
      <c r="J177" s="66" t="s">
        <v>1656</v>
      </c>
      <c r="Q177" s="154"/>
    </row>
    <row r="178" spans="1:17" ht="16.05" customHeight="1">
      <c r="A178" s="125" t="s">
        <v>1425</v>
      </c>
      <c r="B178" s="99">
        <v>1688136</v>
      </c>
      <c r="C178" s="99">
        <v>1154705</v>
      </c>
      <c r="D178" s="99">
        <v>596275</v>
      </c>
      <c r="E178" s="99">
        <v>0.67600000000000005</v>
      </c>
      <c r="F178" s="99">
        <v>830</v>
      </c>
      <c r="G178" s="99">
        <v>597</v>
      </c>
      <c r="H178" s="99">
        <v>428</v>
      </c>
      <c r="I178" s="99">
        <v>315</v>
      </c>
      <c r="J178" s="66" t="s">
        <v>1658</v>
      </c>
      <c r="Q178" s="154"/>
    </row>
    <row r="179" spans="1:17" ht="16.05" customHeight="1">
      <c r="A179" s="125" t="s">
        <v>1666</v>
      </c>
      <c r="B179" s="99">
        <v>91599086</v>
      </c>
      <c r="C179" s="99">
        <v>65990984</v>
      </c>
      <c r="D179" s="99">
        <v>14984017</v>
      </c>
      <c r="E179" s="99">
        <v>0.71899999999999997</v>
      </c>
      <c r="F179" s="99">
        <v>42334</v>
      </c>
      <c r="G179" s="99">
        <v>29872</v>
      </c>
      <c r="H179" s="99">
        <v>9612</v>
      </c>
      <c r="I179" s="99">
        <v>7819</v>
      </c>
      <c r="J179" s="66" t="s">
        <v>1366</v>
      </c>
      <c r="Q179" s="154"/>
    </row>
    <row r="180" spans="1:17" ht="16.05" customHeight="1">
      <c r="A180" s="125" t="s">
        <v>1431</v>
      </c>
      <c r="B180" s="99">
        <v>31216308</v>
      </c>
      <c r="C180" s="99">
        <v>19028613</v>
      </c>
      <c r="D180" s="99">
        <v>9653300</v>
      </c>
      <c r="E180" s="99">
        <v>0.61</v>
      </c>
      <c r="F180" s="99">
        <v>11800</v>
      </c>
      <c r="G180" s="99">
        <v>9492</v>
      </c>
      <c r="H180" s="99">
        <v>5965</v>
      </c>
      <c r="I180" s="99">
        <v>5089</v>
      </c>
      <c r="J180" s="66" t="s">
        <v>1656</v>
      </c>
      <c r="Q180" s="154"/>
    </row>
    <row r="181" spans="1:17" ht="16.05" customHeight="1">
      <c r="A181" s="125" t="s">
        <v>1429</v>
      </c>
      <c r="B181" s="99">
        <v>2566190</v>
      </c>
      <c r="C181" s="99">
        <v>1806882</v>
      </c>
      <c r="D181" s="99">
        <v>819200</v>
      </c>
      <c r="E181" s="99">
        <v>0.69499999999999995</v>
      </c>
      <c r="F181" s="99">
        <v>1045</v>
      </c>
      <c r="G181" s="99">
        <v>696</v>
      </c>
      <c r="H181" s="99">
        <v>473</v>
      </c>
      <c r="I181" s="99">
        <v>332</v>
      </c>
      <c r="J181" s="66" t="s">
        <v>1658</v>
      </c>
      <c r="Q181" s="154"/>
    </row>
    <row r="182" spans="1:17" ht="16.05" customHeight="1">
      <c r="A182" s="125" t="s">
        <v>1436</v>
      </c>
      <c r="B182" s="99">
        <v>3044696</v>
      </c>
      <c r="C182" s="99">
        <v>1723794</v>
      </c>
      <c r="D182" s="99">
        <v>985158</v>
      </c>
      <c r="E182" s="99">
        <v>0.56100000000000005</v>
      </c>
      <c r="F182" s="99">
        <v>743</v>
      </c>
      <c r="G182" s="99">
        <v>748</v>
      </c>
      <c r="H182" s="99">
        <v>424</v>
      </c>
      <c r="I182" s="99">
        <v>450</v>
      </c>
      <c r="J182" s="66" t="s">
        <v>1658</v>
      </c>
      <c r="Q182" s="154"/>
    </row>
    <row r="183" spans="1:17" ht="16.05" customHeight="1">
      <c r="A183" s="125" t="s">
        <v>1439</v>
      </c>
      <c r="B183" s="99">
        <v>2988182</v>
      </c>
      <c r="C183" s="99">
        <v>1695390</v>
      </c>
      <c r="D183" s="99">
        <v>987570</v>
      </c>
      <c r="E183" s="99">
        <v>0.56499999999999995</v>
      </c>
      <c r="F183" s="99">
        <v>729</v>
      </c>
      <c r="G183" s="99">
        <v>728</v>
      </c>
      <c r="H183" s="99">
        <v>424</v>
      </c>
      <c r="I183" s="99">
        <v>442</v>
      </c>
      <c r="J183" s="66" t="s">
        <v>1658</v>
      </c>
      <c r="Q183" s="154"/>
    </row>
    <row r="184" spans="1:17" ht="16.05" customHeight="1">
      <c r="A184" s="125" t="s">
        <v>1442</v>
      </c>
      <c r="B184" s="99">
        <v>2763856</v>
      </c>
      <c r="C184" s="99">
        <v>1872969</v>
      </c>
      <c r="D184" s="99">
        <v>1077397</v>
      </c>
      <c r="E184" s="99">
        <v>0.67200000000000004</v>
      </c>
      <c r="F184" s="99">
        <v>850</v>
      </c>
      <c r="G184" s="99">
        <v>802</v>
      </c>
      <c r="H184" s="99">
        <v>488</v>
      </c>
      <c r="I184" s="99">
        <v>487</v>
      </c>
      <c r="J184" s="66" t="s">
        <v>1658</v>
      </c>
      <c r="Q184" s="154"/>
    </row>
    <row r="185" spans="1:17" ht="16.05" customHeight="1">
      <c r="A185" s="125" t="s">
        <v>1445</v>
      </c>
      <c r="B185" s="99">
        <v>2427750</v>
      </c>
      <c r="C185" s="99">
        <v>1569903</v>
      </c>
      <c r="D185" s="99">
        <v>844142</v>
      </c>
      <c r="E185" s="99">
        <v>0.64200000000000002</v>
      </c>
      <c r="F185" s="99">
        <v>716</v>
      </c>
      <c r="G185" s="99">
        <v>660</v>
      </c>
      <c r="H185" s="99">
        <v>384</v>
      </c>
      <c r="I185" s="99">
        <v>365</v>
      </c>
      <c r="J185" s="66" t="s">
        <v>1658</v>
      </c>
      <c r="Q185" s="154"/>
    </row>
    <row r="186" spans="1:17" ht="16.05" customHeight="1">
      <c r="A186" s="125" t="s">
        <v>1448</v>
      </c>
      <c r="B186" s="99">
        <v>3364520</v>
      </c>
      <c r="C186" s="99">
        <v>2311011</v>
      </c>
      <c r="D186" s="99">
        <v>988801</v>
      </c>
      <c r="E186" s="99">
        <v>0.67900000000000005</v>
      </c>
      <c r="F186" s="99">
        <v>1386</v>
      </c>
      <c r="G186" s="99">
        <v>964</v>
      </c>
      <c r="H186" s="99">
        <v>593</v>
      </c>
      <c r="I186" s="99">
        <v>421</v>
      </c>
      <c r="J186" s="66" t="s">
        <v>1658</v>
      </c>
      <c r="Q186" s="154"/>
    </row>
    <row r="187" spans="1:17" ht="16.05" customHeight="1">
      <c r="A187" s="125" t="s">
        <v>1451</v>
      </c>
      <c r="B187" s="99">
        <v>2711658</v>
      </c>
      <c r="C187" s="99">
        <v>1588542</v>
      </c>
      <c r="D187" s="99">
        <v>722172</v>
      </c>
      <c r="E187" s="99">
        <v>0.57799999999999996</v>
      </c>
      <c r="F187" s="99">
        <v>972</v>
      </c>
      <c r="G187" s="99">
        <v>700</v>
      </c>
      <c r="H187" s="99">
        <v>441</v>
      </c>
      <c r="I187" s="99">
        <v>330</v>
      </c>
      <c r="J187" s="66" t="s">
        <v>1658</v>
      </c>
      <c r="Q187" s="154"/>
    </row>
    <row r="188" spans="1:17" ht="16.05" customHeight="1">
      <c r="A188" s="125" t="s">
        <v>1454</v>
      </c>
      <c r="B188" s="99">
        <v>2747822</v>
      </c>
      <c r="C188" s="99">
        <v>1989084</v>
      </c>
      <c r="D188" s="99">
        <v>871205</v>
      </c>
      <c r="E188" s="99">
        <v>0.71299999999999997</v>
      </c>
      <c r="F188" s="99">
        <v>1212</v>
      </c>
      <c r="G188" s="99">
        <v>873</v>
      </c>
      <c r="H188" s="99">
        <v>530</v>
      </c>
      <c r="I188" s="99">
        <v>391</v>
      </c>
      <c r="J188" s="66" t="s">
        <v>1658</v>
      </c>
      <c r="Q188" s="154"/>
    </row>
    <row r="189" spans="1:17" ht="16.05" customHeight="1">
      <c r="A189" s="125" t="s">
        <v>1457</v>
      </c>
      <c r="B189" s="99">
        <v>3344914</v>
      </c>
      <c r="C189" s="99">
        <v>2397514</v>
      </c>
      <c r="D189" s="99">
        <v>968221</v>
      </c>
      <c r="E189" s="99">
        <v>0.70799999999999996</v>
      </c>
      <c r="F189" s="99">
        <v>1439</v>
      </c>
      <c r="G189" s="99">
        <v>974</v>
      </c>
      <c r="H189" s="99">
        <v>581</v>
      </c>
      <c r="I189" s="99">
        <v>394</v>
      </c>
      <c r="J189" s="66" t="s">
        <v>1658</v>
      </c>
      <c r="Q189" s="154"/>
    </row>
    <row r="190" spans="1:17" ht="16.05" customHeight="1">
      <c r="A190" s="125" t="s">
        <v>1460</v>
      </c>
      <c r="B190" s="99">
        <v>2808444</v>
      </c>
      <c r="C190" s="99">
        <v>1820273</v>
      </c>
      <c r="D190" s="99">
        <v>786523</v>
      </c>
      <c r="E190" s="99">
        <v>0.63900000000000001</v>
      </c>
      <c r="F190" s="99">
        <v>1118</v>
      </c>
      <c r="G190" s="99">
        <v>800</v>
      </c>
      <c r="H190" s="99">
        <v>483</v>
      </c>
      <c r="I190" s="99">
        <v>355</v>
      </c>
      <c r="J190" s="66" t="s">
        <v>1658</v>
      </c>
      <c r="Q190" s="154"/>
    </row>
    <row r="191" spans="1:17" ht="16.05" customHeight="1">
      <c r="A191" s="125" t="s">
        <v>1463</v>
      </c>
      <c r="B191" s="99">
        <v>2256408</v>
      </c>
      <c r="C191" s="99">
        <v>1494532</v>
      </c>
      <c r="D191" s="99">
        <v>714779</v>
      </c>
      <c r="E191" s="99">
        <v>0.65400000000000003</v>
      </c>
      <c r="F191" s="99">
        <v>853</v>
      </c>
      <c r="G191" s="99">
        <v>616</v>
      </c>
      <c r="H191" s="99">
        <v>407</v>
      </c>
      <c r="I191" s="99">
        <v>297</v>
      </c>
      <c r="J191" s="66" t="s">
        <v>1658</v>
      </c>
      <c r="Q191" s="154"/>
    </row>
    <row r="192" spans="1:17" ht="16.05" customHeight="1">
      <c r="A192" s="125" t="s">
        <v>1475</v>
      </c>
      <c r="B192" s="99">
        <v>4520842</v>
      </c>
      <c r="C192" s="99">
        <v>3664340</v>
      </c>
      <c r="D192" s="99">
        <v>2764149</v>
      </c>
      <c r="E192" s="99">
        <v>0.80100000000000005</v>
      </c>
      <c r="F192" s="99">
        <v>1743</v>
      </c>
      <c r="G192" s="99">
        <v>1359</v>
      </c>
      <c r="H192" s="99">
        <v>1311</v>
      </c>
      <c r="I192" s="99">
        <v>1045</v>
      </c>
      <c r="J192" s="66" t="s">
        <v>1658</v>
      </c>
      <c r="Q192" s="154"/>
    </row>
    <row r="193" spans="1:17" ht="16.05" customHeight="1">
      <c r="A193" s="125" t="s">
        <v>1478</v>
      </c>
      <c r="B193" s="99">
        <v>4134704</v>
      </c>
      <c r="C193" s="99">
        <v>2880316</v>
      </c>
      <c r="D193" s="99">
        <v>2269835</v>
      </c>
      <c r="E193" s="99">
        <v>0.68799999999999994</v>
      </c>
      <c r="F193" s="99">
        <v>1331</v>
      </c>
      <c r="G193" s="99">
        <v>1131</v>
      </c>
      <c r="H193" s="99">
        <v>1039</v>
      </c>
      <c r="I193" s="99">
        <v>895</v>
      </c>
      <c r="J193" s="66" t="s">
        <v>1658</v>
      </c>
      <c r="Q193" s="154"/>
    </row>
    <row r="194" spans="1:17" ht="16.05" customHeight="1">
      <c r="A194" s="125" t="s">
        <v>1481</v>
      </c>
      <c r="B194" s="99">
        <v>3146184</v>
      </c>
      <c r="C194" s="99">
        <v>2011489</v>
      </c>
      <c r="D194" s="99">
        <v>1768084</v>
      </c>
      <c r="E194" s="99">
        <v>0.63100000000000001</v>
      </c>
      <c r="F194" s="99">
        <v>1218</v>
      </c>
      <c r="G194" s="99">
        <v>1084</v>
      </c>
      <c r="H194" s="99">
        <v>1070</v>
      </c>
      <c r="I194" s="99">
        <v>950</v>
      </c>
      <c r="J194" s="66" t="s">
        <v>1667</v>
      </c>
      <c r="Q194" s="154"/>
    </row>
    <row r="195" spans="1:17" ht="16.05" customHeight="1">
      <c r="A195" s="125" t="s">
        <v>1553</v>
      </c>
      <c r="B195" s="99">
        <v>154899694</v>
      </c>
      <c r="C195" s="99">
        <v>116367607</v>
      </c>
      <c r="D195" s="99">
        <v>12972270</v>
      </c>
      <c r="E195" s="99">
        <v>0.74199999999999999</v>
      </c>
      <c r="F195" s="99">
        <v>56151</v>
      </c>
      <c r="G195" s="99">
        <v>42321</v>
      </c>
      <c r="H195" s="99">
        <v>5923</v>
      </c>
      <c r="I195" s="99">
        <v>4842</v>
      </c>
      <c r="J195" s="66" t="s">
        <v>1366</v>
      </c>
      <c r="Q195" s="154"/>
    </row>
    <row r="196" spans="1:17" ht="16.05" customHeight="1">
      <c r="A196" s="125" t="s">
        <v>1556</v>
      </c>
      <c r="B196" s="99">
        <v>144516458</v>
      </c>
      <c r="C196" s="99">
        <v>103316682</v>
      </c>
      <c r="D196" s="99">
        <v>12087450</v>
      </c>
      <c r="E196" s="99">
        <v>0.70699999999999996</v>
      </c>
      <c r="F196" s="99">
        <v>49740</v>
      </c>
      <c r="G196" s="99">
        <v>36603</v>
      </c>
      <c r="H196" s="99">
        <v>5503</v>
      </c>
      <c r="I196" s="99">
        <v>4418</v>
      </c>
      <c r="J196" s="66" t="s">
        <v>1366</v>
      </c>
      <c r="Q196" s="154"/>
    </row>
    <row r="197" spans="1:17" ht="16.05" customHeight="1">
      <c r="A197" s="125" t="s">
        <v>1484</v>
      </c>
      <c r="B197" s="99">
        <v>141843362</v>
      </c>
      <c r="C197" s="99">
        <v>110383571</v>
      </c>
      <c r="D197" s="99">
        <v>5071564</v>
      </c>
      <c r="E197" s="99">
        <v>0.77800000000000002</v>
      </c>
      <c r="F197" s="99">
        <v>53436</v>
      </c>
      <c r="G197" s="99">
        <v>41826</v>
      </c>
      <c r="H197" s="99">
        <v>2316</v>
      </c>
      <c r="I197" s="99">
        <v>2160</v>
      </c>
      <c r="J197" s="66" t="s">
        <v>1366</v>
      </c>
      <c r="Q197" s="154"/>
    </row>
    <row r="198" spans="1:17" ht="16.05" customHeight="1">
      <c r="A198" s="125" t="s">
        <v>1487</v>
      </c>
      <c r="B198" s="99">
        <v>154073028</v>
      </c>
      <c r="C198" s="99">
        <v>121986302</v>
      </c>
      <c r="D198" s="99">
        <v>4358198</v>
      </c>
      <c r="E198" s="99">
        <v>0.79200000000000004</v>
      </c>
      <c r="F198" s="99">
        <v>59254</v>
      </c>
      <c r="G198" s="99">
        <v>46433</v>
      </c>
      <c r="H198" s="99">
        <v>2010</v>
      </c>
      <c r="I198" s="99">
        <v>1809</v>
      </c>
      <c r="J198" s="66" t="s">
        <v>1366</v>
      </c>
      <c r="Q198" s="154"/>
    </row>
    <row r="199" spans="1:17" ht="16.05" customHeight="1">
      <c r="A199" s="125" t="s">
        <v>1489</v>
      </c>
      <c r="B199" s="99">
        <v>147457164</v>
      </c>
      <c r="C199" s="99">
        <v>115595732</v>
      </c>
      <c r="D199" s="99">
        <v>5601394</v>
      </c>
      <c r="E199" s="99">
        <v>0.78400000000000003</v>
      </c>
      <c r="F199" s="99">
        <v>56226</v>
      </c>
      <c r="G199" s="99">
        <v>43425</v>
      </c>
      <c r="H199" s="99">
        <v>2605</v>
      </c>
      <c r="I199" s="99">
        <v>2295</v>
      </c>
      <c r="J199" s="66" t="s">
        <v>1366</v>
      </c>
      <c r="Q199" s="154"/>
    </row>
    <row r="200" spans="1:17" ht="16.05" customHeight="1">
      <c r="A200" s="125" t="s">
        <v>1491</v>
      </c>
      <c r="B200" s="99">
        <v>127700034</v>
      </c>
      <c r="C200" s="99">
        <v>96969854</v>
      </c>
      <c r="D200" s="99">
        <v>3537549</v>
      </c>
      <c r="E200" s="99">
        <v>0.76</v>
      </c>
      <c r="F200" s="99">
        <v>46705</v>
      </c>
      <c r="G200" s="99">
        <v>38908</v>
      </c>
      <c r="H200" s="99">
        <v>1588</v>
      </c>
      <c r="I200" s="99">
        <v>1599</v>
      </c>
      <c r="J200" s="66" t="s">
        <v>1366</v>
      </c>
      <c r="Q200" s="154"/>
    </row>
    <row r="201" spans="1:17" ht="16.05" customHeight="1">
      <c r="A201" s="125" t="s">
        <v>1493</v>
      </c>
      <c r="B201" s="99">
        <v>145542882</v>
      </c>
      <c r="C201" s="99">
        <v>115189964</v>
      </c>
      <c r="D201" s="99">
        <v>7863785</v>
      </c>
      <c r="E201" s="99">
        <v>0.79200000000000004</v>
      </c>
      <c r="F201" s="99">
        <v>55696</v>
      </c>
      <c r="G201" s="99">
        <v>42386</v>
      </c>
      <c r="H201" s="99">
        <v>3700</v>
      </c>
      <c r="I201" s="99">
        <v>3167</v>
      </c>
      <c r="J201" s="66" t="s">
        <v>1366</v>
      </c>
      <c r="Q201" s="154"/>
    </row>
    <row r="202" spans="1:17" ht="16.05" customHeight="1">
      <c r="A202" s="125" t="s">
        <v>1495</v>
      </c>
      <c r="B202" s="99">
        <v>171770608</v>
      </c>
      <c r="C202" s="99">
        <v>136621219</v>
      </c>
      <c r="D202" s="99">
        <v>7754956</v>
      </c>
      <c r="E202" s="99">
        <v>0.79600000000000004</v>
      </c>
      <c r="F202" s="99">
        <v>66957</v>
      </c>
      <c r="G202" s="99">
        <v>50214</v>
      </c>
      <c r="H202" s="99">
        <v>3634</v>
      </c>
      <c r="I202" s="99">
        <v>3051</v>
      </c>
      <c r="J202" s="66" t="s">
        <v>1366</v>
      </c>
      <c r="Q202" s="154"/>
    </row>
    <row r="203" spans="1:17" ht="16.05" customHeight="1">
      <c r="A203" s="125" t="s">
        <v>1497</v>
      </c>
      <c r="B203" s="99">
        <v>141289132</v>
      </c>
      <c r="C203" s="99">
        <v>111134664</v>
      </c>
      <c r="D203" s="99">
        <v>4916115</v>
      </c>
      <c r="E203" s="99">
        <v>0.78700000000000003</v>
      </c>
      <c r="F203" s="99">
        <v>53840</v>
      </c>
      <c r="G203" s="99">
        <v>42706</v>
      </c>
      <c r="H203" s="99">
        <v>2279</v>
      </c>
      <c r="I203" s="99">
        <v>2110</v>
      </c>
      <c r="J203" s="66" t="s">
        <v>1366</v>
      </c>
      <c r="Q203" s="154"/>
    </row>
    <row r="204" spans="1:17" ht="16.05" customHeight="1">
      <c r="A204" s="125" t="s">
        <v>1499</v>
      </c>
      <c r="B204" s="99">
        <v>148184996</v>
      </c>
      <c r="C204" s="99">
        <v>116892291</v>
      </c>
      <c r="D204" s="99">
        <v>5476298</v>
      </c>
      <c r="E204" s="99">
        <v>0.78900000000000003</v>
      </c>
      <c r="F204" s="99">
        <v>56581</v>
      </c>
      <c r="G204" s="99">
        <v>44696</v>
      </c>
      <c r="H204" s="99">
        <v>2544</v>
      </c>
      <c r="I204" s="99">
        <v>2307</v>
      </c>
      <c r="J204" s="66" t="s">
        <v>1366</v>
      </c>
      <c r="Q204" s="154"/>
    </row>
    <row r="205" spans="1:17" ht="16.05" customHeight="1">
      <c r="A205" s="125" t="s">
        <v>1501</v>
      </c>
      <c r="B205" s="99">
        <v>150976994</v>
      </c>
      <c r="C205" s="99">
        <v>121577887</v>
      </c>
      <c r="D205" s="99">
        <v>8576562</v>
      </c>
      <c r="E205" s="99">
        <v>0.80500000000000005</v>
      </c>
      <c r="F205" s="99">
        <v>59816</v>
      </c>
      <c r="G205" s="99">
        <v>43515</v>
      </c>
      <c r="H205" s="99">
        <v>4038</v>
      </c>
      <c r="I205" s="99">
        <v>3249</v>
      </c>
      <c r="J205" s="66" t="s">
        <v>1366</v>
      </c>
      <c r="Q205" s="154"/>
    </row>
    <row r="206" spans="1:17" ht="16.05" customHeight="1">
      <c r="A206" s="125" t="s">
        <v>1503</v>
      </c>
      <c r="B206" s="99">
        <v>169943726</v>
      </c>
      <c r="C206" s="99">
        <v>136177311</v>
      </c>
      <c r="D206" s="99">
        <v>6637043</v>
      </c>
      <c r="E206" s="99">
        <v>0.80200000000000005</v>
      </c>
      <c r="F206" s="99">
        <v>66732</v>
      </c>
      <c r="G206" s="99">
        <v>48596</v>
      </c>
      <c r="H206" s="99">
        <v>3108</v>
      </c>
      <c r="I206" s="99">
        <v>2604</v>
      </c>
      <c r="J206" s="66" t="s">
        <v>1366</v>
      </c>
      <c r="Q206" s="154"/>
    </row>
    <row r="207" spans="1:17" ht="16.05" customHeight="1">
      <c r="A207" s="125" t="s">
        <v>1505</v>
      </c>
      <c r="B207" s="99">
        <v>144861472</v>
      </c>
      <c r="C207" s="99">
        <v>113603685</v>
      </c>
      <c r="D207" s="99">
        <v>4820980</v>
      </c>
      <c r="E207" s="99">
        <v>0.78400000000000003</v>
      </c>
      <c r="F207" s="99">
        <v>54943</v>
      </c>
      <c r="G207" s="99">
        <v>43968</v>
      </c>
      <c r="H207" s="99">
        <v>2212</v>
      </c>
      <c r="I207" s="99">
        <v>2049</v>
      </c>
      <c r="J207" s="66" t="s">
        <v>1366</v>
      </c>
      <c r="Q207" s="154"/>
    </row>
    <row r="208" spans="1:17" ht="16.05" customHeight="1">
      <c r="A208" s="125" t="s">
        <v>1507</v>
      </c>
      <c r="B208" s="99">
        <v>161184290</v>
      </c>
      <c r="C208" s="99">
        <v>131783475</v>
      </c>
      <c r="D208" s="99">
        <v>8653547</v>
      </c>
      <c r="E208" s="99">
        <v>0.81799999999999995</v>
      </c>
      <c r="F208" s="99">
        <v>64422</v>
      </c>
      <c r="G208" s="99">
        <v>45591</v>
      </c>
      <c r="H208" s="99">
        <v>4056</v>
      </c>
      <c r="I208" s="99">
        <v>3160</v>
      </c>
      <c r="J208" s="66" t="s">
        <v>1366</v>
      </c>
      <c r="Q208" s="154"/>
    </row>
    <row r="209" spans="1:17" ht="16.05" customHeight="1">
      <c r="A209" s="125" t="s">
        <v>1509</v>
      </c>
      <c r="B209" s="99">
        <v>138779644</v>
      </c>
      <c r="C209" s="99">
        <v>112016518</v>
      </c>
      <c r="D209" s="99">
        <v>4975288</v>
      </c>
      <c r="E209" s="99">
        <v>0.80700000000000005</v>
      </c>
      <c r="F209" s="99">
        <v>54160</v>
      </c>
      <c r="G209" s="99">
        <v>38874</v>
      </c>
      <c r="H209" s="99">
        <v>2311</v>
      </c>
      <c r="I209" s="99">
        <v>1913</v>
      </c>
      <c r="J209" s="66" t="s">
        <v>1366</v>
      </c>
      <c r="Q209" s="154"/>
    </row>
    <row r="210" spans="1:17" ht="16.05" customHeight="1">
      <c r="A210" s="125" t="s">
        <v>1511</v>
      </c>
      <c r="B210" s="99">
        <v>153463854</v>
      </c>
      <c r="C210" s="99">
        <v>123485671</v>
      </c>
      <c r="D210" s="99">
        <v>6549924</v>
      </c>
      <c r="E210" s="99">
        <v>0.80500000000000005</v>
      </c>
      <c r="F210" s="99">
        <v>59784</v>
      </c>
      <c r="G210" s="99">
        <v>44487</v>
      </c>
      <c r="H210" s="99">
        <v>3082</v>
      </c>
      <c r="I210" s="99">
        <v>2601</v>
      </c>
      <c r="J210" s="66" t="s">
        <v>1366</v>
      </c>
      <c r="Q210" s="154"/>
    </row>
    <row r="211" spans="1:17" ht="16.05" customHeight="1">
      <c r="A211" s="125" t="s">
        <v>1513</v>
      </c>
      <c r="B211" s="99">
        <v>123666654</v>
      </c>
      <c r="C211" s="99">
        <v>99004836</v>
      </c>
      <c r="D211" s="99">
        <v>4789492</v>
      </c>
      <c r="E211" s="99">
        <v>0.80100000000000005</v>
      </c>
      <c r="F211" s="99">
        <v>47935</v>
      </c>
      <c r="G211" s="99">
        <v>36096</v>
      </c>
      <c r="H211" s="99">
        <v>2210</v>
      </c>
      <c r="I211" s="99">
        <v>1902</v>
      </c>
      <c r="J211" s="66" t="s">
        <v>1366</v>
      </c>
      <c r="Q211" s="154"/>
    </row>
    <row r="212" spans="1:17" ht="16.05" customHeight="1">
      <c r="A212" s="125" t="s">
        <v>1515</v>
      </c>
      <c r="B212" s="99">
        <v>139690216</v>
      </c>
      <c r="C212" s="99">
        <v>107341743</v>
      </c>
      <c r="D212" s="99">
        <v>5108072</v>
      </c>
      <c r="E212" s="99">
        <v>0.76900000000000002</v>
      </c>
      <c r="F212" s="99">
        <v>51694</v>
      </c>
      <c r="G212" s="99">
        <v>43165</v>
      </c>
      <c r="H212" s="99">
        <v>2354</v>
      </c>
      <c r="I212" s="99">
        <v>2250</v>
      </c>
      <c r="J212" s="66" t="s">
        <v>1366</v>
      </c>
      <c r="Q212" s="154"/>
    </row>
    <row r="213" spans="1:17" ht="16.05" customHeight="1">
      <c r="A213" s="125" t="s">
        <v>1517</v>
      </c>
      <c r="B213" s="99">
        <v>174231510</v>
      </c>
      <c r="C213" s="99">
        <v>137054970</v>
      </c>
      <c r="D213" s="99">
        <v>4866306</v>
      </c>
      <c r="E213" s="99">
        <v>0.78700000000000003</v>
      </c>
      <c r="F213" s="99">
        <v>66739</v>
      </c>
      <c r="G213" s="99">
        <v>52061</v>
      </c>
      <c r="H213" s="99">
        <v>2224</v>
      </c>
      <c r="I213" s="99">
        <v>2040</v>
      </c>
      <c r="J213" s="66" t="s">
        <v>1366</v>
      </c>
      <c r="Q213" s="154"/>
    </row>
    <row r="214" spans="1:17" ht="16.05" customHeight="1">
      <c r="A214" s="125" t="s">
        <v>1519</v>
      </c>
      <c r="B214" s="99">
        <v>160742576</v>
      </c>
      <c r="C214" s="99">
        <v>128811345</v>
      </c>
      <c r="D214" s="99">
        <v>6972556</v>
      </c>
      <c r="E214" s="99">
        <v>0.80200000000000005</v>
      </c>
      <c r="F214" s="99">
        <v>62015</v>
      </c>
      <c r="G214" s="99">
        <v>47340</v>
      </c>
      <c r="H214" s="99">
        <v>3263</v>
      </c>
      <c r="I214" s="99">
        <v>2792</v>
      </c>
      <c r="J214" s="66" t="s">
        <v>1366</v>
      </c>
      <c r="Q214" s="154"/>
    </row>
    <row r="215" spans="1:17" ht="16.05" customHeight="1">
      <c r="A215" s="125" t="s">
        <v>1521</v>
      </c>
      <c r="B215" s="99">
        <v>145381976</v>
      </c>
      <c r="C215" s="99">
        <v>118568372</v>
      </c>
      <c r="D215" s="99">
        <v>7828818</v>
      </c>
      <c r="E215" s="99">
        <v>0.81599999999999995</v>
      </c>
      <c r="F215" s="99">
        <v>57758</v>
      </c>
      <c r="G215" s="99">
        <v>41287</v>
      </c>
      <c r="H215" s="99">
        <v>3695</v>
      </c>
      <c r="I215" s="99">
        <v>2924</v>
      </c>
      <c r="J215" s="66" t="s">
        <v>1366</v>
      </c>
      <c r="Q215" s="154"/>
    </row>
    <row r="216" spans="1:17" ht="16.05" customHeight="1">
      <c r="A216" s="125" t="s">
        <v>1523</v>
      </c>
      <c r="B216" s="99">
        <v>146893672</v>
      </c>
      <c r="C216" s="99">
        <v>120396834</v>
      </c>
      <c r="D216" s="99">
        <v>6905772</v>
      </c>
      <c r="E216" s="99">
        <v>0.82</v>
      </c>
      <c r="F216" s="99">
        <v>58769</v>
      </c>
      <c r="G216" s="99">
        <v>41464</v>
      </c>
      <c r="H216" s="99">
        <v>3256</v>
      </c>
      <c r="I216" s="99">
        <v>2553</v>
      </c>
      <c r="J216" s="66" t="s">
        <v>1366</v>
      </c>
      <c r="Q216" s="154"/>
    </row>
    <row r="217" spans="1:17" ht="16.05" customHeight="1">
      <c r="A217" s="125" t="s">
        <v>1525</v>
      </c>
      <c r="B217" s="99">
        <v>158960504</v>
      </c>
      <c r="C217" s="99">
        <v>128394635</v>
      </c>
      <c r="D217" s="99">
        <v>8523456</v>
      </c>
      <c r="E217" s="99">
        <v>0.80800000000000005</v>
      </c>
      <c r="F217" s="99">
        <v>62993</v>
      </c>
      <c r="G217" s="99">
        <v>46835</v>
      </c>
      <c r="H217" s="99">
        <v>4012</v>
      </c>
      <c r="I217" s="99">
        <v>3328</v>
      </c>
      <c r="J217" s="66" t="s">
        <v>1366</v>
      </c>
      <c r="Q217" s="154"/>
    </row>
    <row r="218" spans="1:17" ht="16.05" customHeight="1">
      <c r="A218" s="125" t="s">
        <v>1668</v>
      </c>
      <c r="B218" s="99">
        <v>88101334</v>
      </c>
      <c r="C218" s="99">
        <v>62112579</v>
      </c>
      <c r="D218" s="99">
        <v>13092755</v>
      </c>
      <c r="E218" s="99">
        <v>0.69599999999999995</v>
      </c>
      <c r="F218" s="99">
        <v>40401</v>
      </c>
      <c r="G218" s="99">
        <v>27865</v>
      </c>
      <c r="H218" s="99">
        <v>8516</v>
      </c>
      <c r="I218" s="99">
        <v>6275</v>
      </c>
      <c r="J218" s="66" t="s">
        <v>1366</v>
      </c>
      <c r="Q218" s="154"/>
    </row>
    <row r="219" spans="1:17" ht="16.05" customHeight="1">
      <c r="A219" s="125" t="s">
        <v>1560</v>
      </c>
      <c r="B219" s="99">
        <v>84299044</v>
      </c>
      <c r="C219" s="99">
        <v>56973672</v>
      </c>
      <c r="D219" s="99">
        <v>12496298</v>
      </c>
      <c r="E219" s="99">
        <v>0.66500000000000004</v>
      </c>
      <c r="F219" s="99">
        <v>37254</v>
      </c>
      <c r="G219" s="99">
        <v>26003</v>
      </c>
      <c r="H219" s="99">
        <v>8171</v>
      </c>
      <c r="I219" s="99">
        <v>5985</v>
      </c>
      <c r="J219" s="66" t="s">
        <v>1366</v>
      </c>
      <c r="Q219" s="154"/>
    </row>
    <row r="220" spans="1:17" ht="16.05" customHeight="1">
      <c r="A220" s="125" t="s">
        <v>1398</v>
      </c>
      <c r="B220" s="99">
        <v>29357766</v>
      </c>
      <c r="C220" s="99">
        <v>17260880</v>
      </c>
      <c r="D220" s="99">
        <v>7441460</v>
      </c>
      <c r="E220" s="99">
        <v>0.57899999999999996</v>
      </c>
      <c r="F220" s="99">
        <v>10206</v>
      </c>
      <c r="G220" s="99">
        <v>9691</v>
      </c>
      <c r="H220" s="99">
        <v>4399</v>
      </c>
      <c r="I220" s="99">
        <v>4180</v>
      </c>
      <c r="J220" s="66" t="s">
        <v>1658</v>
      </c>
      <c r="Q220" s="154"/>
    </row>
    <row r="221" spans="1:17" ht="16.05" customHeight="1">
      <c r="A221" s="125" t="s">
        <v>1669</v>
      </c>
      <c r="B221" s="99">
        <v>73003912</v>
      </c>
      <c r="C221" s="99">
        <v>46829133</v>
      </c>
      <c r="D221" s="99">
        <v>10586095</v>
      </c>
      <c r="E221" s="99">
        <v>0.63100000000000001</v>
      </c>
      <c r="F221" s="99">
        <v>30326</v>
      </c>
      <c r="G221" s="99">
        <v>21580</v>
      </c>
      <c r="H221" s="99">
        <v>6855</v>
      </c>
      <c r="I221" s="99">
        <v>5216</v>
      </c>
      <c r="J221" s="66" t="s">
        <v>1366</v>
      </c>
      <c r="Q221" s="154"/>
    </row>
    <row r="222" spans="1:17" ht="16.05" customHeight="1">
      <c r="A222" s="125" t="s">
        <v>1433</v>
      </c>
      <c r="B222" s="99">
        <v>30195864</v>
      </c>
      <c r="C222" s="99">
        <v>12479366</v>
      </c>
      <c r="D222" s="99">
        <v>6212986</v>
      </c>
      <c r="E222" s="99">
        <v>0.40899999999999997</v>
      </c>
      <c r="F222" s="99">
        <v>7099</v>
      </c>
      <c r="G222" s="99">
        <v>6464</v>
      </c>
      <c r="H222" s="99">
        <v>3534</v>
      </c>
      <c r="I222" s="99">
        <v>3126</v>
      </c>
      <c r="J222" s="66" t="s">
        <v>1658</v>
      </c>
      <c r="Q222" s="154"/>
    </row>
    <row r="223" spans="1:17" ht="16.05" customHeight="1">
      <c r="A223" s="125" t="s">
        <v>1670</v>
      </c>
      <c r="B223" s="99">
        <v>87030692</v>
      </c>
      <c r="C223" s="99">
        <v>53287396</v>
      </c>
      <c r="D223" s="99">
        <v>13374041</v>
      </c>
      <c r="E223" s="99">
        <v>0.60499999999999998</v>
      </c>
      <c r="F223" s="99">
        <v>34077</v>
      </c>
      <c r="G223" s="99">
        <v>23438</v>
      </c>
      <c r="H223" s="99">
        <v>8552</v>
      </c>
      <c r="I223" s="99">
        <v>6468</v>
      </c>
      <c r="J223" s="66" t="s">
        <v>1366</v>
      </c>
      <c r="Q223" s="154"/>
    </row>
    <row r="224" spans="1:17" ht="16.05" customHeight="1">
      <c r="A224" s="125" t="s">
        <v>1563</v>
      </c>
      <c r="B224" s="99">
        <v>77869048</v>
      </c>
      <c r="C224" s="99">
        <v>50268255</v>
      </c>
      <c r="D224" s="99">
        <v>13091831</v>
      </c>
      <c r="E224" s="99">
        <v>0.63500000000000001</v>
      </c>
      <c r="F224" s="99">
        <v>32142</v>
      </c>
      <c r="G224" s="99">
        <v>23525</v>
      </c>
      <c r="H224" s="99">
        <v>8371</v>
      </c>
      <c r="I224" s="99">
        <v>6653</v>
      </c>
      <c r="J224" s="66" t="s">
        <v>1366</v>
      </c>
      <c r="Q224" s="154"/>
    </row>
    <row r="225" spans="1:17" ht="16.05" customHeight="1">
      <c r="A225" s="125" t="s">
        <v>1564</v>
      </c>
      <c r="B225" s="99">
        <v>95406910</v>
      </c>
      <c r="C225" s="99">
        <v>66174456</v>
      </c>
      <c r="D225" s="99">
        <v>14765803</v>
      </c>
      <c r="E225" s="99">
        <v>0.68500000000000005</v>
      </c>
      <c r="F225" s="99">
        <v>42357</v>
      </c>
      <c r="G225" s="99">
        <v>28102</v>
      </c>
      <c r="H225" s="99">
        <v>9451</v>
      </c>
      <c r="I225" s="99">
        <v>6801</v>
      </c>
      <c r="J225" s="66" t="s">
        <v>1366</v>
      </c>
      <c r="Q225" s="154"/>
    </row>
    <row r="226" spans="1:17" ht="16.05" customHeight="1">
      <c r="A226" s="125" t="s">
        <v>1671</v>
      </c>
      <c r="B226" s="99">
        <v>105261438</v>
      </c>
      <c r="C226" s="99">
        <v>74731522</v>
      </c>
      <c r="D226" s="99">
        <v>14697396</v>
      </c>
      <c r="E226" s="99">
        <v>0.70099999999999996</v>
      </c>
      <c r="F226" s="99">
        <v>48226</v>
      </c>
      <c r="G226" s="99">
        <v>32652</v>
      </c>
      <c r="H226" s="99">
        <v>9484</v>
      </c>
      <c r="I226" s="99">
        <v>6894</v>
      </c>
      <c r="J226" s="66" t="s">
        <v>1366</v>
      </c>
      <c r="Q226" s="154"/>
    </row>
    <row r="227" spans="1:17" ht="16.05" customHeight="1">
      <c r="A227" s="125" t="s">
        <v>1566</v>
      </c>
      <c r="B227" s="99">
        <v>54353884</v>
      </c>
      <c r="C227" s="99">
        <v>38250735</v>
      </c>
      <c r="D227" s="99">
        <v>11142687</v>
      </c>
      <c r="E227" s="99">
        <v>0.69399999999999995</v>
      </c>
      <c r="F227" s="99">
        <v>24735</v>
      </c>
      <c r="G227" s="99">
        <v>16893</v>
      </c>
      <c r="H227" s="99">
        <v>7205</v>
      </c>
      <c r="I227" s="99">
        <v>5317</v>
      </c>
      <c r="J227" s="66" t="s">
        <v>1366</v>
      </c>
      <c r="Q227" s="154"/>
    </row>
    <row r="228" spans="1:17" ht="16.05" customHeight="1">
      <c r="A228" s="125" t="s">
        <v>1672</v>
      </c>
      <c r="B228" s="99">
        <v>92191250</v>
      </c>
      <c r="C228" s="99">
        <v>66687205</v>
      </c>
      <c r="D228" s="99">
        <v>13750731</v>
      </c>
      <c r="E228" s="99">
        <v>0.71399999999999997</v>
      </c>
      <c r="F228" s="99">
        <v>43635</v>
      </c>
      <c r="G228" s="99">
        <v>28339</v>
      </c>
      <c r="H228" s="99">
        <v>8997</v>
      </c>
      <c r="I228" s="99">
        <v>6185</v>
      </c>
      <c r="J228" s="66" t="s">
        <v>1366</v>
      </c>
      <c r="Q228" s="154"/>
    </row>
    <row r="229" spans="1:17" ht="16.05" customHeight="1">
      <c r="A229" s="125" t="s">
        <v>1673</v>
      </c>
      <c r="B229" s="99">
        <v>82790182</v>
      </c>
      <c r="C229" s="99">
        <v>59516218</v>
      </c>
      <c r="D229" s="99">
        <v>13240935</v>
      </c>
      <c r="E229" s="99">
        <v>0.70899999999999996</v>
      </c>
      <c r="F229" s="99">
        <v>38628</v>
      </c>
      <c r="G229" s="99">
        <v>25419</v>
      </c>
      <c r="H229" s="99">
        <v>8593</v>
      </c>
      <c r="I229" s="99">
        <v>6019</v>
      </c>
      <c r="J229" s="66" t="s">
        <v>1366</v>
      </c>
      <c r="Q229" s="154"/>
    </row>
    <row r="230" spans="1:17" ht="16.05" customHeight="1">
      <c r="A230" s="125" t="s">
        <v>1674</v>
      </c>
      <c r="B230" s="99">
        <v>92796924</v>
      </c>
      <c r="C230" s="99">
        <v>65695896</v>
      </c>
      <c r="D230" s="99">
        <v>13191714</v>
      </c>
      <c r="E230" s="99">
        <v>0.69899999999999995</v>
      </c>
      <c r="F230" s="99">
        <v>42729</v>
      </c>
      <c r="G230" s="99">
        <v>29075</v>
      </c>
      <c r="H230" s="99">
        <v>8579</v>
      </c>
      <c r="I230" s="99">
        <v>6256</v>
      </c>
      <c r="J230" s="66" t="s">
        <v>1366</v>
      </c>
      <c r="Q230" s="154"/>
    </row>
    <row r="231" spans="1:17" ht="16.05" customHeight="1">
      <c r="A231" s="125" t="s">
        <v>1570</v>
      </c>
      <c r="B231" s="99">
        <v>88919046</v>
      </c>
      <c r="C231" s="99">
        <v>62596180</v>
      </c>
      <c r="D231" s="99">
        <v>14181136</v>
      </c>
      <c r="E231" s="99">
        <v>0.69499999999999995</v>
      </c>
      <c r="F231" s="99">
        <v>40230</v>
      </c>
      <c r="G231" s="99">
        <v>27896</v>
      </c>
      <c r="H231" s="99">
        <v>9114</v>
      </c>
      <c r="I231" s="99">
        <v>6732</v>
      </c>
      <c r="J231" s="66" t="s">
        <v>1366</v>
      </c>
      <c r="Q231" s="154"/>
    </row>
    <row r="232" spans="1:17" ht="16.05" customHeight="1">
      <c r="A232" s="125" t="s">
        <v>1675</v>
      </c>
      <c r="B232" s="99">
        <v>95608816</v>
      </c>
      <c r="C232" s="99">
        <v>67404377</v>
      </c>
      <c r="D232" s="99">
        <v>11895587</v>
      </c>
      <c r="E232" s="99">
        <v>0.69599999999999995</v>
      </c>
      <c r="F232" s="99">
        <v>43620</v>
      </c>
      <c r="G232" s="99">
        <v>30095</v>
      </c>
      <c r="H232" s="99">
        <v>7698</v>
      </c>
      <c r="I232" s="99">
        <v>5708</v>
      </c>
      <c r="J232" s="66" t="s">
        <v>1366</v>
      </c>
      <c r="Q232" s="154"/>
    </row>
    <row r="233" spans="1:17" ht="16.05" customHeight="1">
      <c r="A233" s="125" t="s">
        <v>1578</v>
      </c>
      <c r="B233" s="99">
        <v>84267114</v>
      </c>
      <c r="C233" s="99">
        <v>56232078</v>
      </c>
      <c r="D233" s="99">
        <v>12189521</v>
      </c>
      <c r="E233" s="99">
        <v>0.65800000000000003</v>
      </c>
      <c r="F233" s="99">
        <v>36815</v>
      </c>
      <c r="G233" s="99">
        <v>23733</v>
      </c>
      <c r="H233" s="99">
        <v>7980</v>
      </c>
      <c r="I233" s="99">
        <v>5537</v>
      </c>
      <c r="J233" s="66" t="s">
        <v>1366</v>
      </c>
      <c r="Q233" s="154"/>
    </row>
    <row r="234" spans="1:17" ht="16.05" customHeight="1">
      <c r="A234" s="125" t="s">
        <v>1466</v>
      </c>
      <c r="B234" s="99">
        <v>31058860</v>
      </c>
      <c r="C234" s="99">
        <v>17459279</v>
      </c>
      <c r="D234" s="99">
        <v>6623617</v>
      </c>
      <c r="E234" s="99">
        <v>0.55600000000000005</v>
      </c>
      <c r="F234" s="99">
        <v>10288</v>
      </c>
      <c r="G234" s="99">
        <v>9680</v>
      </c>
      <c r="H234" s="99">
        <v>3903</v>
      </c>
      <c r="I234" s="99">
        <v>3503</v>
      </c>
      <c r="J234" s="66" t="s">
        <v>1658</v>
      </c>
      <c r="Q234" s="154"/>
    </row>
    <row r="235" spans="1:17" ht="16.05" customHeight="1">
      <c r="A235" s="125" t="s">
        <v>1582</v>
      </c>
      <c r="B235" s="99">
        <v>81830948</v>
      </c>
      <c r="C235" s="99">
        <v>52512322</v>
      </c>
      <c r="D235" s="99">
        <v>11924386</v>
      </c>
      <c r="E235" s="99">
        <v>0.63200000000000001</v>
      </c>
      <c r="F235" s="99">
        <v>34023</v>
      </c>
      <c r="G235" s="99">
        <v>23692</v>
      </c>
      <c r="H235" s="99">
        <v>7725</v>
      </c>
      <c r="I235" s="99">
        <v>5713</v>
      </c>
      <c r="J235" s="66" t="s">
        <v>1366</v>
      </c>
      <c r="Q235" s="154"/>
    </row>
    <row r="236" spans="1:17" ht="16.05" customHeight="1">
      <c r="A236" s="125" t="s">
        <v>1469</v>
      </c>
      <c r="B236" s="99">
        <v>25649820</v>
      </c>
      <c r="C236" s="99">
        <v>14154470</v>
      </c>
      <c r="D236" s="99">
        <v>6479164</v>
      </c>
      <c r="E236" s="99">
        <v>0.54300000000000004</v>
      </c>
      <c r="F236" s="99">
        <v>8738</v>
      </c>
      <c r="G236" s="99">
        <v>8495</v>
      </c>
      <c r="H236" s="99">
        <v>3999</v>
      </c>
      <c r="I236" s="99">
        <v>3843</v>
      </c>
      <c r="J236" s="66" t="s">
        <v>1658</v>
      </c>
      <c r="Q236" s="154"/>
    </row>
    <row r="237" spans="1:17" ht="16.05" customHeight="1">
      <c r="A237" s="125" t="s">
        <v>1676</v>
      </c>
      <c r="B237" s="99">
        <v>79698734</v>
      </c>
      <c r="C237" s="99">
        <v>53307550</v>
      </c>
      <c r="D237" s="99">
        <v>12016127</v>
      </c>
      <c r="E237" s="99">
        <v>0.66</v>
      </c>
      <c r="F237" s="99">
        <v>34888</v>
      </c>
      <c r="G237" s="99">
        <v>23575</v>
      </c>
      <c r="H237" s="99">
        <v>7864</v>
      </c>
      <c r="I237" s="99">
        <v>5522</v>
      </c>
      <c r="J237" s="66" t="s">
        <v>1366</v>
      </c>
      <c r="Q237" s="154"/>
    </row>
    <row r="238" spans="1:17" ht="16.05" customHeight="1">
      <c r="A238" s="125" t="s">
        <v>1472</v>
      </c>
      <c r="B238" s="99">
        <v>30598418</v>
      </c>
      <c r="C238" s="99">
        <v>17173750</v>
      </c>
      <c r="D238" s="99">
        <v>8187275</v>
      </c>
      <c r="E238" s="99">
        <v>0.55400000000000005</v>
      </c>
      <c r="F238" s="99">
        <v>10159</v>
      </c>
      <c r="G238" s="99">
        <v>9509</v>
      </c>
      <c r="H238" s="99">
        <v>4843</v>
      </c>
      <c r="I238" s="99">
        <v>4424</v>
      </c>
      <c r="J238" s="66" t="s">
        <v>1658</v>
      </c>
      <c r="Q238" s="154"/>
    </row>
    <row r="239" spans="1:17" ht="16.05" customHeight="1">
      <c r="A239" s="163" t="s">
        <v>1677</v>
      </c>
      <c r="B239" s="117">
        <v>121418200</v>
      </c>
      <c r="C239" s="117">
        <v>79422749</v>
      </c>
      <c r="D239" s="117">
        <v>6973437</v>
      </c>
      <c r="E239" s="117">
        <v>0.64500000000000002</v>
      </c>
      <c r="F239" s="117">
        <v>51333</v>
      </c>
      <c r="G239" s="117">
        <v>34738</v>
      </c>
      <c r="H239" s="117">
        <v>4507</v>
      </c>
      <c r="I239" s="117">
        <v>3112</v>
      </c>
      <c r="J239" s="78" t="s">
        <v>1366</v>
      </c>
      <c r="Q239" s="154"/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97D73-A229-4294-B34B-3F4E0AC66C52}">
  <dimension ref="A1:Q54"/>
  <sheetViews>
    <sheetView topLeftCell="A46" workbookViewId="0">
      <selection activeCell="E53" sqref="E53"/>
    </sheetView>
  </sheetViews>
  <sheetFormatPr defaultColWidth="10.77734375" defaultRowHeight="13.2"/>
  <cols>
    <col min="1" max="1" width="28.6640625" style="99" customWidth="1"/>
    <col min="2" max="2" width="19.33203125" style="99" customWidth="1"/>
    <col min="3" max="3" width="13.44140625" style="99" customWidth="1"/>
    <col min="4" max="4" width="13.33203125" style="99" customWidth="1"/>
    <col min="5" max="5" width="15.44140625" style="99" customWidth="1"/>
    <col min="6" max="6" width="14.44140625" style="99" customWidth="1"/>
    <col min="7" max="7" width="15.44140625" style="99" customWidth="1"/>
    <col min="8" max="8" width="8.33203125" style="99" customWidth="1"/>
    <col min="9" max="9" width="6.88671875" style="99" customWidth="1"/>
    <col min="10" max="10" width="16.5546875" style="99" customWidth="1"/>
    <col min="11" max="11" width="10.88671875" style="99" customWidth="1"/>
    <col min="12" max="12" width="10.44140625" style="99" customWidth="1"/>
    <col min="13" max="13" width="10.77734375" style="168"/>
    <col min="14" max="14" width="9.77734375" style="168" customWidth="1"/>
    <col min="15" max="15" width="15.6640625" style="168" customWidth="1"/>
    <col min="16" max="16" width="9.21875" style="168" customWidth="1"/>
    <col min="17" max="17" width="10.77734375" style="168"/>
    <col min="18" max="16384" width="10.77734375" style="118"/>
  </cols>
  <sheetData>
    <row r="1" spans="1:17" ht="16.05" customHeight="1">
      <c r="A1" s="116" t="s">
        <v>2045</v>
      </c>
    </row>
    <row r="2" spans="1:17" s="166" customFormat="1" ht="25.95" customHeight="1">
      <c r="A2" s="211" t="s">
        <v>1680</v>
      </c>
      <c r="B2" s="25" t="s">
        <v>1681</v>
      </c>
      <c r="C2" s="26" t="s">
        <v>1682</v>
      </c>
      <c r="D2" s="26" t="s">
        <v>1683</v>
      </c>
      <c r="E2" s="26" t="s">
        <v>1684</v>
      </c>
      <c r="F2" s="26" t="s">
        <v>1685</v>
      </c>
      <c r="G2" s="26" t="s">
        <v>1686</v>
      </c>
      <c r="H2" s="26" t="s">
        <v>1687</v>
      </c>
      <c r="I2" s="26" t="s">
        <v>861</v>
      </c>
      <c r="J2" s="26" t="s">
        <v>1688</v>
      </c>
      <c r="K2" s="26" t="s">
        <v>1689</v>
      </c>
      <c r="L2" s="26" t="s">
        <v>1690</v>
      </c>
      <c r="M2" s="26" t="s">
        <v>1691</v>
      </c>
      <c r="N2" s="26" t="s">
        <v>1684</v>
      </c>
      <c r="O2" s="26" t="s">
        <v>1692</v>
      </c>
      <c r="P2" s="26" t="s">
        <v>1693</v>
      </c>
      <c r="Q2" s="27" t="s">
        <v>1694</v>
      </c>
    </row>
    <row r="3" spans="1:17" s="167" customFormat="1" ht="16.05" customHeight="1">
      <c r="A3" s="212"/>
      <c r="B3" s="169" t="s">
        <v>1695</v>
      </c>
      <c r="C3" s="170" t="s">
        <v>1475</v>
      </c>
      <c r="D3" s="170" t="s">
        <v>1553</v>
      </c>
      <c r="E3" s="170" t="s">
        <v>685</v>
      </c>
      <c r="F3" s="170" t="s">
        <v>474</v>
      </c>
      <c r="G3" s="170" t="s">
        <v>1696</v>
      </c>
      <c r="H3" s="170" t="s">
        <v>1697</v>
      </c>
      <c r="I3" s="170">
        <v>62</v>
      </c>
      <c r="J3" s="170" t="s">
        <v>1698</v>
      </c>
      <c r="K3" s="171">
        <v>0.23499999999999999</v>
      </c>
      <c r="L3" s="172">
        <v>8.9999999999999998E-4</v>
      </c>
      <c r="M3" s="172">
        <v>1.2999999999999999E-3</v>
      </c>
      <c r="N3" s="170" t="s">
        <v>1699</v>
      </c>
      <c r="O3" s="170">
        <v>62</v>
      </c>
      <c r="P3" s="173">
        <v>30</v>
      </c>
      <c r="Q3" s="174">
        <v>10</v>
      </c>
    </row>
    <row r="4" spans="1:17" s="167" customFormat="1" ht="16.05" customHeight="1">
      <c r="A4" s="212"/>
      <c r="B4" s="125" t="s">
        <v>1700</v>
      </c>
      <c r="C4" s="99" t="s">
        <v>1478</v>
      </c>
      <c r="D4" s="99" t="s">
        <v>1556</v>
      </c>
      <c r="E4" s="99" t="s">
        <v>686</v>
      </c>
      <c r="F4" s="99" t="s">
        <v>474</v>
      </c>
      <c r="G4" s="99" t="s">
        <v>1701</v>
      </c>
      <c r="H4" s="99" t="s">
        <v>1702</v>
      </c>
      <c r="I4" s="99">
        <v>67</v>
      </c>
      <c r="J4" s="99" t="s">
        <v>1703</v>
      </c>
      <c r="K4" s="175">
        <v>0.374</v>
      </c>
      <c r="L4" s="99">
        <v>0</v>
      </c>
      <c r="M4" s="176">
        <v>0</v>
      </c>
      <c r="N4" s="99" t="s">
        <v>1699</v>
      </c>
      <c r="O4" s="99">
        <v>38</v>
      </c>
      <c r="P4" s="99">
        <v>30</v>
      </c>
      <c r="Q4" s="66">
        <v>10</v>
      </c>
    </row>
    <row r="5" spans="1:17" ht="16.05" customHeight="1">
      <c r="A5" s="213"/>
      <c r="B5" s="163" t="s">
        <v>1704</v>
      </c>
      <c r="C5" s="117" t="s">
        <v>1481</v>
      </c>
      <c r="D5" s="117" t="s">
        <v>1677</v>
      </c>
      <c r="E5" s="117" t="s">
        <v>742</v>
      </c>
      <c r="F5" s="117" t="s">
        <v>474</v>
      </c>
      <c r="G5" s="117" t="s">
        <v>1701</v>
      </c>
      <c r="H5" s="117" t="s">
        <v>1702</v>
      </c>
      <c r="I5" s="117">
        <v>62</v>
      </c>
      <c r="J5" s="117" t="s">
        <v>1705</v>
      </c>
      <c r="K5" s="177">
        <v>8.6999999999999994E-2</v>
      </c>
      <c r="L5" s="177">
        <v>2.0000000000000001E-4</v>
      </c>
      <c r="M5" s="178">
        <v>0</v>
      </c>
      <c r="N5" s="117" t="s">
        <v>1699</v>
      </c>
      <c r="O5" s="117">
        <v>54</v>
      </c>
      <c r="P5" s="117">
        <v>30</v>
      </c>
      <c r="Q5" s="78">
        <v>10</v>
      </c>
    </row>
    <row r="6" spans="1:17" ht="16.05" customHeight="1"/>
    <row r="7" spans="1:17" ht="16.05" customHeight="1">
      <c r="A7" s="211" t="s">
        <v>1706</v>
      </c>
      <c r="B7" s="17" t="s">
        <v>1681</v>
      </c>
      <c r="C7" s="162" t="s">
        <v>1596</v>
      </c>
      <c r="D7" s="17" t="s">
        <v>308</v>
      </c>
      <c r="E7" s="17" t="s">
        <v>309</v>
      </c>
      <c r="F7" s="17" t="s">
        <v>310</v>
      </c>
      <c r="G7" s="17" t="s">
        <v>311</v>
      </c>
      <c r="H7" s="17" t="s">
        <v>316</v>
      </c>
      <c r="I7" s="17" t="s">
        <v>318</v>
      </c>
      <c r="J7" s="17" t="s">
        <v>319</v>
      </c>
      <c r="K7" s="17" t="s">
        <v>364</v>
      </c>
      <c r="L7" s="17" t="s">
        <v>320</v>
      </c>
      <c r="M7" s="17" t="s">
        <v>321</v>
      </c>
      <c r="N7" s="18" t="s">
        <v>1262</v>
      </c>
    </row>
    <row r="8" spans="1:17" ht="16.05" customHeight="1">
      <c r="A8" s="212"/>
      <c r="B8" s="169" t="s">
        <v>1695</v>
      </c>
      <c r="C8" s="179" t="s">
        <v>1475</v>
      </c>
      <c r="D8" s="170" t="s">
        <v>1285</v>
      </c>
      <c r="E8" s="170" t="s">
        <v>324</v>
      </c>
      <c r="F8" s="170">
        <v>2</v>
      </c>
      <c r="G8" s="170" t="s">
        <v>1536</v>
      </c>
      <c r="H8" s="180">
        <v>0.23469999999999999</v>
      </c>
      <c r="I8" s="170">
        <v>12</v>
      </c>
      <c r="J8" s="170">
        <v>25398284</v>
      </c>
      <c r="K8" s="170" t="s">
        <v>1289</v>
      </c>
      <c r="L8" s="170" t="s">
        <v>1274</v>
      </c>
      <c r="M8" s="170" t="s">
        <v>1275</v>
      </c>
      <c r="N8" s="181" t="s">
        <v>1280</v>
      </c>
    </row>
    <row r="9" spans="1:17" ht="16.05" customHeight="1">
      <c r="A9" s="212"/>
      <c r="B9" s="125" t="s">
        <v>1700</v>
      </c>
      <c r="C9" s="182" t="s">
        <v>1478</v>
      </c>
      <c r="D9" s="99" t="s">
        <v>323</v>
      </c>
      <c r="E9" s="99" t="s">
        <v>1350</v>
      </c>
      <c r="F9" s="99">
        <v>19</v>
      </c>
      <c r="G9" s="99" t="s">
        <v>1606</v>
      </c>
      <c r="H9" s="183">
        <v>0.37380000000000002</v>
      </c>
      <c r="I9" s="99">
        <v>7</v>
      </c>
      <c r="J9" s="99">
        <v>55242464</v>
      </c>
      <c r="K9" s="99" t="s">
        <v>1568</v>
      </c>
      <c r="L9" s="99" t="s">
        <v>1607</v>
      </c>
      <c r="M9" s="99" t="s">
        <v>328</v>
      </c>
      <c r="N9" s="66" t="s">
        <v>1280</v>
      </c>
    </row>
    <row r="10" spans="1:17" ht="16.05" customHeight="1">
      <c r="A10" s="213"/>
      <c r="B10" s="163" t="s">
        <v>1704</v>
      </c>
      <c r="C10" s="184" t="s">
        <v>1481</v>
      </c>
      <c r="D10" s="117" t="s">
        <v>323</v>
      </c>
      <c r="E10" s="117" t="s">
        <v>324</v>
      </c>
      <c r="F10" s="117">
        <v>21</v>
      </c>
      <c r="G10" s="117" t="s">
        <v>1276</v>
      </c>
      <c r="H10" s="117">
        <v>8.6999999999999994E-2</v>
      </c>
      <c r="I10" s="117">
        <v>7</v>
      </c>
      <c r="J10" s="117">
        <v>55259515</v>
      </c>
      <c r="K10" s="117" t="s">
        <v>1279</v>
      </c>
      <c r="L10" s="117" t="s">
        <v>1275</v>
      </c>
      <c r="M10" s="117" t="s">
        <v>327</v>
      </c>
      <c r="N10" s="78" t="s">
        <v>1534</v>
      </c>
    </row>
    <row r="11" spans="1:17" ht="16.05" customHeight="1">
      <c r="M11" s="99"/>
      <c r="N11" s="99"/>
    </row>
    <row r="12" spans="1:17" ht="16.05" customHeight="1">
      <c r="A12" s="211" t="s">
        <v>1707</v>
      </c>
      <c r="B12" s="88" t="s">
        <v>1681</v>
      </c>
      <c r="C12" s="162" t="s">
        <v>1596</v>
      </c>
      <c r="D12" s="17" t="s">
        <v>308</v>
      </c>
      <c r="E12" s="17" t="s">
        <v>309</v>
      </c>
      <c r="F12" s="17" t="s">
        <v>310</v>
      </c>
      <c r="G12" s="17" t="s">
        <v>311</v>
      </c>
      <c r="H12" s="17" t="s">
        <v>316</v>
      </c>
      <c r="I12" s="17" t="s">
        <v>318</v>
      </c>
      <c r="J12" s="17" t="s">
        <v>319</v>
      </c>
      <c r="K12" s="17" t="s">
        <v>364</v>
      </c>
      <c r="L12" s="17" t="s">
        <v>320</v>
      </c>
      <c r="M12" s="17" t="s">
        <v>321</v>
      </c>
      <c r="N12" s="18" t="s">
        <v>1262</v>
      </c>
    </row>
    <row r="13" spans="1:17" ht="16.05" customHeight="1">
      <c r="A13" s="212"/>
      <c r="B13" s="169" t="s">
        <v>1695</v>
      </c>
      <c r="C13" s="182" t="s">
        <v>1553</v>
      </c>
      <c r="D13" s="99" t="s">
        <v>1285</v>
      </c>
      <c r="E13" s="99" t="s">
        <v>324</v>
      </c>
      <c r="F13" s="99">
        <v>2</v>
      </c>
      <c r="G13" s="99" t="s">
        <v>1536</v>
      </c>
      <c r="H13" s="99">
        <v>1.2999999999999999E-3</v>
      </c>
      <c r="I13" s="99">
        <v>12</v>
      </c>
      <c r="J13" s="99">
        <v>25398284</v>
      </c>
      <c r="K13" s="99" t="s">
        <v>1289</v>
      </c>
      <c r="L13" s="99" t="s">
        <v>1274</v>
      </c>
      <c r="M13" s="99" t="s">
        <v>1275</v>
      </c>
      <c r="N13" s="66" t="s">
        <v>1280</v>
      </c>
    </row>
    <row r="14" spans="1:17" ht="16.05" customHeight="1">
      <c r="A14" s="212"/>
      <c r="B14" s="125" t="s">
        <v>1700</v>
      </c>
      <c r="C14" s="99" t="s">
        <v>1556</v>
      </c>
      <c r="D14" s="99" t="s">
        <v>1708</v>
      </c>
      <c r="E14" s="214" t="s">
        <v>1709</v>
      </c>
      <c r="F14" s="214"/>
      <c r="G14" s="214"/>
      <c r="H14" s="214"/>
      <c r="I14" s="214"/>
      <c r="J14" s="214"/>
      <c r="K14" s="214"/>
      <c r="L14" s="214"/>
      <c r="M14" s="214"/>
      <c r="N14" s="215"/>
    </row>
    <row r="15" spans="1:17" ht="16.05" customHeight="1">
      <c r="A15" s="213"/>
      <c r="B15" s="163" t="s">
        <v>1704</v>
      </c>
      <c r="C15" s="117" t="s">
        <v>1677</v>
      </c>
      <c r="D15" s="117" t="s">
        <v>1708</v>
      </c>
      <c r="E15" s="216" t="s">
        <v>1710</v>
      </c>
      <c r="F15" s="216"/>
      <c r="G15" s="216"/>
      <c r="H15" s="216"/>
      <c r="I15" s="216"/>
      <c r="J15" s="216"/>
      <c r="K15" s="216"/>
      <c r="L15" s="216"/>
      <c r="M15" s="216"/>
      <c r="N15" s="217"/>
    </row>
    <row r="16" spans="1:17" ht="16.05" customHeight="1">
      <c r="M16" s="99"/>
      <c r="N16" s="99"/>
    </row>
    <row r="17" spans="1:17" ht="16.05" customHeight="1">
      <c r="A17" s="211" t="s">
        <v>1711</v>
      </c>
      <c r="B17" s="88" t="s">
        <v>1681</v>
      </c>
      <c r="C17" s="162" t="s">
        <v>1596</v>
      </c>
      <c r="D17" s="17" t="s">
        <v>308</v>
      </c>
      <c r="E17" s="17" t="s">
        <v>309</v>
      </c>
      <c r="F17" s="17" t="s">
        <v>310</v>
      </c>
      <c r="G17" s="17" t="s">
        <v>311</v>
      </c>
      <c r="H17" s="17" t="s">
        <v>316</v>
      </c>
      <c r="I17" s="17" t="s">
        <v>318</v>
      </c>
      <c r="J17" s="17" t="s">
        <v>319</v>
      </c>
      <c r="K17" s="17" t="s">
        <v>364</v>
      </c>
      <c r="L17" s="17" t="s">
        <v>320</v>
      </c>
      <c r="M17" s="17" t="s">
        <v>321</v>
      </c>
      <c r="N17" s="18" t="s">
        <v>1262</v>
      </c>
    </row>
    <row r="18" spans="1:17" ht="16.05" customHeight="1">
      <c r="A18" s="212"/>
      <c r="B18" s="169" t="s">
        <v>1695</v>
      </c>
      <c r="C18" s="182"/>
      <c r="D18" s="99" t="s">
        <v>1285</v>
      </c>
      <c r="E18" s="99" t="s">
        <v>324</v>
      </c>
      <c r="F18" s="99">
        <v>2</v>
      </c>
      <c r="G18" s="99" t="s">
        <v>1536</v>
      </c>
      <c r="H18" s="99">
        <v>8.9999999999999998E-4</v>
      </c>
      <c r="I18" s="99">
        <v>12</v>
      </c>
      <c r="J18" s="99">
        <v>25398284</v>
      </c>
      <c r="K18" s="99" t="s">
        <v>1289</v>
      </c>
      <c r="L18" s="99" t="s">
        <v>1274</v>
      </c>
      <c r="M18" s="99" t="s">
        <v>1275</v>
      </c>
      <c r="N18" s="66" t="s">
        <v>1280</v>
      </c>
    </row>
    <row r="19" spans="1:17" ht="16.05" customHeight="1">
      <c r="A19" s="212"/>
      <c r="B19" s="125" t="s">
        <v>1700</v>
      </c>
      <c r="D19" s="99" t="s">
        <v>1708</v>
      </c>
      <c r="E19" s="214" t="s">
        <v>1710</v>
      </c>
      <c r="F19" s="214"/>
      <c r="G19" s="214"/>
      <c r="H19" s="214"/>
      <c r="I19" s="214"/>
      <c r="J19" s="214"/>
      <c r="K19" s="214"/>
      <c r="L19" s="214"/>
      <c r="M19" s="214"/>
      <c r="N19" s="215"/>
    </row>
    <row r="20" spans="1:17" ht="16.05" customHeight="1">
      <c r="A20" s="213"/>
      <c r="B20" s="163" t="s">
        <v>1704</v>
      </c>
      <c r="C20" s="117"/>
      <c r="D20" s="117" t="s">
        <v>1708</v>
      </c>
      <c r="E20" s="117" t="s">
        <v>324</v>
      </c>
      <c r="F20" s="117">
        <v>21</v>
      </c>
      <c r="G20" s="117" t="s">
        <v>1276</v>
      </c>
      <c r="H20" s="117">
        <v>2.0000000000000001E-4</v>
      </c>
      <c r="I20" s="117">
        <v>7</v>
      </c>
      <c r="J20" s="117">
        <v>55259515</v>
      </c>
      <c r="K20" s="117" t="s">
        <v>1279</v>
      </c>
      <c r="L20" s="117" t="s">
        <v>1275</v>
      </c>
      <c r="M20" s="117" t="s">
        <v>327</v>
      </c>
      <c r="N20" s="78" t="s">
        <v>1534</v>
      </c>
    </row>
    <row r="22" spans="1:17" s="54" customFormat="1" ht="16.05" customHeight="1">
      <c r="A22" s="116" t="s">
        <v>2046</v>
      </c>
      <c r="B22" s="99"/>
      <c r="C22" s="99"/>
      <c r="D22" s="99"/>
      <c r="E22" s="99"/>
      <c r="F22" s="99"/>
      <c r="G22" s="99"/>
      <c r="H22" s="99"/>
      <c r="I22" s="99"/>
      <c r="J22" s="99"/>
      <c r="K22" s="99"/>
      <c r="L22" s="99"/>
      <c r="M22" s="185"/>
      <c r="N22" s="185"/>
      <c r="O22" s="185"/>
      <c r="P22" s="185"/>
      <c r="Q22" s="185"/>
    </row>
    <row r="23" spans="1:17" s="54" customFormat="1" ht="16.05" customHeight="1">
      <c r="A23" s="202" t="s">
        <v>1712</v>
      </c>
      <c r="B23" s="202" t="s">
        <v>1713</v>
      </c>
      <c r="C23" s="202" t="s">
        <v>1714</v>
      </c>
      <c r="D23" s="202"/>
      <c r="E23" s="202"/>
      <c r="F23" s="202"/>
      <c r="G23" s="202"/>
      <c r="H23" s="202" t="s">
        <v>1715</v>
      </c>
      <c r="I23" s="202"/>
      <c r="J23" s="202"/>
      <c r="K23" s="202"/>
      <c r="L23" s="99"/>
      <c r="M23" s="185"/>
      <c r="N23" s="185"/>
      <c r="O23" s="185"/>
      <c r="P23" s="185"/>
      <c r="Q23" s="185"/>
    </row>
    <row r="24" spans="1:17" s="54" customFormat="1" ht="16.05" customHeight="1">
      <c r="A24" s="202"/>
      <c r="B24" s="202"/>
      <c r="C24" s="10" t="s">
        <v>1716</v>
      </c>
      <c r="D24" s="10" t="s">
        <v>1717</v>
      </c>
      <c r="E24" s="10" t="s">
        <v>1718</v>
      </c>
      <c r="F24" s="10" t="s">
        <v>1719</v>
      </c>
      <c r="G24" s="10" t="s">
        <v>316</v>
      </c>
      <c r="H24" s="10" t="s">
        <v>1720</v>
      </c>
      <c r="I24" s="10" t="s">
        <v>1721</v>
      </c>
      <c r="J24" s="10" t="s">
        <v>1722</v>
      </c>
      <c r="K24" s="10" t="s">
        <v>316</v>
      </c>
      <c r="L24" s="125"/>
      <c r="M24" s="185"/>
      <c r="N24" s="185"/>
      <c r="O24" s="185"/>
      <c r="P24" s="185"/>
      <c r="Q24" s="185"/>
    </row>
    <row r="25" spans="1:17" s="54" customFormat="1" ht="16.05" customHeight="1">
      <c r="A25" s="127" t="s">
        <v>1723</v>
      </c>
      <c r="B25" s="186" t="s">
        <v>1724</v>
      </c>
      <c r="C25" s="127">
        <v>0</v>
      </c>
      <c r="D25" s="127">
        <v>0</v>
      </c>
      <c r="E25" s="127">
        <v>10690</v>
      </c>
      <c r="F25" s="127">
        <v>0</v>
      </c>
      <c r="G25" s="127"/>
      <c r="H25" s="127">
        <v>0</v>
      </c>
      <c r="I25" s="127">
        <v>0</v>
      </c>
      <c r="J25" s="127">
        <v>0</v>
      </c>
      <c r="K25" s="187">
        <v>0</v>
      </c>
      <c r="L25" s="99"/>
      <c r="M25" s="185"/>
      <c r="N25" s="185"/>
      <c r="O25" s="185"/>
      <c r="P25" s="185"/>
      <c r="Q25" s="185"/>
    </row>
    <row r="26" spans="1:17" s="54" customFormat="1" ht="16.05" customHeight="1">
      <c r="A26" s="127" t="s">
        <v>1656</v>
      </c>
      <c r="B26" s="186" t="s">
        <v>1725</v>
      </c>
      <c r="C26" s="127">
        <v>0</v>
      </c>
      <c r="D26" s="127">
        <v>5380</v>
      </c>
      <c r="E26" s="127">
        <v>10774</v>
      </c>
      <c r="F26" s="127">
        <v>5380</v>
      </c>
      <c r="G26" s="187">
        <v>0</v>
      </c>
      <c r="H26" s="127">
        <v>0</v>
      </c>
      <c r="I26" s="127">
        <v>5380</v>
      </c>
      <c r="J26" s="127">
        <v>5380</v>
      </c>
      <c r="K26" s="187">
        <v>0</v>
      </c>
      <c r="L26" s="99"/>
      <c r="M26" s="185"/>
      <c r="N26" s="185"/>
      <c r="O26" s="185"/>
      <c r="P26" s="185"/>
      <c r="Q26" s="185"/>
    </row>
    <row r="27" spans="1:17" s="54" customFormat="1" ht="16.05" customHeight="1">
      <c r="A27" s="194" t="s">
        <v>1695</v>
      </c>
      <c r="B27" s="186" t="s">
        <v>1726</v>
      </c>
      <c r="C27" s="127">
        <v>4.2</v>
      </c>
      <c r="D27" s="127">
        <v>5760</v>
      </c>
      <c r="E27" s="127">
        <v>11005</v>
      </c>
      <c r="F27" s="127">
        <v>5764.2</v>
      </c>
      <c r="G27" s="187">
        <v>7.2999999999999996E-4</v>
      </c>
      <c r="H27" s="194">
        <v>15.2</v>
      </c>
      <c r="I27" s="194">
        <v>17140</v>
      </c>
      <c r="J27" s="194">
        <v>17155.2</v>
      </c>
      <c r="K27" s="208">
        <v>8.8999999999999995E-4</v>
      </c>
      <c r="L27" s="99"/>
      <c r="M27" s="185"/>
      <c r="N27" s="185"/>
      <c r="O27" s="185"/>
      <c r="P27" s="185"/>
      <c r="Q27" s="185"/>
    </row>
    <row r="28" spans="1:17" s="54" customFormat="1" ht="16.05" customHeight="1">
      <c r="A28" s="190"/>
      <c r="B28" s="186" t="s">
        <v>1726</v>
      </c>
      <c r="C28" s="127">
        <v>4.5999999999999996</v>
      </c>
      <c r="D28" s="127">
        <v>5780</v>
      </c>
      <c r="E28" s="127">
        <v>10324</v>
      </c>
      <c r="F28" s="127">
        <v>5784.6</v>
      </c>
      <c r="G28" s="187">
        <v>8.0000000000000004E-4</v>
      </c>
      <c r="H28" s="190"/>
      <c r="I28" s="190"/>
      <c r="J28" s="190"/>
      <c r="K28" s="209"/>
      <c r="L28" s="99"/>
      <c r="M28" s="185"/>
      <c r="N28" s="185"/>
      <c r="O28" s="185"/>
      <c r="P28" s="185"/>
      <c r="Q28" s="185"/>
    </row>
    <row r="29" spans="1:17" s="54" customFormat="1" ht="16.05" customHeight="1">
      <c r="A29" s="191"/>
      <c r="B29" s="186" t="s">
        <v>1726</v>
      </c>
      <c r="C29" s="127">
        <v>6.4</v>
      </c>
      <c r="D29" s="127">
        <v>5600</v>
      </c>
      <c r="E29" s="127">
        <v>10992</v>
      </c>
      <c r="F29" s="127">
        <v>5606.4</v>
      </c>
      <c r="G29" s="187">
        <v>1.14E-3</v>
      </c>
      <c r="H29" s="191"/>
      <c r="I29" s="191"/>
      <c r="J29" s="191"/>
      <c r="K29" s="210"/>
      <c r="L29" s="99"/>
      <c r="M29" s="185"/>
      <c r="N29" s="185"/>
      <c r="O29" s="185"/>
      <c r="P29" s="185"/>
      <c r="Q29" s="185"/>
    </row>
    <row r="30" spans="1:17" s="54" customFormat="1" ht="16.05" customHeight="1">
      <c r="A30" s="187" t="s">
        <v>1727</v>
      </c>
      <c r="B30" s="186" t="s">
        <v>1728</v>
      </c>
      <c r="C30" s="127">
        <v>34</v>
      </c>
      <c r="D30" s="127">
        <v>8220</v>
      </c>
      <c r="E30" s="127">
        <v>12470</v>
      </c>
      <c r="F30" s="127">
        <v>8254</v>
      </c>
      <c r="G30" s="187">
        <v>4.1200000000000004E-3</v>
      </c>
      <c r="H30" s="127">
        <v>34</v>
      </c>
      <c r="I30" s="127">
        <v>8220</v>
      </c>
      <c r="J30" s="127">
        <v>8254</v>
      </c>
      <c r="K30" s="187">
        <v>4.1200000000000004E-3</v>
      </c>
      <c r="L30" s="99"/>
      <c r="M30" s="185"/>
      <c r="N30" s="185"/>
      <c r="O30" s="185"/>
      <c r="P30" s="185"/>
      <c r="Q30" s="185"/>
    </row>
    <row r="31" spans="1:17" s="54" customFormat="1" ht="16.05" customHeight="1">
      <c r="A31" s="204"/>
      <c r="B31" s="205"/>
      <c r="C31" s="205"/>
      <c r="D31" s="205"/>
      <c r="E31" s="205"/>
      <c r="F31" s="205"/>
      <c r="G31" s="205"/>
      <c r="H31" s="205"/>
      <c r="I31" s="205"/>
      <c r="J31" s="205"/>
      <c r="K31" s="206"/>
      <c r="L31" s="99"/>
      <c r="M31" s="185"/>
      <c r="N31" s="185"/>
      <c r="O31" s="185"/>
      <c r="P31" s="185"/>
      <c r="Q31" s="185"/>
    </row>
    <row r="32" spans="1:17" s="54" customFormat="1" ht="16.05" customHeight="1">
      <c r="A32" s="202" t="s">
        <v>1729</v>
      </c>
      <c r="B32" s="202" t="s">
        <v>1713</v>
      </c>
      <c r="C32" s="202" t="s">
        <v>1714</v>
      </c>
      <c r="D32" s="202"/>
      <c r="E32" s="202"/>
      <c r="F32" s="202"/>
      <c r="G32" s="202"/>
      <c r="H32" s="202" t="s">
        <v>1715</v>
      </c>
      <c r="I32" s="202"/>
      <c r="J32" s="202"/>
      <c r="K32" s="202"/>
      <c r="L32" s="99"/>
      <c r="M32" s="185"/>
      <c r="N32" s="185"/>
      <c r="O32" s="185"/>
      <c r="P32" s="185"/>
      <c r="Q32" s="185"/>
    </row>
    <row r="33" spans="1:17" s="54" customFormat="1" ht="16.05" customHeight="1">
      <c r="A33" s="202"/>
      <c r="B33" s="202"/>
      <c r="C33" s="10" t="s">
        <v>1716</v>
      </c>
      <c r="D33" s="10" t="s">
        <v>1717</v>
      </c>
      <c r="E33" s="10" t="s">
        <v>1730</v>
      </c>
      <c r="F33" s="10" t="s">
        <v>1719</v>
      </c>
      <c r="G33" s="10" t="s">
        <v>316</v>
      </c>
      <c r="H33" s="10" t="s">
        <v>1720</v>
      </c>
      <c r="I33" s="10" t="s">
        <v>1721</v>
      </c>
      <c r="J33" s="10" t="s">
        <v>1275</v>
      </c>
      <c r="K33" s="10" t="s">
        <v>316</v>
      </c>
      <c r="L33" s="99"/>
      <c r="M33" s="185"/>
      <c r="N33" s="185"/>
      <c r="O33" s="185"/>
      <c r="P33" s="185"/>
      <c r="Q33" s="185"/>
    </row>
    <row r="34" spans="1:17" s="54" customFormat="1" ht="16.05" customHeight="1">
      <c r="A34" s="127" t="s">
        <v>1723</v>
      </c>
      <c r="B34" s="186" t="s">
        <v>1731</v>
      </c>
      <c r="C34" s="127">
        <v>0</v>
      </c>
      <c r="D34" s="127">
        <v>0</v>
      </c>
      <c r="E34" s="127">
        <v>9478</v>
      </c>
      <c r="F34" s="127">
        <v>0</v>
      </c>
      <c r="G34" s="127"/>
      <c r="H34" s="127">
        <v>0</v>
      </c>
      <c r="I34" s="127">
        <v>0</v>
      </c>
      <c r="J34" s="127">
        <v>0</v>
      </c>
      <c r="K34" s="187">
        <v>0</v>
      </c>
      <c r="L34" s="99"/>
      <c r="M34" s="185"/>
      <c r="N34" s="185"/>
      <c r="O34" s="185"/>
      <c r="P34" s="185"/>
      <c r="Q34" s="185"/>
    </row>
    <row r="35" spans="1:17" s="54" customFormat="1" ht="16.05" customHeight="1">
      <c r="A35" s="127" t="s">
        <v>1656</v>
      </c>
      <c r="B35" s="186" t="s">
        <v>1732</v>
      </c>
      <c r="C35" s="127">
        <v>0</v>
      </c>
      <c r="D35" s="127">
        <v>4400</v>
      </c>
      <c r="E35" s="127">
        <v>14135</v>
      </c>
      <c r="F35" s="127">
        <v>4400</v>
      </c>
      <c r="G35" s="187">
        <v>0</v>
      </c>
      <c r="H35" s="127">
        <v>0</v>
      </c>
      <c r="I35" s="127">
        <v>4400</v>
      </c>
      <c r="J35" s="127">
        <v>4400</v>
      </c>
      <c r="K35" s="187">
        <v>0</v>
      </c>
      <c r="L35" s="99"/>
      <c r="M35" s="185"/>
      <c r="N35" s="185"/>
      <c r="O35" s="185"/>
      <c r="P35" s="185"/>
      <c r="Q35" s="185"/>
    </row>
    <row r="36" spans="1:17" s="54" customFormat="1" ht="16.05" customHeight="1">
      <c r="A36" s="194" t="s">
        <v>1700</v>
      </c>
      <c r="B36" s="186" t="s">
        <v>1733</v>
      </c>
      <c r="C36" s="127">
        <v>0</v>
      </c>
      <c r="D36" s="127">
        <v>4020</v>
      </c>
      <c r="E36" s="127">
        <v>10313</v>
      </c>
      <c r="F36" s="127">
        <v>4020</v>
      </c>
      <c r="G36" s="187">
        <v>0</v>
      </c>
      <c r="H36" s="194">
        <v>0</v>
      </c>
      <c r="I36" s="194">
        <v>8060</v>
      </c>
      <c r="J36" s="194">
        <v>8060</v>
      </c>
      <c r="K36" s="207">
        <v>0</v>
      </c>
      <c r="L36" s="99"/>
      <c r="M36" s="185"/>
      <c r="N36" s="185"/>
      <c r="O36" s="185"/>
      <c r="P36" s="185"/>
      <c r="Q36" s="185"/>
    </row>
    <row r="37" spans="1:17" s="54" customFormat="1" ht="16.05" customHeight="1">
      <c r="A37" s="191"/>
      <c r="B37" s="186" t="s">
        <v>1733</v>
      </c>
      <c r="C37" s="127">
        <v>0</v>
      </c>
      <c r="D37" s="127">
        <v>4040</v>
      </c>
      <c r="E37" s="127">
        <v>12582</v>
      </c>
      <c r="F37" s="127">
        <v>4040</v>
      </c>
      <c r="G37" s="187">
        <v>0</v>
      </c>
      <c r="H37" s="191"/>
      <c r="I37" s="191"/>
      <c r="J37" s="191"/>
      <c r="K37" s="191"/>
      <c r="L37" s="99"/>
      <c r="M37" s="185"/>
      <c r="N37" s="185"/>
      <c r="O37" s="185"/>
      <c r="P37" s="185"/>
      <c r="Q37" s="185"/>
    </row>
    <row r="38" spans="1:17" s="54" customFormat="1" ht="16.05" customHeight="1">
      <c r="A38" s="187" t="s">
        <v>1734</v>
      </c>
      <c r="B38" s="186" t="s">
        <v>1735</v>
      </c>
      <c r="C38" s="127">
        <v>50</v>
      </c>
      <c r="D38" s="127">
        <v>7620</v>
      </c>
      <c r="E38" s="127">
        <v>12411</v>
      </c>
      <c r="F38" s="127">
        <v>7670</v>
      </c>
      <c r="G38" s="187">
        <v>6.5199999999999998E-3</v>
      </c>
      <c r="H38" s="127">
        <v>50</v>
      </c>
      <c r="I38" s="127">
        <v>7620</v>
      </c>
      <c r="J38" s="127">
        <v>7670</v>
      </c>
      <c r="K38" s="187">
        <v>6.5199999999999998E-3</v>
      </c>
      <c r="L38" s="99"/>
      <c r="M38" s="185"/>
      <c r="N38" s="185"/>
      <c r="O38" s="185"/>
      <c r="P38" s="185"/>
      <c r="Q38" s="185"/>
    </row>
    <row r="39" spans="1:17" s="54" customFormat="1" ht="16.05" customHeight="1">
      <c r="A39" s="99"/>
      <c r="B39" s="188"/>
      <c r="C39" s="99"/>
      <c r="D39" s="99"/>
      <c r="E39" s="99"/>
      <c r="F39" s="99"/>
      <c r="G39" s="99"/>
      <c r="H39" s="99"/>
      <c r="I39" s="99"/>
      <c r="J39" s="99"/>
      <c r="K39" s="99"/>
      <c r="L39" s="99"/>
      <c r="M39" s="185"/>
      <c r="N39" s="185"/>
      <c r="O39" s="185"/>
      <c r="P39" s="185"/>
      <c r="Q39" s="185"/>
    </row>
    <row r="40" spans="1:17" s="54" customFormat="1" ht="16.05" customHeight="1">
      <c r="A40" s="202" t="s">
        <v>1729</v>
      </c>
      <c r="B40" s="202" t="s">
        <v>1713</v>
      </c>
      <c r="C40" s="202" t="s">
        <v>1714</v>
      </c>
      <c r="D40" s="202"/>
      <c r="E40" s="202"/>
      <c r="F40" s="202"/>
      <c r="G40" s="202"/>
      <c r="H40" s="202" t="s">
        <v>1715</v>
      </c>
      <c r="I40" s="202"/>
      <c r="J40" s="202"/>
      <c r="K40" s="202"/>
      <c r="L40" s="99"/>
      <c r="M40" s="185"/>
      <c r="N40" s="185"/>
      <c r="O40" s="185"/>
      <c r="P40" s="185"/>
      <c r="Q40" s="185"/>
    </row>
    <row r="41" spans="1:17" s="54" customFormat="1" ht="16.05" customHeight="1">
      <c r="A41" s="202"/>
      <c r="B41" s="202"/>
      <c r="C41" s="10" t="s">
        <v>1716</v>
      </c>
      <c r="D41" s="10" t="s">
        <v>1717</v>
      </c>
      <c r="E41" s="10" t="s">
        <v>1730</v>
      </c>
      <c r="F41" s="10" t="s">
        <v>1719</v>
      </c>
      <c r="G41" s="10" t="s">
        <v>316</v>
      </c>
      <c r="H41" s="10" t="s">
        <v>1720</v>
      </c>
      <c r="I41" s="10" t="s">
        <v>1721</v>
      </c>
      <c r="J41" s="10" t="s">
        <v>1275</v>
      </c>
      <c r="K41" s="10" t="s">
        <v>316</v>
      </c>
      <c r="L41" s="99"/>
      <c r="M41" s="185"/>
      <c r="N41" s="185"/>
      <c r="O41" s="185"/>
      <c r="P41" s="185"/>
      <c r="Q41" s="185"/>
    </row>
    <row r="42" spans="1:17" s="54" customFormat="1" ht="16.05" customHeight="1">
      <c r="A42" s="127" t="s">
        <v>1723</v>
      </c>
      <c r="B42" s="186" t="s">
        <v>1736</v>
      </c>
      <c r="C42" s="127">
        <v>0</v>
      </c>
      <c r="D42" s="127">
        <v>0</v>
      </c>
      <c r="E42" s="127">
        <v>10879</v>
      </c>
      <c r="F42" s="127">
        <v>0</v>
      </c>
      <c r="G42" s="127"/>
      <c r="H42" s="127">
        <v>0</v>
      </c>
      <c r="I42" s="127">
        <v>0</v>
      </c>
      <c r="J42" s="127">
        <v>0</v>
      </c>
      <c r="K42" s="187">
        <v>0</v>
      </c>
      <c r="L42" s="99"/>
      <c r="M42" s="185"/>
      <c r="N42" s="185"/>
      <c r="O42" s="185"/>
      <c r="P42" s="185"/>
      <c r="Q42" s="185"/>
    </row>
    <row r="43" spans="1:17" s="54" customFormat="1" ht="16.05" customHeight="1">
      <c r="A43" s="127" t="s">
        <v>1737</v>
      </c>
      <c r="B43" s="186" t="s">
        <v>1738</v>
      </c>
      <c r="C43" s="127">
        <v>0</v>
      </c>
      <c r="D43" s="127">
        <v>9360</v>
      </c>
      <c r="E43" s="127">
        <v>11501</v>
      </c>
      <c r="F43" s="127">
        <f>C43+D43</f>
        <v>9360</v>
      </c>
      <c r="G43" s="187">
        <f>C43/F43</f>
        <v>0</v>
      </c>
      <c r="H43" s="127">
        <v>0</v>
      </c>
      <c r="I43" s="127">
        <v>9360</v>
      </c>
      <c r="J43" s="127">
        <f>H43+I43</f>
        <v>9360</v>
      </c>
      <c r="K43" s="187">
        <f>H43/J43</f>
        <v>0</v>
      </c>
      <c r="L43" s="99"/>
      <c r="M43" s="185"/>
      <c r="N43" s="185"/>
      <c r="O43" s="185"/>
      <c r="P43" s="185"/>
      <c r="Q43" s="185"/>
    </row>
    <row r="44" spans="1:17" s="54" customFormat="1" ht="16.05" customHeight="1">
      <c r="A44" s="194" t="s">
        <v>1704</v>
      </c>
      <c r="B44" s="186" t="s">
        <v>1739</v>
      </c>
      <c r="C44" s="127">
        <v>0</v>
      </c>
      <c r="D44" s="127">
        <v>1860</v>
      </c>
      <c r="E44" s="127">
        <v>13408</v>
      </c>
      <c r="F44" s="127">
        <f t="shared" ref="F44:F48" si="0">C44+D44</f>
        <v>1860</v>
      </c>
      <c r="G44" s="187">
        <f t="shared" ref="G44:G48" si="1">C44/F44</f>
        <v>0</v>
      </c>
      <c r="H44" s="195">
        <v>1.6</v>
      </c>
      <c r="I44" s="195">
        <v>7760</v>
      </c>
      <c r="J44" s="195">
        <f>H44+I44</f>
        <v>7761.6</v>
      </c>
      <c r="K44" s="203">
        <f>H44/J44</f>
        <v>2.0614306328592044E-4</v>
      </c>
      <c r="L44" s="99"/>
      <c r="M44" s="185"/>
      <c r="N44" s="185"/>
      <c r="O44" s="185"/>
      <c r="P44" s="185"/>
      <c r="Q44" s="185"/>
    </row>
    <row r="45" spans="1:17" s="54" customFormat="1" ht="16.05" customHeight="1">
      <c r="A45" s="190"/>
      <c r="B45" s="186" t="s">
        <v>1739</v>
      </c>
      <c r="C45" s="127">
        <v>1.6</v>
      </c>
      <c r="D45" s="127">
        <v>2020</v>
      </c>
      <c r="E45" s="127">
        <v>14996</v>
      </c>
      <c r="F45" s="127">
        <f t="shared" si="0"/>
        <v>2021.6</v>
      </c>
      <c r="G45" s="187">
        <f t="shared" si="1"/>
        <v>7.9145231499802148E-4</v>
      </c>
      <c r="H45" s="195"/>
      <c r="I45" s="195"/>
      <c r="J45" s="195"/>
      <c r="K45" s="203"/>
      <c r="L45" s="99"/>
      <c r="M45" s="185"/>
      <c r="N45" s="185"/>
      <c r="O45" s="185"/>
      <c r="P45" s="185"/>
      <c r="Q45" s="185"/>
    </row>
    <row r="46" spans="1:17" s="54" customFormat="1" ht="16.05" customHeight="1">
      <c r="A46" s="190"/>
      <c r="B46" s="186" t="s">
        <v>1739</v>
      </c>
      <c r="C46" s="127">
        <v>0</v>
      </c>
      <c r="D46" s="127">
        <v>1940</v>
      </c>
      <c r="E46" s="127">
        <v>14891</v>
      </c>
      <c r="F46" s="127">
        <f t="shared" si="0"/>
        <v>1940</v>
      </c>
      <c r="G46" s="187">
        <f t="shared" si="1"/>
        <v>0</v>
      </c>
      <c r="H46" s="195"/>
      <c r="I46" s="195"/>
      <c r="J46" s="195"/>
      <c r="K46" s="203"/>
      <c r="L46" s="99"/>
      <c r="M46" s="185"/>
      <c r="N46" s="185"/>
      <c r="O46" s="185"/>
      <c r="P46" s="185"/>
      <c r="Q46" s="185"/>
    </row>
    <row r="47" spans="1:17" s="54" customFormat="1" ht="16.05" customHeight="1">
      <c r="A47" s="191"/>
      <c r="B47" s="186" t="s">
        <v>1739</v>
      </c>
      <c r="C47" s="127">
        <v>0</v>
      </c>
      <c r="D47" s="127">
        <v>1940</v>
      </c>
      <c r="E47" s="127">
        <v>12682</v>
      </c>
      <c r="F47" s="127">
        <f t="shared" si="0"/>
        <v>1940</v>
      </c>
      <c r="G47" s="187">
        <f t="shared" si="1"/>
        <v>0</v>
      </c>
      <c r="H47" s="195"/>
      <c r="I47" s="195"/>
      <c r="J47" s="195"/>
      <c r="K47" s="203"/>
      <c r="L47" s="99"/>
      <c r="M47" s="185"/>
      <c r="N47" s="185"/>
      <c r="O47" s="185"/>
      <c r="P47" s="185"/>
      <c r="Q47" s="185"/>
    </row>
    <row r="48" spans="1:17" s="54" customFormat="1" ht="16.05" customHeight="1">
      <c r="A48" s="187" t="s">
        <v>1740</v>
      </c>
      <c r="B48" s="186" t="s">
        <v>1741</v>
      </c>
      <c r="C48" s="127">
        <v>7.8</v>
      </c>
      <c r="D48" s="127">
        <v>6860</v>
      </c>
      <c r="E48" s="127">
        <v>15150</v>
      </c>
      <c r="F48" s="127">
        <f t="shared" si="0"/>
        <v>6867.8</v>
      </c>
      <c r="G48" s="187">
        <f t="shared" si="1"/>
        <v>1.1357348787093392E-3</v>
      </c>
      <c r="H48" s="127">
        <v>7.8</v>
      </c>
      <c r="I48" s="127">
        <v>6860</v>
      </c>
      <c r="J48" s="127">
        <f>H48+I48</f>
        <v>6867.8</v>
      </c>
      <c r="K48" s="187">
        <f>H48/J48</f>
        <v>1.1357348787093392E-3</v>
      </c>
      <c r="L48" s="99"/>
      <c r="M48" s="185"/>
      <c r="N48" s="185"/>
      <c r="O48" s="185"/>
      <c r="P48" s="185"/>
      <c r="Q48" s="185"/>
    </row>
    <row r="49" spans="1:3" ht="16.05" customHeight="1"/>
    <row r="50" spans="1:3" ht="16.05" customHeight="1">
      <c r="A50" s="116" t="s">
        <v>2044</v>
      </c>
    </row>
    <row r="51" spans="1:3" ht="16.05" customHeight="1">
      <c r="A51" s="17" t="s">
        <v>1742</v>
      </c>
      <c r="B51" s="201" t="s">
        <v>1743</v>
      </c>
      <c r="C51" s="201"/>
    </row>
    <row r="52" spans="1:3" ht="16.05" customHeight="1">
      <c r="A52" s="188" t="s">
        <v>1744</v>
      </c>
      <c r="B52" s="188" t="s">
        <v>1745</v>
      </c>
      <c r="C52" s="188"/>
    </row>
    <row r="53" spans="1:3" ht="16.05" customHeight="1">
      <c r="A53" s="188" t="s">
        <v>1746</v>
      </c>
      <c r="B53" s="188" t="s">
        <v>1747</v>
      </c>
      <c r="C53" s="188"/>
    </row>
    <row r="54" spans="1:3" ht="16.05" customHeight="1">
      <c r="A54" s="189" t="s">
        <v>1748</v>
      </c>
      <c r="B54" s="189" t="s">
        <v>1749</v>
      </c>
      <c r="C54" s="189"/>
    </row>
  </sheetData>
  <mergeCells count="36">
    <mergeCell ref="A17:A20"/>
    <mergeCell ref="E19:N19"/>
    <mergeCell ref="A2:A5"/>
    <mergeCell ref="A7:A10"/>
    <mergeCell ref="A12:A15"/>
    <mergeCell ref="E14:N14"/>
    <mergeCell ref="E15:N15"/>
    <mergeCell ref="A23:A24"/>
    <mergeCell ref="B23:B24"/>
    <mergeCell ref="C23:G23"/>
    <mergeCell ref="H23:K23"/>
    <mergeCell ref="A27:A29"/>
    <mergeCell ref="H27:H29"/>
    <mergeCell ref="I27:I29"/>
    <mergeCell ref="J27:J29"/>
    <mergeCell ref="K27:K29"/>
    <mergeCell ref="A36:A37"/>
    <mergeCell ref="H36:H37"/>
    <mergeCell ref="I36:I37"/>
    <mergeCell ref="J36:J37"/>
    <mergeCell ref="K36:K37"/>
    <mergeCell ref="A31:K31"/>
    <mergeCell ref="A32:A33"/>
    <mergeCell ref="B32:B33"/>
    <mergeCell ref="C32:G32"/>
    <mergeCell ref="H32:K32"/>
    <mergeCell ref="B51:C51"/>
    <mergeCell ref="A40:A41"/>
    <mergeCell ref="B40:B41"/>
    <mergeCell ref="C40:G40"/>
    <mergeCell ref="H40:K40"/>
    <mergeCell ref="A44:A47"/>
    <mergeCell ref="H44:H47"/>
    <mergeCell ref="I44:I47"/>
    <mergeCell ref="J44:J47"/>
    <mergeCell ref="K44:K47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Supplementary Table 1</vt:lpstr>
      <vt:lpstr>Supplementary Table 2</vt:lpstr>
      <vt:lpstr>Supplementary Table 3</vt:lpstr>
      <vt:lpstr>Supplementary Table 4</vt:lpstr>
      <vt:lpstr>Supplementary Table 5</vt:lpstr>
      <vt:lpstr>Supplementary Table 6</vt:lpstr>
      <vt:lpstr>Supplementary Table 7</vt:lpstr>
      <vt:lpstr>Supplementary Table 8</vt:lpstr>
      <vt:lpstr>Supplementary Table 9</vt:lpstr>
      <vt:lpstr>Supplementary Table 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2021-05-01T08:52:02Z</dcterms:modified>
</cp:coreProperties>
</file>